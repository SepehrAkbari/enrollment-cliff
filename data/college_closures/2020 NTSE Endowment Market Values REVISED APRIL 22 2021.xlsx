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127"/>
  <workbookPr defaultThemeVersion="124226"/>
  <mc:AlternateContent xmlns:mc="http://schemas.openxmlformats.org/markup-compatibility/2006">
    <mc:Choice Requires="x15">
      <x15ac:absPath xmlns:x15ac="http://schemas.microsoft.com/office/spreadsheetml/2010/11/ac" url="P:\Policy and Research\Research\Endowment\2020 NTSE\Public Tables\Final Public Tables\"/>
    </mc:Choice>
  </mc:AlternateContent>
  <xr:revisionPtr revIDLastSave="0" documentId="8_{F04A8CFE-6156-4742-B1DE-DE9CEC38D5C4}" xr6:coauthVersionLast="45" xr6:coauthVersionMax="45" xr10:uidLastSave="{00000000-0000-0000-0000-000000000000}"/>
  <bookViews>
    <workbookView xWindow="-120" yWindow="-120" windowWidth="20730" windowHeight="11160" xr2:uid="{00000000-000D-0000-FFFF-FFFF00000000}"/>
  </bookViews>
  <sheets>
    <sheet name="2020 NTSE Endowment Market Valu"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725" i="1" l="1"/>
  <c r="A724" i="1"/>
  <c r="A723" i="1"/>
  <c r="A722" i="1"/>
  <c r="A721" i="1"/>
  <c r="A720" i="1"/>
  <c r="A719" i="1"/>
  <c r="A718" i="1"/>
  <c r="A717" i="1"/>
  <c r="A716" i="1"/>
  <c r="A715" i="1"/>
  <c r="A714" i="1"/>
  <c r="A713" i="1"/>
  <c r="A712" i="1"/>
  <c r="A711" i="1"/>
  <c r="A710" i="1"/>
  <c r="A709" i="1"/>
  <c r="A708" i="1"/>
  <c r="A707" i="1"/>
  <c r="A706" i="1"/>
  <c r="A705" i="1"/>
  <c r="A704" i="1"/>
  <c r="A703" i="1"/>
  <c r="A702" i="1"/>
  <c r="A701" i="1"/>
  <c r="A700" i="1"/>
  <c r="A699" i="1"/>
  <c r="A698" i="1"/>
  <c r="A697" i="1"/>
  <c r="A696" i="1"/>
  <c r="A695" i="1"/>
  <c r="A694" i="1"/>
  <c r="A693" i="1"/>
  <c r="A692" i="1"/>
  <c r="A691" i="1"/>
  <c r="A690" i="1"/>
  <c r="A689" i="1"/>
  <c r="A688" i="1"/>
  <c r="A687" i="1"/>
  <c r="A686" i="1"/>
  <c r="A685" i="1"/>
  <c r="A684" i="1"/>
  <c r="A683" i="1"/>
  <c r="A682" i="1"/>
  <c r="A681" i="1"/>
  <c r="A680" i="1"/>
  <c r="A679" i="1"/>
  <c r="A678" i="1"/>
  <c r="A677" i="1"/>
  <c r="A676" i="1"/>
  <c r="A675" i="1"/>
  <c r="A674" i="1"/>
  <c r="A673" i="1"/>
  <c r="A672" i="1"/>
  <c r="A671" i="1"/>
  <c r="A670" i="1"/>
  <c r="A669" i="1"/>
  <c r="A668" i="1"/>
  <c r="A667" i="1"/>
  <c r="A666" i="1"/>
  <c r="A665" i="1"/>
  <c r="A664" i="1"/>
  <c r="A663" i="1"/>
  <c r="A662" i="1"/>
  <c r="A661" i="1"/>
  <c r="A660" i="1"/>
  <c r="A659" i="1"/>
  <c r="A658" i="1"/>
  <c r="A657" i="1"/>
  <c r="A656" i="1"/>
  <c r="A655" i="1"/>
  <c r="A654" i="1"/>
  <c r="A653" i="1"/>
  <c r="A652" i="1"/>
  <c r="A651" i="1"/>
  <c r="A650" i="1"/>
  <c r="A649" i="1"/>
  <c r="A648" i="1"/>
  <c r="A647" i="1"/>
  <c r="A646" i="1"/>
  <c r="A645" i="1"/>
  <c r="A644" i="1"/>
  <c r="A643" i="1"/>
  <c r="A642" i="1"/>
  <c r="A641" i="1"/>
  <c r="A640" i="1"/>
  <c r="A639" i="1"/>
  <c r="A638" i="1"/>
  <c r="A637" i="1"/>
  <c r="A636" i="1"/>
  <c r="A635" i="1"/>
  <c r="A634" i="1"/>
  <c r="A633" i="1"/>
  <c r="A632" i="1"/>
  <c r="A631" i="1"/>
  <c r="A630" i="1"/>
  <c r="A629" i="1"/>
  <c r="A628" i="1"/>
  <c r="A627" i="1"/>
  <c r="A626" i="1"/>
  <c r="A625" i="1"/>
  <c r="A624" i="1"/>
  <c r="A623" i="1"/>
  <c r="A622" i="1"/>
  <c r="A621" i="1"/>
  <c r="A620" i="1"/>
  <c r="A619" i="1"/>
  <c r="A618" i="1"/>
  <c r="A617" i="1"/>
  <c r="A616" i="1"/>
  <c r="A615" i="1"/>
  <c r="A614" i="1"/>
  <c r="A613" i="1"/>
  <c r="A612" i="1"/>
  <c r="A611" i="1"/>
  <c r="A610" i="1"/>
  <c r="A609" i="1"/>
  <c r="A608" i="1"/>
  <c r="A607" i="1"/>
  <c r="A606" i="1"/>
  <c r="A605" i="1"/>
  <c r="A604" i="1"/>
  <c r="A603" i="1"/>
  <c r="A602" i="1"/>
  <c r="A601" i="1"/>
  <c r="A600" i="1"/>
  <c r="A599" i="1"/>
  <c r="A598" i="1"/>
  <c r="A597" i="1"/>
  <c r="A596" i="1"/>
  <c r="A595" i="1"/>
  <c r="A594" i="1"/>
  <c r="A593" i="1"/>
  <c r="A592" i="1"/>
  <c r="A591" i="1"/>
  <c r="A590" i="1"/>
  <c r="A589" i="1"/>
  <c r="A588" i="1"/>
  <c r="A587" i="1"/>
  <c r="A586" i="1"/>
  <c r="A585" i="1"/>
  <c r="A584" i="1"/>
  <c r="A583" i="1"/>
  <c r="A582" i="1"/>
  <c r="A581" i="1"/>
  <c r="A580" i="1"/>
  <c r="A579" i="1"/>
  <c r="A578" i="1"/>
  <c r="A577" i="1"/>
  <c r="A576" i="1"/>
  <c r="A575" i="1"/>
  <c r="A574" i="1"/>
  <c r="A573" i="1"/>
  <c r="A572" i="1"/>
  <c r="A571" i="1"/>
  <c r="A570" i="1"/>
  <c r="A569" i="1"/>
  <c r="A568" i="1"/>
  <c r="A567" i="1"/>
  <c r="A566" i="1"/>
  <c r="A565" i="1"/>
  <c r="A564" i="1"/>
  <c r="A563" i="1"/>
  <c r="A562" i="1"/>
  <c r="A561" i="1"/>
  <c r="A560" i="1"/>
  <c r="A559" i="1"/>
  <c r="A558" i="1"/>
  <c r="A557" i="1"/>
  <c r="A556" i="1"/>
  <c r="A555" i="1"/>
  <c r="A554" i="1"/>
  <c r="A553" i="1"/>
  <c r="A552" i="1"/>
  <c r="A551" i="1"/>
  <c r="A550" i="1"/>
  <c r="A549" i="1"/>
  <c r="A548" i="1"/>
  <c r="A547" i="1"/>
  <c r="A546" i="1"/>
  <c r="A545" i="1"/>
  <c r="A544" i="1"/>
  <c r="A543" i="1"/>
  <c r="A542" i="1"/>
  <c r="A541" i="1"/>
  <c r="A540" i="1"/>
  <c r="A539" i="1"/>
  <c r="A538" i="1"/>
  <c r="A537" i="1"/>
  <c r="A536" i="1"/>
  <c r="A535" i="1"/>
  <c r="A534" i="1"/>
  <c r="A533" i="1"/>
  <c r="A532" i="1"/>
  <c r="A531" i="1"/>
  <c r="A530" i="1"/>
  <c r="A529" i="1"/>
  <c r="A528" i="1"/>
  <c r="A527" i="1"/>
  <c r="A526" i="1"/>
  <c r="A525" i="1"/>
  <c r="A524" i="1"/>
  <c r="A523" i="1"/>
  <c r="A522" i="1"/>
  <c r="A521" i="1"/>
  <c r="A520" i="1"/>
  <c r="A519" i="1"/>
  <c r="A518" i="1"/>
  <c r="A517" i="1"/>
  <c r="A516" i="1"/>
  <c r="A515" i="1"/>
  <c r="A514" i="1"/>
  <c r="A513" i="1"/>
  <c r="A512" i="1"/>
  <c r="A511" i="1"/>
  <c r="A510" i="1"/>
  <c r="A509" i="1"/>
  <c r="A508" i="1"/>
  <c r="A507" i="1"/>
  <c r="A506" i="1"/>
  <c r="A505" i="1"/>
  <c r="A504" i="1"/>
  <c r="A503" i="1"/>
  <c r="A502" i="1"/>
  <c r="A501" i="1"/>
  <c r="A500" i="1"/>
  <c r="A499" i="1"/>
  <c r="A498" i="1"/>
  <c r="A497" i="1"/>
  <c r="A496" i="1"/>
  <c r="A495" i="1"/>
  <c r="A494" i="1"/>
  <c r="A493" i="1"/>
  <c r="A492" i="1"/>
  <c r="A491" i="1"/>
  <c r="A490" i="1"/>
  <c r="A489" i="1"/>
  <c r="A488" i="1"/>
  <c r="A487" i="1"/>
  <c r="A486" i="1"/>
  <c r="A485" i="1"/>
  <c r="A484" i="1"/>
  <c r="A483" i="1"/>
  <c r="A482" i="1"/>
  <c r="A481" i="1"/>
  <c r="A480" i="1"/>
  <c r="A479" i="1"/>
  <c r="A478" i="1"/>
  <c r="A477" i="1"/>
  <c r="A476" i="1"/>
  <c r="A475" i="1"/>
  <c r="A474" i="1"/>
  <c r="A473" i="1"/>
  <c r="A472" i="1"/>
  <c r="A471" i="1"/>
  <c r="A470" i="1"/>
  <c r="A469" i="1"/>
  <c r="A468" i="1"/>
  <c r="A467" i="1"/>
  <c r="A466" i="1"/>
  <c r="A465" i="1"/>
  <c r="A464" i="1"/>
  <c r="A463" i="1"/>
  <c r="A462" i="1"/>
  <c r="A461" i="1"/>
  <c r="A460" i="1"/>
  <c r="A459" i="1"/>
  <c r="A458" i="1"/>
  <c r="A457" i="1"/>
  <c r="A456" i="1"/>
  <c r="A455" i="1"/>
  <c r="A454" i="1"/>
  <c r="A453" i="1"/>
  <c r="A452" i="1"/>
  <c r="A451" i="1"/>
  <c r="A450" i="1"/>
  <c r="A449" i="1"/>
  <c r="A448" i="1"/>
  <c r="A447" i="1"/>
  <c r="A446" i="1"/>
  <c r="A445" i="1"/>
  <c r="A444" i="1"/>
  <c r="A443" i="1"/>
  <c r="A442" i="1"/>
  <c r="A441" i="1"/>
  <c r="A440" i="1"/>
  <c r="A439" i="1"/>
  <c r="A438" i="1"/>
  <c r="A437" i="1"/>
  <c r="A436" i="1"/>
  <c r="A435" i="1"/>
  <c r="A434" i="1"/>
  <c r="A433" i="1"/>
  <c r="A432" i="1"/>
  <c r="A431" i="1"/>
  <c r="A430" i="1"/>
  <c r="A429" i="1"/>
  <c r="A428" i="1"/>
  <c r="A427" i="1"/>
  <c r="A426" i="1"/>
  <c r="A425" i="1"/>
  <c r="A424" i="1"/>
  <c r="A423" i="1"/>
  <c r="A422" i="1"/>
  <c r="A421" i="1"/>
  <c r="A420" i="1"/>
  <c r="A419" i="1"/>
  <c r="A418" i="1"/>
  <c r="A417" i="1"/>
  <c r="A416" i="1"/>
  <c r="A415" i="1"/>
  <c r="A414" i="1"/>
  <c r="A413" i="1"/>
  <c r="A412" i="1"/>
  <c r="A411" i="1"/>
  <c r="A410" i="1"/>
  <c r="A409" i="1"/>
  <c r="A408" i="1"/>
  <c r="A407" i="1"/>
  <c r="A406" i="1"/>
  <c r="A405" i="1"/>
  <c r="A404" i="1"/>
  <c r="A403" i="1"/>
  <c r="A402" i="1"/>
  <c r="A401" i="1"/>
  <c r="A400" i="1"/>
  <c r="A399" i="1"/>
  <c r="A398" i="1"/>
  <c r="A397" i="1"/>
  <c r="A396" i="1"/>
  <c r="A395" i="1"/>
  <c r="A394" i="1"/>
  <c r="A393" i="1"/>
  <c r="A392" i="1"/>
  <c r="A391" i="1"/>
  <c r="A390" i="1"/>
  <c r="A389" i="1"/>
  <c r="A388" i="1"/>
  <c r="A387" i="1"/>
  <c r="A386" i="1"/>
  <c r="A385" i="1"/>
  <c r="A384" i="1"/>
  <c r="A383" i="1"/>
  <c r="A382" i="1"/>
  <c r="A381" i="1"/>
  <c r="A380" i="1"/>
  <c r="A379" i="1"/>
  <c r="A378" i="1"/>
  <c r="A377" i="1"/>
  <c r="A376" i="1"/>
  <c r="A375" i="1"/>
  <c r="A374" i="1"/>
  <c r="A373" i="1"/>
  <c r="A372" i="1"/>
  <c r="A371" i="1"/>
  <c r="A370" i="1"/>
  <c r="A369" i="1"/>
  <c r="A368" i="1"/>
  <c r="A367" i="1"/>
  <c r="A366" i="1"/>
  <c r="A365" i="1"/>
  <c r="A364" i="1"/>
  <c r="A363" i="1"/>
  <c r="A362" i="1"/>
  <c r="A361" i="1"/>
  <c r="A360" i="1"/>
  <c r="A359" i="1"/>
  <c r="A358" i="1"/>
  <c r="A357" i="1"/>
  <c r="A356" i="1"/>
  <c r="A355" i="1"/>
  <c r="A354" i="1"/>
  <c r="A353" i="1"/>
  <c r="A352" i="1"/>
  <c r="A351" i="1"/>
  <c r="A350" i="1"/>
  <c r="A349" i="1"/>
  <c r="A348" i="1"/>
  <c r="A347" i="1"/>
  <c r="A346" i="1"/>
  <c r="A345" i="1"/>
  <c r="A344" i="1"/>
  <c r="A343" i="1"/>
  <c r="A342" i="1"/>
  <c r="A341" i="1"/>
  <c r="A340" i="1"/>
  <c r="A339" i="1"/>
  <c r="A338" i="1"/>
  <c r="A337" i="1"/>
  <c r="A336" i="1"/>
  <c r="A335" i="1"/>
  <c r="A334" i="1"/>
  <c r="A333" i="1"/>
  <c r="A332" i="1"/>
  <c r="A331" i="1"/>
  <c r="A330" i="1"/>
  <c r="A329" i="1"/>
  <c r="A328" i="1"/>
  <c r="A327" i="1"/>
  <c r="A326" i="1"/>
  <c r="A325" i="1"/>
  <c r="A324" i="1"/>
  <c r="A323" i="1"/>
  <c r="A322" i="1"/>
  <c r="A321" i="1"/>
  <c r="A320" i="1"/>
  <c r="A319" i="1"/>
  <c r="A318" i="1"/>
  <c r="A317" i="1"/>
  <c r="A316" i="1"/>
  <c r="A315" i="1"/>
  <c r="A314" i="1"/>
  <c r="A313" i="1"/>
  <c r="A312" i="1"/>
  <c r="A311" i="1"/>
  <c r="A310" i="1"/>
  <c r="A309" i="1"/>
  <c r="A308" i="1"/>
  <c r="A307" i="1"/>
  <c r="A306" i="1"/>
  <c r="A305" i="1"/>
  <c r="A304" i="1"/>
  <c r="A303" i="1"/>
  <c r="A302" i="1"/>
  <c r="A301" i="1"/>
  <c r="A300" i="1"/>
  <c r="A299" i="1"/>
  <c r="A298" i="1"/>
  <c r="A297" i="1"/>
  <c r="A296" i="1"/>
  <c r="A295" i="1"/>
  <c r="A294" i="1"/>
  <c r="A293" i="1"/>
  <c r="A292" i="1"/>
  <c r="A291" i="1"/>
  <c r="A290" i="1"/>
  <c r="A289" i="1"/>
  <c r="A288" i="1"/>
  <c r="A287" i="1"/>
  <c r="A286" i="1"/>
  <c r="A285" i="1"/>
  <c r="A284" i="1"/>
  <c r="A283" i="1"/>
  <c r="A282" i="1"/>
  <c r="A281" i="1"/>
  <c r="A280" i="1"/>
  <c r="A279" i="1"/>
  <c r="A278" i="1"/>
  <c r="A277" i="1"/>
  <c r="A276" i="1"/>
  <c r="A275" i="1"/>
  <c r="A274" i="1"/>
  <c r="A273" i="1"/>
  <c r="A272" i="1"/>
  <c r="A271" i="1"/>
  <c r="A270" i="1"/>
  <c r="A269" i="1"/>
  <c r="A268" i="1"/>
  <c r="A267" i="1"/>
  <c r="A266" i="1"/>
  <c r="A265" i="1"/>
  <c r="A264" i="1"/>
  <c r="A263" i="1"/>
  <c r="A262" i="1"/>
  <c r="A261" i="1"/>
  <c r="A260" i="1"/>
  <c r="A259" i="1"/>
  <c r="A258" i="1"/>
  <c r="A257" i="1"/>
  <c r="A256" i="1"/>
  <c r="A255" i="1"/>
  <c r="A254" i="1"/>
  <c r="A253" i="1"/>
  <c r="A252" i="1"/>
  <c r="A251" i="1"/>
  <c r="A250" i="1"/>
  <c r="A249" i="1"/>
  <c r="A248" i="1"/>
  <c r="A247" i="1"/>
  <c r="A246" i="1"/>
  <c r="A245" i="1"/>
  <c r="A244" i="1"/>
  <c r="A243" i="1"/>
  <c r="A242" i="1"/>
  <c r="A241" i="1"/>
  <c r="A240" i="1"/>
  <c r="A239" i="1"/>
  <c r="A238" i="1"/>
  <c r="A237" i="1"/>
  <c r="A236" i="1"/>
  <c r="A235" i="1"/>
  <c r="A234" i="1"/>
  <c r="A233" i="1"/>
  <c r="A232" i="1"/>
  <c r="A231" i="1"/>
  <c r="A230" i="1"/>
  <c r="A229" i="1"/>
  <c r="A228" i="1"/>
  <c r="A227" i="1"/>
  <c r="A226" i="1"/>
  <c r="A225" i="1"/>
  <c r="A224" i="1"/>
  <c r="A223" i="1"/>
  <c r="A222" i="1"/>
  <c r="A221" i="1"/>
  <c r="A220" i="1"/>
  <c r="A219" i="1"/>
  <c r="A218" i="1"/>
  <c r="A217" i="1"/>
  <c r="A216" i="1"/>
  <c r="A215" i="1"/>
  <c r="A214" i="1"/>
  <c r="A213" i="1"/>
  <c r="A212" i="1"/>
  <c r="A211" i="1"/>
  <c r="A210" i="1"/>
  <c r="A209" i="1"/>
  <c r="A208" i="1"/>
  <c r="A207" i="1"/>
  <c r="A206" i="1"/>
  <c r="A205" i="1"/>
  <c r="A204" i="1"/>
  <c r="A203" i="1"/>
  <c r="A202" i="1"/>
  <c r="A201" i="1"/>
  <c r="A200" i="1"/>
  <c r="A199" i="1"/>
  <c r="A198" i="1"/>
  <c r="A197" i="1"/>
  <c r="A196" i="1"/>
  <c r="A195" i="1"/>
  <c r="A194" i="1"/>
  <c r="A193" i="1"/>
  <c r="A192" i="1"/>
  <c r="A191" i="1"/>
  <c r="A190" i="1"/>
  <c r="A189" i="1"/>
  <c r="A188" i="1"/>
  <c r="A187" i="1"/>
  <c r="A186" i="1"/>
  <c r="A185" i="1"/>
  <c r="A184" i="1"/>
  <c r="A183" i="1"/>
  <c r="A182" i="1"/>
  <c r="A181" i="1"/>
  <c r="A180" i="1"/>
  <c r="A179" i="1"/>
  <c r="A178" i="1"/>
  <c r="A177" i="1"/>
  <c r="A176"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50"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J728" i="1" l="1"/>
  <c r="J727" i="1"/>
</calcChain>
</file>

<file path=xl/sharedStrings.xml><?xml version="1.0" encoding="utf-8"?>
<sst xmlns="http://schemas.openxmlformats.org/spreadsheetml/2006/main" count="3058" uniqueCount="1344">
  <si>
    <t>Rank</t>
  </si>
  <si>
    <t>City</t>
  </si>
  <si>
    <t>State</t>
  </si>
  <si>
    <t>Harvard University</t>
  </si>
  <si>
    <t>Cambridge</t>
  </si>
  <si>
    <t>MA</t>
  </si>
  <si>
    <t>Private college/university endowment</t>
  </si>
  <si>
    <t>University of Texas System</t>
  </si>
  <si>
    <t>Austin</t>
  </si>
  <si>
    <t>TX</t>
  </si>
  <si>
    <t>Public college university or system fund</t>
  </si>
  <si>
    <t>Yale University</t>
  </si>
  <si>
    <t>New Haven</t>
  </si>
  <si>
    <t>CT</t>
  </si>
  <si>
    <t>Stanford University</t>
  </si>
  <si>
    <t>Stanford</t>
  </si>
  <si>
    <t>CA</t>
  </si>
  <si>
    <t>Trustees of Princeton University</t>
  </si>
  <si>
    <t>Princeton</t>
  </si>
  <si>
    <t>NJ</t>
  </si>
  <si>
    <t>Massachusetts Institute of Technology</t>
  </si>
  <si>
    <t>Trustees of the University of Pennsylvania</t>
  </si>
  <si>
    <t>Philadelphia</t>
  </si>
  <si>
    <t>PA</t>
  </si>
  <si>
    <t>College Station</t>
  </si>
  <si>
    <t>University of Michigan</t>
  </si>
  <si>
    <t>Ann Arbor</t>
  </si>
  <si>
    <t>MI</t>
  </si>
  <si>
    <t>Oakland</t>
  </si>
  <si>
    <t>University of Notre Dame</t>
  </si>
  <si>
    <t>Notre Dame</t>
  </si>
  <si>
    <t>IN</t>
  </si>
  <si>
    <t>The Trustees of Columbia University</t>
  </si>
  <si>
    <t>New York</t>
  </si>
  <si>
    <t>NY</t>
  </si>
  <si>
    <t>Northwestern University</t>
  </si>
  <si>
    <t>Evanston</t>
  </si>
  <si>
    <t>IL</t>
  </si>
  <si>
    <t>Duke University</t>
  </si>
  <si>
    <t>Durham</t>
  </si>
  <si>
    <t>NC</t>
  </si>
  <si>
    <t>Washington University</t>
  </si>
  <si>
    <t>Saint Louis</t>
  </si>
  <si>
    <t>MO</t>
  </si>
  <si>
    <t>The University of Chicago</t>
  </si>
  <si>
    <t>Chicago</t>
  </si>
  <si>
    <t>Emory University</t>
  </si>
  <si>
    <t>Atlanta</t>
  </si>
  <si>
    <t>GA</t>
  </si>
  <si>
    <t>University of Virginia</t>
  </si>
  <si>
    <t>Charlottesville</t>
  </si>
  <si>
    <t>VA</t>
  </si>
  <si>
    <t>Cornell University</t>
  </si>
  <si>
    <t>Ithaca</t>
  </si>
  <si>
    <t>Vanderbilt University</t>
  </si>
  <si>
    <t>Nashville</t>
  </si>
  <si>
    <t>TN</t>
  </si>
  <si>
    <t>The Johns Hopkins University</t>
  </si>
  <si>
    <t>Baltimore</t>
  </si>
  <si>
    <t>MD</t>
  </si>
  <si>
    <t>Rice University</t>
  </si>
  <si>
    <t>Houston</t>
  </si>
  <si>
    <t>Dartmouth College</t>
  </si>
  <si>
    <t>Hanover</t>
  </si>
  <si>
    <t>NH</t>
  </si>
  <si>
    <t>University of Southern California</t>
  </si>
  <si>
    <t>Los Angeles</t>
  </si>
  <si>
    <t>The Ohio State University</t>
  </si>
  <si>
    <t>Columbus</t>
  </si>
  <si>
    <t>OH</t>
  </si>
  <si>
    <t>Brown University</t>
  </si>
  <si>
    <t>Providence</t>
  </si>
  <si>
    <t>RI</t>
  </si>
  <si>
    <t>University of Pittsburgh</t>
  </si>
  <si>
    <t>Pittsburgh</t>
  </si>
  <si>
    <t>University of North Carolina at Chapel Hill and Foundations</t>
  </si>
  <si>
    <t>Chapel Hill</t>
  </si>
  <si>
    <t>The Pennsylvania State University</t>
  </si>
  <si>
    <t>University Park</t>
  </si>
  <si>
    <t>University of Wisconsin Foundation</t>
  </si>
  <si>
    <t>Madison</t>
  </si>
  <si>
    <t>WI</t>
  </si>
  <si>
    <t>Institutionally-related foundation (IRF)</t>
  </si>
  <si>
    <t>University of Washington</t>
  </si>
  <si>
    <t>Seattle</t>
  </si>
  <si>
    <t>WA</t>
  </si>
  <si>
    <t>Michigan State University</t>
  </si>
  <si>
    <t>East Lansing</t>
  </si>
  <si>
    <t>UCLA Investment Company</t>
  </si>
  <si>
    <t>Williams College</t>
  </si>
  <si>
    <t>Williamstown</t>
  </si>
  <si>
    <t>California Institute of Technology</t>
  </si>
  <si>
    <t>Pasadena</t>
  </si>
  <si>
    <t>Purdue University</t>
  </si>
  <si>
    <t>West Lafayette</t>
  </si>
  <si>
    <t>Combined endowment/foundation</t>
  </si>
  <si>
    <t>Trustees of Boston College</t>
  </si>
  <si>
    <t>Chestnut Hill</t>
  </si>
  <si>
    <t>Amherst College</t>
  </si>
  <si>
    <t>Amherst</t>
  </si>
  <si>
    <t>Minneapolis</t>
  </si>
  <si>
    <t>MN</t>
  </si>
  <si>
    <t>Boston University</t>
  </si>
  <si>
    <t>Boston</t>
  </si>
  <si>
    <t>Indiana University Foundation</t>
  </si>
  <si>
    <t>Bloomington</t>
  </si>
  <si>
    <t>University of Richmond</t>
  </si>
  <si>
    <t>Richmond</t>
  </si>
  <si>
    <t>Urbana</t>
  </si>
  <si>
    <t>University of Rochester</t>
  </si>
  <si>
    <t>Rochester</t>
  </si>
  <si>
    <t>The Rockefeller University</t>
  </si>
  <si>
    <t>Wellesley College</t>
  </si>
  <si>
    <t>Wellesley</t>
  </si>
  <si>
    <t>Pomona College</t>
  </si>
  <si>
    <t>Claremont</t>
  </si>
  <si>
    <t>Georgia Institute of Technology and Related Foundations</t>
  </si>
  <si>
    <t>University of California Berkeley Foundation</t>
  </si>
  <si>
    <t>Berkeley</t>
  </si>
  <si>
    <t>Swarthmore College</t>
  </si>
  <si>
    <t>Swarthmore</t>
  </si>
  <si>
    <t>Trustees of Grinnell College</t>
  </si>
  <si>
    <t>Grinnell</t>
  </si>
  <si>
    <t>IA</t>
  </si>
  <si>
    <t>University of California San Francisco Foundation</t>
  </si>
  <si>
    <t>San Francisco</t>
  </si>
  <si>
    <t>Virginia Commonwealth University and Affiliated Entities</t>
  </si>
  <si>
    <t>University of Toronto</t>
  </si>
  <si>
    <t>Toronto</t>
  </si>
  <si>
    <t>ON</t>
  </si>
  <si>
    <t>Smith College</t>
  </si>
  <si>
    <t>Northampton</t>
  </si>
  <si>
    <t>Tufts University</t>
  </si>
  <si>
    <t>Medford</t>
  </si>
  <si>
    <t>Georgetown University</t>
  </si>
  <si>
    <t>Washington</t>
  </si>
  <si>
    <t>DC</t>
  </si>
  <si>
    <t>Case Western Reserve University</t>
  </si>
  <si>
    <t>Cleveland</t>
  </si>
  <si>
    <t>University of Florida Foundation Inc.</t>
  </si>
  <si>
    <t>Gainesville</t>
  </si>
  <si>
    <t>FL</t>
  </si>
  <si>
    <t>The Kansas University Endowment Association</t>
  </si>
  <si>
    <t>Lawrence</t>
  </si>
  <si>
    <t>KS</t>
  </si>
  <si>
    <t>George Washington University</t>
  </si>
  <si>
    <t>Bowdoin College</t>
  </si>
  <si>
    <t>Brunswick</t>
  </si>
  <si>
    <t>ME</t>
  </si>
  <si>
    <t>University of Nebraska Board of Regents</t>
  </si>
  <si>
    <t>Lincoln</t>
  </si>
  <si>
    <t>NE</t>
  </si>
  <si>
    <t>University of Missouri System</t>
  </si>
  <si>
    <t>Columbia</t>
  </si>
  <si>
    <t>Liberty University</t>
  </si>
  <si>
    <t>Lynchburg</t>
  </si>
  <si>
    <t>Texas Christian University</t>
  </si>
  <si>
    <t>Fort Worth</t>
  </si>
  <si>
    <t>Southern Methodist University</t>
  </si>
  <si>
    <t>Dallas</t>
  </si>
  <si>
    <t>Washington &amp; Lee University</t>
  </si>
  <si>
    <t>Lexington</t>
  </si>
  <si>
    <t>University of Colorado Foundation</t>
  </si>
  <si>
    <t>Denver</t>
  </si>
  <si>
    <t>CO</t>
  </si>
  <si>
    <t>Iowa City</t>
  </si>
  <si>
    <t>The University System of Maryland Foundation</t>
  </si>
  <si>
    <t>Rutgers The State University of New Jersey</t>
  </si>
  <si>
    <t>New Brunswick</t>
  </si>
  <si>
    <t>University of Delaware</t>
  </si>
  <si>
    <t>Newark</t>
  </si>
  <si>
    <t>DE</t>
  </si>
  <si>
    <t>Tulane University</t>
  </si>
  <si>
    <t>New Orleans</t>
  </si>
  <si>
    <t>LA</t>
  </si>
  <si>
    <t>The Board of Trustees of the University of Alabama</t>
  </si>
  <si>
    <t>Tuscaloosa</t>
  </si>
  <si>
    <t>AL</t>
  </si>
  <si>
    <t>NC State University and Related Foundations</t>
  </si>
  <si>
    <t>Raleigh</t>
  </si>
  <si>
    <t>University of Cincinnati</t>
  </si>
  <si>
    <t>Cincinnati</t>
  </si>
  <si>
    <t>Syracuse University</t>
  </si>
  <si>
    <t>Syracuse</t>
  </si>
  <si>
    <t>Baylor University</t>
  </si>
  <si>
    <t>Waco</t>
  </si>
  <si>
    <t>Lehigh University</t>
  </si>
  <si>
    <t>Bethlehem</t>
  </si>
  <si>
    <t>The University of Georgia and Related Foundations</t>
  </si>
  <si>
    <t>Athens</t>
  </si>
  <si>
    <t>Wake Forest University</t>
  </si>
  <si>
    <t>Winston-Salem</t>
  </si>
  <si>
    <t>Virginia Tech Foundation</t>
  </si>
  <si>
    <t>Blacksburg</t>
  </si>
  <si>
    <t>The University of Tennessee</t>
  </si>
  <si>
    <t>Knoxville</t>
  </si>
  <si>
    <t>University of Kentucky</t>
  </si>
  <si>
    <t>KY</t>
  </si>
  <si>
    <t>Texas Tech University System</t>
  </si>
  <si>
    <t>Lubbock</t>
  </si>
  <si>
    <t>Trinity University</t>
  </si>
  <si>
    <t>San Antonio</t>
  </si>
  <si>
    <t>UBC Investment Management Trust (University of British Columbia)</t>
  </si>
  <si>
    <t>Vancouver</t>
  </si>
  <si>
    <t>BC</t>
  </si>
  <si>
    <t>Berea College</t>
  </si>
  <si>
    <t>Berea</t>
  </si>
  <si>
    <t>The Medical College of Wisconsin</t>
  </si>
  <si>
    <t>Milwaukee</t>
  </si>
  <si>
    <t>McGill University</t>
  </si>
  <si>
    <t>Montreal</t>
  </si>
  <si>
    <t>QC</t>
  </si>
  <si>
    <t>Oklahoma State University Foundation</t>
  </si>
  <si>
    <t>Stillwater</t>
  </si>
  <si>
    <t>OK</t>
  </si>
  <si>
    <t>University of Arkansas at Fayetteville and Foundation</t>
  </si>
  <si>
    <t>Little Rock</t>
  </si>
  <si>
    <t>AR</t>
  </si>
  <si>
    <t>University of Alberta</t>
  </si>
  <si>
    <t>Edmonton</t>
  </si>
  <si>
    <t>AB</t>
  </si>
  <si>
    <t>Baylor College of Medicine</t>
  </si>
  <si>
    <t>Saint Louis University</t>
  </si>
  <si>
    <t>Middlebury College</t>
  </si>
  <si>
    <t>Middlebury</t>
  </si>
  <si>
    <t>VT</t>
  </si>
  <si>
    <t>Princeton Theological Seminary</t>
  </si>
  <si>
    <t>Iowa State University of Science and Technology</t>
  </si>
  <si>
    <t>Ames</t>
  </si>
  <si>
    <t>Vassar College</t>
  </si>
  <si>
    <t>Poughkeepsie</t>
  </si>
  <si>
    <t>Washington State University</t>
  </si>
  <si>
    <t>Pullman</t>
  </si>
  <si>
    <t>Brandeis University</t>
  </si>
  <si>
    <t>Waltham</t>
  </si>
  <si>
    <t>University of Utah</t>
  </si>
  <si>
    <t>Salt Lake City</t>
  </si>
  <si>
    <t>UT</t>
  </si>
  <si>
    <t>University of Tulsa</t>
  </si>
  <si>
    <t>Tulsa</t>
  </si>
  <si>
    <t>Northeastern University</t>
  </si>
  <si>
    <t>Wesleyan University</t>
  </si>
  <si>
    <t>Middletown</t>
  </si>
  <si>
    <t>Coral Gables</t>
  </si>
  <si>
    <t>Loma Linda University</t>
  </si>
  <si>
    <t>Loma Linda</t>
  </si>
  <si>
    <t>University of California Irvine Foundation</t>
  </si>
  <si>
    <t>Irvine</t>
  </si>
  <si>
    <t>Santa Clara University</t>
  </si>
  <si>
    <t>Santa Clara</t>
  </si>
  <si>
    <t>Hamilton College</t>
  </si>
  <si>
    <t>Clinton</t>
  </si>
  <si>
    <t>University of Houston System</t>
  </si>
  <si>
    <t>The University of Arizona and the University of Arizona Foundation</t>
  </si>
  <si>
    <t>Tucson</t>
  </si>
  <si>
    <t>AZ</t>
  </si>
  <si>
    <t>Berry College</t>
  </si>
  <si>
    <t>Mount Berry</t>
  </si>
  <si>
    <t>William &amp; Mary and Foundations</t>
  </si>
  <si>
    <t>Williamsburg</t>
  </si>
  <si>
    <t>Colgate University</t>
  </si>
  <si>
    <t>Hamilton</t>
  </si>
  <si>
    <t>Arizona State University &amp; Foundation</t>
  </si>
  <si>
    <t>Tempe</t>
  </si>
  <si>
    <t>Baton Rouge</t>
  </si>
  <si>
    <t>Oberlin College</t>
  </si>
  <si>
    <t>Oberlin</t>
  </si>
  <si>
    <t>Rochester Institute of Technology</t>
  </si>
  <si>
    <t>Carnegie Institution of Washington</t>
  </si>
  <si>
    <t>University of Oregon Foundation</t>
  </si>
  <si>
    <t>Eugene</t>
  </si>
  <si>
    <t>OR</t>
  </si>
  <si>
    <t>Davidson College</t>
  </si>
  <si>
    <t>Davidson</t>
  </si>
  <si>
    <t>Denison University</t>
  </si>
  <si>
    <t>Granville</t>
  </si>
  <si>
    <t>University of Massachusetts Foundation</t>
  </si>
  <si>
    <t>UC San Diego Foundation</t>
  </si>
  <si>
    <t>La Jolla</t>
  </si>
  <si>
    <t>Bryn Mawr College</t>
  </si>
  <si>
    <t>Bryn Mawr</t>
  </si>
  <si>
    <t>Pepperdine University</t>
  </si>
  <si>
    <t>Malibu</t>
  </si>
  <si>
    <t>The President and Trustees of Colby College</t>
  </si>
  <si>
    <t>Waterville</t>
  </si>
  <si>
    <t>Carleton College</t>
  </si>
  <si>
    <t>Northfield</t>
  </si>
  <si>
    <t>Claremont McKenna College</t>
  </si>
  <si>
    <t>Bucknell University</t>
  </si>
  <si>
    <t>Lewisburg</t>
  </si>
  <si>
    <t>Lafayette College</t>
  </si>
  <si>
    <t>Easton</t>
  </si>
  <si>
    <t>Queen's University</t>
  </si>
  <si>
    <t>Kingston</t>
  </si>
  <si>
    <t>Portland</t>
  </si>
  <si>
    <t>Villanova University</t>
  </si>
  <si>
    <t>Villanova</t>
  </si>
  <si>
    <t>Concord</t>
  </si>
  <si>
    <t>Drexel University</t>
  </si>
  <si>
    <t>Trustees of Mount Holyoke College</t>
  </si>
  <si>
    <t>South Hadley</t>
  </si>
  <si>
    <t>University at Buffalo Foundation</t>
  </si>
  <si>
    <t>Buffalo</t>
  </si>
  <si>
    <t>Institute for Advanced Study</t>
  </si>
  <si>
    <t>University of South Carolina and Affiliated Foundations</t>
  </si>
  <si>
    <t>SC</t>
  </si>
  <si>
    <t>Auburn University and Foundation</t>
  </si>
  <si>
    <t>Auburn</t>
  </si>
  <si>
    <t>American University of Beirut</t>
  </si>
  <si>
    <t>University of Denver</t>
  </si>
  <si>
    <t>Clemson University Foundation</t>
  </si>
  <si>
    <t>Clemson</t>
  </si>
  <si>
    <t>The Colorado College</t>
  </si>
  <si>
    <t>Colorado Springs</t>
  </si>
  <si>
    <t>College of the Holy Cross</t>
  </si>
  <si>
    <t>Worcester</t>
  </si>
  <si>
    <t>Rensselaer Polytechnic Institute</t>
  </si>
  <si>
    <t>Troy</t>
  </si>
  <si>
    <t>DePaul University</t>
  </si>
  <si>
    <t>Oklahoma State Regents for Higher Education</t>
  </si>
  <si>
    <t>Oklahoma City</t>
  </si>
  <si>
    <t>American University</t>
  </si>
  <si>
    <t>Queens</t>
  </si>
  <si>
    <t>University of Louisville Foundation</t>
  </si>
  <si>
    <t>Louisville</t>
  </si>
  <si>
    <t>Fordham University</t>
  </si>
  <si>
    <t>Bronx</t>
  </si>
  <si>
    <t>Howard University</t>
  </si>
  <si>
    <t>Loyola University Chicago</t>
  </si>
  <si>
    <t>Florida State University Foundation</t>
  </si>
  <si>
    <t>Tallahassee</t>
  </si>
  <si>
    <t>Macalester College</t>
  </si>
  <si>
    <t>Saint Paul</t>
  </si>
  <si>
    <t>The Principia Corporation</t>
  </si>
  <si>
    <t>Elsah</t>
  </si>
  <si>
    <t>Marquette University</t>
  </si>
  <si>
    <t>DePauw University</t>
  </si>
  <si>
    <t>Greencastle</t>
  </si>
  <si>
    <t>University of Mississippi Foundation</t>
  </si>
  <si>
    <t>University</t>
  </si>
  <si>
    <t>MS</t>
  </si>
  <si>
    <t>Furman University</t>
  </si>
  <si>
    <t>Greenville</t>
  </si>
  <si>
    <t>Temple University</t>
  </si>
  <si>
    <t>Hofstra University</t>
  </si>
  <si>
    <t>Hempstead</t>
  </si>
  <si>
    <t>Oregon State University Foundation</t>
  </si>
  <si>
    <t>Corvallis</t>
  </si>
  <si>
    <t>Yeshiva University</t>
  </si>
  <si>
    <t>University of Wisconsin System</t>
  </si>
  <si>
    <t>West Virginia University Foundation</t>
  </si>
  <si>
    <t>Morgantown</t>
  </si>
  <si>
    <t>WV</t>
  </si>
  <si>
    <t>University of Dayton</t>
  </si>
  <si>
    <t>Dayton</t>
  </si>
  <si>
    <t>Trinity College</t>
  </si>
  <si>
    <t>Hartford</t>
  </si>
  <si>
    <t>Whitman College</t>
  </si>
  <si>
    <t>Walla Walla</t>
  </si>
  <si>
    <t>Western University</t>
  </si>
  <si>
    <t>London</t>
  </si>
  <si>
    <t>Rush University Medical Center</t>
  </si>
  <si>
    <t>Ohio University and The Ohio University Foundation</t>
  </si>
  <si>
    <t>Reed College</t>
  </si>
  <si>
    <t>Creighton University</t>
  </si>
  <si>
    <t>Omaha</t>
  </si>
  <si>
    <t>Miami University Foundation</t>
  </si>
  <si>
    <t>Oxford</t>
  </si>
  <si>
    <t>University of Wyoming Foundation</t>
  </si>
  <si>
    <t>Laramie</t>
  </si>
  <si>
    <t>WY</t>
  </si>
  <si>
    <t>National Academy of Sciences</t>
  </si>
  <si>
    <t>Other</t>
  </si>
  <si>
    <t>Quinnipiac University</t>
  </si>
  <si>
    <t>Hamden</t>
  </si>
  <si>
    <t>Virginia Military Institute Foundation</t>
  </si>
  <si>
    <t>Lebanese American University</t>
  </si>
  <si>
    <t>University of San Diego</t>
  </si>
  <si>
    <t>San Diego</t>
  </si>
  <si>
    <t>University of South Florida Foundation</t>
  </si>
  <si>
    <t>Tampa</t>
  </si>
  <si>
    <t>St. Olaf College</t>
  </si>
  <si>
    <t>Kansas State University Foundation</t>
  </si>
  <si>
    <t>Manhattan</t>
  </si>
  <si>
    <t>Whitehead Institute for Biomedical Research</t>
  </si>
  <si>
    <t>Mississippi State University &amp; Foundation</t>
  </si>
  <si>
    <t>Mississippi State</t>
  </si>
  <si>
    <t>Medical College of Virginia Foundation</t>
  </si>
  <si>
    <t>Haverford College</t>
  </si>
  <si>
    <t>Haverford</t>
  </si>
  <si>
    <t>Worcester Polytechnic Institute</t>
  </si>
  <si>
    <t>Wheaton College</t>
  </si>
  <si>
    <t>Wheaton</t>
  </si>
  <si>
    <t>Babson College</t>
  </si>
  <si>
    <t>Dalhousie University</t>
  </si>
  <si>
    <t>Halifax</t>
  </si>
  <si>
    <t>NS</t>
  </si>
  <si>
    <t>UC Davis Foundation</t>
  </si>
  <si>
    <t>Davis</t>
  </si>
  <si>
    <t>Loyola Marymount University</t>
  </si>
  <si>
    <t>College of the Ozarks</t>
  </si>
  <si>
    <t>Point Lookout</t>
  </si>
  <si>
    <t>The University of Connecticut Foundation</t>
  </si>
  <si>
    <t>Storrs</t>
  </si>
  <si>
    <t>Union College</t>
  </si>
  <si>
    <t>Schenectady</t>
  </si>
  <si>
    <t>Duquesne University of the Holy Spirit</t>
  </si>
  <si>
    <t>Abilene</t>
  </si>
  <si>
    <t>Dickinson College</t>
  </si>
  <si>
    <t>Carlisle</t>
  </si>
  <si>
    <t>University of the Pacific</t>
  </si>
  <si>
    <t>Stockton</t>
  </si>
  <si>
    <t>University of New Mexico Foundation</t>
  </si>
  <si>
    <t>Albuquerque</t>
  </si>
  <si>
    <t>NM</t>
  </si>
  <si>
    <t>Occidental College</t>
  </si>
  <si>
    <t>University of Toledo Foundation</t>
  </si>
  <si>
    <t>Toledo</t>
  </si>
  <si>
    <t>University of San Francisco</t>
  </si>
  <si>
    <t>Utah State University</t>
  </si>
  <si>
    <t>Logan</t>
  </si>
  <si>
    <t>Trustees of Clark University</t>
  </si>
  <si>
    <t>The University of the South</t>
  </si>
  <si>
    <t>Sewanee</t>
  </si>
  <si>
    <t>Philadelphia College of Osteopathic Medicine</t>
  </si>
  <si>
    <t>Kenyon College</t>
  </si>
  <si>
    <t>Gambier</t>
  </si>
  <si>
    <t>Orange</t>
  </si>
  <si>
    <t>Wayne State University Foundation</t>
  </si>
  <si>
    <t>Detroit</t>
  </si>
  <si>
    <t>Western Michigan University Foundation</t>
  </si>
  <si>
    <t>Kalamazoo</t>
  </si>
  <si>
    <t>The New School</t>
  </si>
  <si>
    <t>Colorado State University Foundation</t>
  </si>
  <si>
    <t>Fort Collins</t>
  </si>
  <si>
    <t>University of South Alabama Foundation</t>
  </si>
  <si>
    <t>Mobile</t>
  </si>
  <si>
    <t>Earlham College</t>
  </si>
  <si>
    <t>University of Puget Sound</t>
  </si>
  <si>
    <t>Tacoma</t>
  </si>
  <si>
    <t>Spelman College</t>
  </si>
  <si>
    <t>Scripps College</t>
  </si>
  <si>
    <t>Olin College of Engineering</t>
  </si>
  <si>
    <t>Needham</t>
  </si>
  <si>
    <t>Reno</t>
  </si>
  <si>
    <t>NV</t>
  </si>
  <si>
    <t>Rollins College</t>
  </si>
  <si>
    <t>Winter Park</t>
  </si>
  <si>
    <t>Medical University of South Carolina Foundation</t>
  </si>
  <si>
    <t>Charleston</t>
  </si>
  <si>
    <t>Skidmore College</t>
  </si>
  <si>
    <t>Saratoga Springs</t>
  </si>
  <si>
    <t>Lawrence University</t>
  </si>
  <si>
    <t>Appleton</t>
  </si>
  <si>
    <t>SUNY Stony Brook Foundation</t>
  </si>
  <si>
    <t>Stony Brook</t>
  </si>
  <si>
    <t>Teachers College Columbia University</t>
  </si>
  <si>
    <t>Barnard College</t>
  </si>
  <si>
    <t>University of Alaska Foundation</t>
  </si>
  <si>
    <t>Fairbanks</t>
  </si>
  <si>
    <t>AK</t>
  </si>
  <si>
    <t>The Brookings Institution</t>
  </si>
  <si>
    <t>Michigan State University Foundation</t>
  </si>
  <si>
    <t>Lansing</t>
  </si>
  <si>
    <t>Fairfield University</t>
  </si>
  <si>
    <t>Fairfield</t>
  </si>
  <si>
    <t>Franklin and Marshall College</t>
  </si>
  <si>
    <t>Lancaster</t>
  </si>
  <si>
    <t>Rhode Island School of Design</t>
  </si>
  <si>
    <t>West Point Association of Graduates</t>
  </si>
  <si>
    <t>West Point</t>
  </si>
  <si>
    <t>University of Hawaii Foundation</t>
  </si>
  <si>
    <t>Honolulu</t>
  </si>
  <si>
    <t>HI</t>
  </si>
  <si>
    <t>Bates College</t>
  </si>
  <si>
    <t>Lewiston</t>
  </si>
  <si>
    <t>Rhodes College</t>
  </si>
  <si>
    <t>Memphis</t>
  </si>
  <si>
    <t>University of Victoria Foundation</t>
  </si>
  <si>
    <t>Victoria</t>
  </si>
  <si>
    <t>Berklee College of Music</t>
  </si>
  <si>
    <t>Ithaca College</t>
  </si>
  <si>
    <t>Wabash College</t>
  </si>
  <si>
    <t>Crawfordsville</t>
  </si>
  <si>
    <t>The College of Wooster</t>
  </si>
  <si>
    <t>Wooster</t>
  </si>
  <si>
    <t>The Campanile Foundation (San Diego State University)</t>
  </si>
  <si>
    <t>Centre College of Kentucky</t>
  </si>
  <si>
    <t>Danville</t>
  </si>
  <si>
    <t>Bradley University</t>
  </si>
  <si>
    <t>Peoria</t>
  </si>
  <si>
    <t>Gettysburg College</t>
  </si>
  <si>
    <t>Gettysburg</t>
  </si>
  <si>
    <t>Harvey Mudd College</t>
  </si>
  <si>
    <t>Connecticut College</t>
  </si>
  <si>
    <t>New London</t>
  </si>
  <si>
    <t>University of North Carolina at Greensboro Investment Fund</t>
  </si>
  <si>
    <t>Greensboro</t>
  </si>
  <si>
    <t>Gonzaga University</t>
  </si>
  <si>
    <t>Spokane</t>
  </si>
  <si>
    <t>The Citadel</t>
  </si>
  <si>
    <t>University of Nevada Las Vegas Foundation</t>
  </si>
  <si>
    <t>Las Vegas</t>
  </si>
  <si>
    <t>University of California Santa Barbara Foundation</t>
  </si>
  <si>
    <t>Santa Barbara</t>
  </si>
  <si>
    <t>Stetson University</t>
  </si>
  <si>
    <t>DeLand</t>
  </si>
  <si>
    <t>Saint Joseph's University</t>
  </si>
  <si>
    <t>Southwestern University</t>
  </si>
  <si>
    <t>Georgetown</t>
  </si>
  <si>
    <t>University of Idaho Foundation</t>
  </si>
  <si>
    <t>Moscow</t>
  </si>
  <si>
    <t>ID</t>
  </si>
  <si>
    <t>Muhlenberg College</t>
  </si>
  <si>
    <t>Allentown</t>
  </si>
  <si>
    <t>Colorado School of Mines Foundation</t>
  </si>
  <si>
    <t>Golden</t>
  </si>
  <si>
    <t>Hampton University</t>
  </si>
  <si>
    <t>Hampton</t>
  </si>
  <si>
    <t>University of North Dakota Foundation</t>
  </si>
  <si>
    <t>Grand Forks</t>
  </si>
  <si>
    <t>ND</t>
  </si>
  <si>
    <t>The Catholic University of America</t>
  </si>
  <si>
    <t>Youngstown State University Foundation</t>
  </si>
  <si>
    <t>Youngstown</t>
  </si>
  <si>
    <t>Wichita State University Foundation</t>
  </si>
  <si>
    <t>Wichita</t>
  </si>
  <si>
    <t>The RAND Corporation</t>
  </si>
  <si>
    <t>Santa Monica</t>
  </si>
  <si>
    <t>Norfolk</t>
  </si>
  <si>
    <t>Seton Hall University</t>
  </si>
  <si>
    <t>South Orange</t>
  </si>
  <si>
    <t>University of South Dakota Foundation</t>
  </si>
  <si>
    <t>Vermillion</t>
  </si>
  <si>
    <t>SD</t>
  </si>
  <si>
    <t>University of New Brunswick</t>
  </si>
  <si>
    <t>Fredericton</t>
  </si>
  <si>
    <t>NB</t>
  </si>
  <si>
    <t>Elon University</t>
  </si>
  <si>
    <t>Elon</t>
  </si>
  <si>
    <t>Belmont University</t>
  </si>
  <si>
    <t>Salem</t>
  </si>
  <si>
    <t>Valparaiso University</t>
  </si>
  <si>
    <t>Valparaiso</t>
  </si>
  <si>
    <t>Mercy College</t>
  </si>
  <si>
    <t>Dobbs Ferry</t>
  </si>
  <si>
    <t>North Dakota State University Foundation</t>
  </si>
  <si>
    <t>Fargo</t>
  </si>
  <si>
    <t>Suffolk University</t>
  </si>
  <si>
    <t>Lewis &amp; Clark College</t>
  </si>
  <si>
    <t>Florida Atlantic University Foundation</t>
  </si>
  <si>
    <t>Boca Raton</t>
  </si>
  <si>
    <t>Rowan University</t>
  </si>
  <si>
    <t>Glassboro</t>
  </si>
  <si>
    <t>Loyola University Maryland</t>
  </si>
  <si>
    <t>Medical College of Georgia Foundation</t>
  </si>
  <si>
    <t>Augusta</t>
  </si>
  <si>
    <t>Ohio Wesleyan University</t>
  </si>
  <si>
    <t>Delaware</t>
  </si>
  <si>
    <t>The University of Akron Foundation</t>
  </si>
  <si>
    <t>Akron</t>
  </si>
  <si>
    <t>Allegheny College</t>
  </si>
  <si>
    <t>Meadville</t>
  </si>
  <si>
    <t>University of North Carolina at Charlotte</t>
  </si>
  <si>
    <t>Charlotte</t>
  </si>
  <si>
    <t>Carleton University</t>
  </si>
  <si>
    <t>Ottawa</t>
  </si>
  <si>
    <t>Hope College</t>
  </si>
  <si>
    <t>Holland</t>
  </si>
  <si>
    <t>University of Maine Foundation</t>
  </si>
  <si>
    <t>Orono</t>
  </si>
  <si>
    <t>California Polytechnic State University Foundation</t>
  </si>
  <si>
    <t>San Luis Obispo</t>
  </si>
  <si>
    <t>San Marcos</t>
  </si>
  <si>
    <t>Stevens Institute of Technology</t>
  </si>
  <si>
    <t>Hoboken</t>
  </si>
  <si>
    <t>Hobart &amp; William Smith Colleges</t>
  </si>
  <si>
    <t>Geneva</t>
  </si>
  <si>
    <t>University of Ottawa</t>
  </si>
  <si>
    <t>Pratt Institute</t>
  </si>
  <si>
    <t>Brooklyn</t>
  </si>
  <si>
    <t>Long Island University</t>
  </si>
  <si>
    <t>Brookville</t>
  </si>
  <si>
    <t>Columbia Theological Seminary</t>
  </si>
  <si>
    <t>Decatur</t>
  </si>
  <si>
    <t>The University of Memphis Foundation</t>
  </si>
  <si>
    <t>Drake University</t>
  </si>
  <si>
    <t>Des Moines</t>
  </si>
  <si>
    <t>Stonehill College</t>
  </si>
  <si>
    <t>Florida International University Foundation Inc</t>
  </si>
  <si>
    <t>Miami</t>
  </si>
  <si>
    <t>Washington College</t>
  </si>
  <si>
    <t>Chestertown</t>
  </si>
  <si>
    <t>University of Scranton</t>
  </si>
  <si>
    <t>Bayamon</t>
  </si>
  <si>
    <t>University of North Texas Foundation</t>
  </si>
  <si>
    <t>Denton</t>
  </si>
  <si>
    <t>University of Redlands</t>
  </si>
  <si>
    <t>Redlands</t>
  </si>
  <si>
    <t>East Carolina University</t>
  </si>
  <si>
    <t>Butler University</t>
  </si>
  <si>
    <t>Indianapolis</t>
  </si>
  <si>
    <t>Wheaton College (MA)</t>
  </si>
  <si>
    <t>Norton</t>
  </si>
  <si>
    <t>Rose-Hulman Institute of Technology</t>
  </si>
  <si>
    <t>Terre Haute</t>
  </si>
  <si>
    <t>Wofford College</t>
  </si>
  <si>
    <t>Spartanburg</t>
  </si>
  <si>
    <t>The University of Montana Foundation</t>
  </si>
  <si>
    <t>Missoula</t>
  </si>
  <si>
    <t>MT</t>
  </si>
  <si>
    <t>Saint John's University</t>
  </si>
  <si>
    <t>Collegeville</t>
  </si>
  <si>
    <t>Gustavus Adolphus College</t>
  </si>
  <si>
    <t>Saint Peter</t>
  </si>
  <si>
    <t>Agnes Scott College</t>
  </si>
  <si>
    <t>Northern Arizona University Foundation</t>
  </si>
  <si>
    <t>Flagstaff</t>
  </si>
  <si>
    <t>Indiana Wesleyan University</t>
  </si>
  <si>
    <t>Marion</t>
  </si>
  <si>
    <t>St. Mary's University</t>
  </si>
  <si>
    <t>Illinois Wesleyan University</t>
  </si>
  <si>
    <t>Xavier University</t>
  </si>
  <si>
    <t>Clarkson University</t>
  </si>
  <si>
    <t>Potsdam</t>
  </si>
  <si>
    <t>Pace University</t>
  </si>
  <si>
    <t>Midwestern University</t>
  </si>
  <si>
    <t>Downers Grove</t>
  </si>
  <si>
    <t>Goucher College</t>
  </si>
  <si>
    <t>Simmons University</t>
  </si>
  <si>
    <t>Transylvania University</t>
  </si>
  <si>
    <t>Sacred Heart University</t>
  </si>
  <si>
    <t>University of South Alabama</t>
  </si>
  <si>
    <t>Hampden-Sydney College</t>
  </si>
  <si>
    <t>Hampden-Sydney</t>
  </si>
  <si>
    <t>Central Michigan University</t>
  </si>
  <si>
    <t>Mount Pleasant</t>
  </si>
  <si>
    <t>Mills College</t>
  </si>
  <si>
    <t>Lesley University</t>
  </si>
  <si>
    <t>Bryant University</t>
  </si>
  <si>
    <t>Smithfield</t>
  </si>
  <si>
    <t>Western Kentucky University and Foundations</t>
  </si>
  <si>
    <t>Bowling Green</t>
  </si>
  <si>
    <t>California Institute of the Arts</t>
  </si>
  <si>
    <t>Valencia</t>
  </si>
  <si>
    <t>University of Dubuque</t>
  </si>
  <si>
    <t>Dubuque</t>
  </si>
  <si>
    <t>Saint Mary's College of California</t>
  </si>
  <si>
    <t>Moraga</t>
  </si>
  <si>
    <t>Baldwin Wallace University</t>
  </si>
  <si>
    <t>Montana State University Alumni Foundation</t>
  </si>
  <si>
    <t>Bozeman</t>
  </si>
  <si>
    <t>New Mexico State University Foundation</t>
  </si>
  <si>
    <t>Las Cruces</t>
  </si>
  <si>
    <t>University of Hartford</t>
  </si>
  <si>
    <t>West Hartford</t>
  </si>
  <si>
    <t>Hollins University</t>
  </si>
  <si>
    <t>Roanoke</t>
  </si>
  <si>
    <t>Claremont Graduate University</t>
  </si>
  <si>
    <t>Embry-Riddle Aeronautical University</t>
  </si>
  <si>
    <t>Daytona Beach</t>
  </si>
  <si>
    <t>Susquehanna University</t>
  </si>
  <si>
    <t>Selinsgrove</t>
  </si>
  <si>
    <t>Georgia State University Foundation</t>
  </si>
  <si>
    <t>California State University Fresno Foundation</t>
  </si>
  <si>
    <t>Fresno</t>
  </si>
  <si>
    <t>St. Ambrose University</t>
  </si>
  <si>
    <t>Davenport</t>
  </si>
  <si>
    <t>Randolph-Macon College</t>
  </si>
  <si>
    <t>Ashland</t>
  </si>
  <si>
    <t>Luther College</t>
  </si>
  <si>
    <t>Decorah</t>
  </si>
  <si>
    <t>Augustana College</t>
  </si>
  <si>
    <t>Rock Island</t>
  </si>
  <si>
    <t>Hardin Simmons University</t>
  </si>
  <si>
    <t>Whitworth University</t>
  </si>
  <si>
    <t>Saint Anselm College</t>
  </si>
  <si>
    <t>Manchester</t>
  </si>
  <si>
    <t>Harding University</t>
  </si>
  <si>
    <t>Searcy</t>
  </si>
  <si>
    <t>University of Rhode Island Foundation &amp; Alumni Engagement</t>
  </si>
  <si>
    <t>Concordia Seminary</t>
  </si>
  <si>
    <t>University of Central Florida Foundation</t>
  </si>
  <si>
    <t>Orlando</t>
  </si>
  <si>
    <t>Iona College</t>
  </si>
  <si>
    <t>New Rochelle</t>
  </si>
  <si>
    <t>Mennonite Education Agency Investment Fund LLC</t>
  </si>
  <si>
    <t>Elkhart</t>
  </si>
  <si>
    <t>Emmanuel College</t>
  </si>
  <si>
    <t>Columbia College</t>
  </si>
  <si>
    <t>Morehouse College</t>
  </si>
  <si>
    <t>Meharry Medical College</t>
  </si>
  <si>
    <t>Concordia College</t>
  </si>
  <si>
    <t>Moorhead</t>
  </si>
  <si>
    <t>Bowling Green State University Foundation</t>
  </si>
  <si>
    <t>Austin College</t>
  </si>
  <si>
    <t>Sherman</t>
  </si>
  <si>
    <t>Washburn University Foundation</t>
  </si>
  <si>
    <t>Topeka</t>
  </si>
  <si>
    <t>Weber State University</t>
  </si>
  <si>
    <t>Ogden</t>
  </si>
  <si>
    <t>George Mason University Foundation Inc.</t>
  </si>
  <si>
    <t>Fairfax</t>
  </si>
  <si>
    <t>South Dakota State University Foundation</t>
  </si>
  <si>
    <t>Brookings</t>
  </si>
  <si>
    <t>Troy University Foundation</t>
  </si>
  <si>
    <t>Illinois State University Foundation</t>
  </si>
  <si>
    <t>Normal</t>
  </si>
  <si>
    <t>St. Norbert College</t>
  </si>
  <si>
    <t>De Pere</t>
  </si>
  <si>
    <t>York College of Pennsylvania</t>
  </si>
  <si>
    <t>York</t>
  </si>
  <si>
    <t>Asbury Theological Seminary</t>
  </si>
  <si>
    <t>Wilmore</t>
  </si>
  <si>
    <t>San Jose State University and Tower Foundation</t>
  </si>
  <si>
    <t>San Jose</t>
  </si>
  <si>
    <t>Southern Illinois University Foundation</t>
  </si>
  <si>
    <t>Carbondale</t>
  </si>
  <si>
    <t>University of Chattanooga Foundation</t>
  </si>
  <si>
    <t>Chattanooga</t>
  </si>
  <si>
    <t>University of the Sciences in Philadelphia</t>
  </si>
  <si>
    <t>Pitzer College</t>
  </si>
  <si>
    <t>University of the Incarnate Word</t>
  </si>
  <si>
    <t>Hanover College</t>
  </si>
  <si>
    <t>Queens University of Charlotte</t>
  </si>
  <si>
    <t>Mount Saint Mary's University Los Angeles</t>
  </si>
  <si>
    <t>Roanoke College</t>
  </si>
  <si>
    <t>Mount Allison University</t>
  </si>
  <si>
    <t>Sackville</t>
  </si>
  <si>
    <t>San Francisco State University Foundation</t>
  </si>
  <si>
    <t>Kent State University Foundation</t>
  </si>
  <si>
    <t>Kent</t>
  </si>
  <si>
    <t>Indiana Institute of Technology</t>
  </si>
  <si>
    <t>Fort Wayne</t>
  </si>
  <si>
    <t>Alfred University</t>
  </si>
  <si>
    <t>Alfred</t>
  </si>
  <si>
    <t>New Jersey Institute of Technology</t>
  </si>
  <si>
    <t>University of Mount Union</t>
  </si>
  <si>
    <t>Alliance</t>
  </si>
  <si>
    <t>University of Northern Iowa Foundation</t>
  </si>
  <si>
    <t>Cedar Falls</t>
  </si>
  <si>
    <t>The Marshall University Foundation</t>
  </si>
  <si>
    <t>Huntington</t>
  </si>
  <si>
    <t>University of Health Sciences and Pharmacy in St. Louis</t>
  </si>
  <si>
    <t>Messiah University</t>
  </si>
  <si>
    <t>Mechanicsburg</t>
  </si>
  <si>
    <t>McDaniel College</t>
  </si>
  <si>
    <t>Westminster</t>
  </si>
  <si>
    <t>East Tennessee State University</t>
  </si>
  <si>
    <t>Johnson City</t>
  </si>
  <si>
    <t>Webster University</t>
  </si>
  <si>
    <t>Buena Vista University</t>
  </si>
  <si>
    <t>Storm Lake</t>
  </si>
  <si>
    <t>Ursinus College</t>
  </si>
  <si>
    <t>Austin Presbyterian Theological Seminary</t>
  </si>
  <si>
    <t>John Brown University</t>
  </si>
  <si>
    <t>Siloam Springs</t>
  </si>
  <si>
    <t>Seattle Pacific University</t>
  </si>
  <si>
    <t>California State University Northridge Foundation</t>
  </si>
  <si>
    <t>Northridge</t>
  </si>
  <si>
    <t>Illinois College</t>
  </si>
  <si>
    <t>Jacksonville</t>
  </si>
  <si>
    <t>Washington &amp; Jefferson College</t>
  </si>
  <si>
    <t>Roosevelt University</t>
  </si>
  <si>
    <t>The Foundation of the SUNY at Binghamton Inc.</t>
  </si>
  <si>
    <t>Vestal</t>
  </si>
  <si>
    <t>Michigan Technological University</t>
  </si>
  <si>
    <t>Houghton</t>
  </si>
  <si>
    <t>Sam Houston State University</t>
  </si>
  <si>
    <t>Huntsville</t>
  </si>
  <si>
    <t>James Madison University Foundation</t>
  </si>
  <si>
    <t>Harrisonburg</t>
  </si>
  <si>
    <t>Wentworth Institute of Technology</t>
  </si>
  <si>
    <t>Fort Hays State University Foundation</t>
  </si>
  <si>
    <t>Hays</t>
  </si>
  <si>
    <t>California Lutheran University</t>
  </si>
  <si>
    <t>Thousand Oaks</t>
  </si>
  <si>
    <t>Manhattan College</t>
  </si>
  <si>
    <t>Riverdale</t>
  </si>
  <si>
    <t>Juniata College</t>
  </si>
  <si>
    <t>Huntingdon</t>
  </si>
  <si>
    <t>Meredith College</t>
  </si>
  <si>
    <t>Boise State University Foundation</t>
  </si>
  <si>
    <t>Boise</t>
  </si>
  <si>
    <t>University of La Verne</t>
  </si>
  <si>
    <t>La Verne</t>
  </si>
  <si>
    <t>Eastern Virginia Medical School Foundation</t>
  </si>
  <si>
    <t>North Central College</t>
  </si>
  <si>
    <t>Naperville</t>
  </si>
  <si>
    <t>University of the Ozarks</t>
  </si>
  <si>
    <t>Clarksville</t>
  </si>
  <si>
    <t>Doane University</t>
  </si>
  <si>
    <t>Crete</t>
  </si>
  <si>
    <t>Goshen College</t>
  </si>
  <si>
    <t>Goshen</t>
  </si>
  <si>
    <t>SUNY Health Science Center at Syracuse</t>
  </si>
  <si>
    <t>Westminster College</t>
  </si>
  <si>
    <t>New Wilmington</t>
  </si>
  <si>
    <t>Sarah Lawrence College</t>
  </si>
  <si>
    <t>Bronxville</t>
  </si>
  <si>
    <t>Elmhurst College</t>
  </si>
  <si>
    <t>Elmhurst</t>
  </si>
  <si>
    <t>University of Indianapolis</t>
  </si>
  <si>
    <t>University of Lynchburg</t>
  </si>
  <si>
    <t>Middle Tennessee State University Foundation</t>
  </si>
  <si>
    <t>Murfreesboro</t>
  </si>
  <si>
    <t>Capital University</t>
  </si>
  <si>
    <t>Monmouth University</t>
  </si>
  <si>
    <t>West Long Branch</t>
  </si>
  <si>
    <t>Luther Seminary</t>
  </si>
  <si>
    <t>Linfield University</t>
  </si>
  <si>
    <t>McMinnville</t>
  </si>
  <si>
    <t>St. Edward's University</t>
  </si>
  <si>
    <t>Noblis Inc.</t>
  </si>
  <si>
    <t>Reston</t>
  </si>
  <si>
    <t>Cal Poly Pomona Philanthropic Foundation</t>
  </si>
  <si>
    <t>Pomona</t>
  </si>
  <si>
    <t>Hood College of Frederick Maryland</t>
  </si>
  <si>
    <t>Frederick</t>
  </si>
  <si>
    <t>Whittier College</t>
  </si>
  <si>
    <t>Whittier</t>
  </si>
  <si>
    <t>University of North Carolina at Wilmington</t>
  </si>
  <si>
    <t>Wilmington</t>
  </si>
  <si>
    <t>University of Southern Mississippi Foundation</t>
  </si>
  <si>
    <t>Hattiesburg</t>
  </si>
  <si>
    <t>College of Charleston Foundation</t>
  </si>
  <si>
    <t>Oakland University</t>
  </si>
  <si>
    <t>Rochester Hills</t>
  </si>
  <si>
    <t>Hamline University</t>
  </si>
  <si>
    <t>Northern Kentucky University Foundation</t>
  </si>
  <si>
    <t>Highland Heights</t>
  </si>
  <si>
    <t>Otterbein University</t>
  </si>
  <si>
    <t>Westerville</t>
  </si>
  <si>
    <t>Taylor University</t>
  </si>
  <si>
    <t>Upland</t>
  </si>
  <si>
    <t>Art Center College of Design</t>
  </si>
  <si>
    <t>Curry College</t>
  </si>
  <si>
    <t>Milton</t>
  </si>
  <si>
    <t>Endicott College</t>
  </si>
  <si>
    <t>Beverly</t>
  </si>
  <si>
    <t>Florida Agricultural and Mechanical University</t>
  </si>
  <si>
    <t>Wright State University Foundation</t>
  </si>
  <si>
    <t>Chatham University</t>
  </si>
  <si>
    <t>Millikin University</t>
  </si>
  <si>
    <t>College of St. Scholastica</t>
  </si>
  <si>
    <t>Duluth</t>
  </si>
  <si>
    <t>DeSales University</t>
  </si>
  <si>
    <t>Center Valley</t>
  </si>
  <si>
    <t>University of Evansville</t>
  </si>
  <si>
    <t>Evansville</t>
  </si>
  <si>
    <t>Drury University</t>
  </si>
  <si>
    <t>Springfield</t>
  </si>
  <si>
    <t>Niagara University</t>
  </si>
  <si>
    <t>Maryland Institute College of Art</t>
  </si>
  <si>
    <t>Bridgewater College</t>
  </si>
  <si>
    <t>Bridgewater</t>
  </si>
  <si>
    <t>Emory &amp; Henry College</t>
  </si>
  <si>
    <t>Emory</t>
  </si>
  <si>
    <t>Murray State University</t>
  </si>
  <si>
    <t>Murray</t>
  </si>
  <si>
    <t>Concordia University of Wisconsin</t>
  </si>
  <si>
    <t>Mequon</t>
  </si>
  <si>
    <t>Widener University</t>
  </si>
  <si>
    <t>Chester</t>
  </si>
  <si>
    <t>Northwood University</t>
  </si>
  <si>
    <t>Midland</t>
  </si>
  <si>
    <t>Western Carolina University</t>
  </si>
  <si>
    <t>Cullowhee</t>
  </si>
  <si>
    <t>Florida Institute of Technology</t>
  </si>
  <si>
    <t>Durango</t>
  </si>
  <si>
    <t>Saginaw Valley State University Foundation</t>
  </si>
  <si>
    <t>University Center</t>
  </si>
  <si>
    <t>Franklin University</t>
  </si>
  <si>
    <t>Fairleigh Dickinson University</t>
  </si>
  <si>
    <t>Teaneck</t>
  </si>
  <si>
    <t>Presbyterian College</t>
  </si>
  <si>
    <t>The Ferris Foundation</t>
  </si>
  <si>
    <t>Big Rapids</t>
  </si>
  <si>
    <t>Beloit College</t>
  </si>
  <si>
    <t>Beloit</t>
  </si>
  <si>
    <t>Eastern Illinois University Foundation</t>
  </si>
  <si>
    <t>College of Saint Benedict</t>
  </si>
  <si>
    <t>Saint Joseph</t>
  </si>
  <si>
    <t>Arkansas State University System Foundation</t>
  </si>
  <si>
    <t>Jonesboro</t>
  </si>
  <si>
    <t>Lake Forest College</t>
  </si>
  <si>
    <t>Lake Forest</t>
  </si>
  <si>
    <t>California State University Long Beach 49er Foundation</t>
  </si>
  <si>
    <t>Long Beach</t>
  </si>
  <si>
    <t>Texas Woman's University Foundation</t>
  </si>
  <si>
    <t>Marietta College</t>
  </si>
  <si>
    <t>Marietta</t>
  </si>
  <si>
    <t>Brite Divinity School</t>
  </si>
  <si>
    <t>Franklin College</t>
  </si>
  <si>
    <t>Franklin</t>
  </si>
  <si>
    <t>Wagner College</t>
  </si>
  <si>
    <t>Staten Island</t>
  </si>
  <si>
    <t>California Baptist University</t>
  </si>
  <si>
    <t>Riverside</t>
  </si>
  <si>
    <t>California State University Fullerton Philanthropic Foundation</t>
  </si>
  <si>
    <t>Fullerton</t>
  </si>
  <si>
    <t>Elizabethtown College</t>
  </si>
  <si>
    <t>Elizabethtown</t>
  </si>
  <si>
    <t>Arcadia University</t>
  </si>
  <si>
    <t>Glenside</t>
  </si>
  <si>
    <t>Cornell College</t>
  </si>
  <si>
    <t>Mount Vernon</t>
  </si>
  <si>
    <t>Montclair State University Foundation</t>
  </si>
  <si>
    <t>Montclair</t>
  </si>
  <si>
    <t>Lipscomb University</t>
  </si>
  <si>
    <t>University of Wisconsin-Eau Claire Foundation</t>
  </si>
  <si>
    <t>Eau Claire</t>
  </si>
  <si>
    <t>Roger Williams University</t>
  </si>
  <si>
    <t>Bristol</t>
  </si>
  <si>
    <t>La Salle University</t>
  </si>
  <si>
    <t>Springfield College</t>
  </si>
  <si>
    <t>Central College</t>
  </si>
  <si>
    <t>Pella</t>
  </si>
  <si>
    <t>Texas Lutheran University</t>
  </si>
  <si>
    <t>Seguin</t>
  </si>
  <si>
    <t>Florida Southern College</t>
  </si>
  <si>
    <t>Lakeland</t>
  </si>
  <si>
    <t>Emporia State University Foundation</t>
  </si>
  <si>
    <t>Emporia</t>
  </si>
  <si>
    <t>Westminster College of Salt Lake City</t>
  </si>
  <si>
    <t>Reformed Theological Seminary</t>
  </si>
  <si>
    <t>Jackson</t>
  </si>
  <si>
    <t>Saint Michael's College</t>
  </si>
  <si>
    <t>Colchester</t>
  </si>
  <si>
    <t>SUNY Albany Foundation</t>
  </si>
  <si>
    <t>Albany</t>
  </si>
  <si>
    <t>Converse College</t>
  </si>
  <si>
    <t>Foundation For California Community Colleges</t>
  </si>
  <si>
    <t>Sacramento</t>
  </si>
  <si>
    <t>Muskingum University</t>
  </si>
  <si>
    <t>New Concord</t>
  </si>
  <si>
    <t>Northern Illinois University Foundation</t>
  </si>
  <si>
    <t>Dekalb</t>
  </si>
  <si>
    <t>North Park University</t>
  </si>
  <si>
    <t>High Point University</t>
  </si>
  <si>
    <t>High Point</t>
  </si>
  <si>
    <t>University of New Orleans Foundation</t>
  </si>
  <si>
    <t>University of West Florida Foundation</t>
  </si>
  <si>
    <t>Pensacola</t>
  </si>
  <si>
    <t>Pittsburg State University Foundation</t>
  </si>
  <si>
    <t>Pittsburg</t>
  </si>
  <si>
    <t>Tennessee Technological University Foundation</t>
  </si>
  <si>
    <t>Cookeville</t>
  </si>
  <si>
    <t>North Carolina A&amp;T State University and Foundation</t>
  </si>
  <si>
    <t>Carroll University</t>
  </si>
  <si>
    <t>Waukesha</t>
  </si>
  <si>
    <t>Guilford College</t>
  </si>
  <si>
    <t>Valencia College Foundation</t>
  </si>
  <si>
    <t>Longwood University Foundation</t>
  </si>
  <si>
    <t>Farmville</t>
  </si>
  <si>
    <t>University of Detroit Mercy</t>
  </si>
  <si>
    <t>St. Bonaventure University</t>
  </si>
  <si>
    <t>Saint Bonaventure</t>
  </si>
  <si>
    <t>Regis University</t>
  </si>
  <si>
    <t>Pacific University</t>
  </si>
  <si>
    <t>Forest Grove</t>
  </si>
  <si>
    <t>Lebanon Valley College</t>
  </si>
  <si>
    <t>Annville</t>
  </si>
  <si>
    <t>Columbus State University Foundation</t>
  </si>
  <si>
    <t>College of Central Florida Foundation</t>
  </si>
  <si>
    <t>Ocala</t>
  </si>
  <si>
    <t>Indiana State University Foundation</t>
  </si>
  <si>
    <t>Eastern Kentucky University Foundation</t>
  </si>
  <si>
    <t>Albright College</t>
  </si>
  <si>
    <t>Reading</t>
  </si>
  <si>
    <t>Flagler College</t>
  </si>
  <si>
    <t>Saint Augustine</t>
  </si>
  <si>
    <t>New York Medical College</t>
  </si>
  <si>
    <t>Valhalla</t>
  </si>
  <si>
    <t>Shenandoah University</t>
  </si>
  <si>
    <t>Winchester</t>
  </si>
  <si>
    <t>Nazareth College of Rochester</t>
  </si>
  <si>
    <t>Georgia Southern University Foundation</t>
  </si>
  <si>
    <t>Statesboro</t>
  </si>
  <si>
    <t>Keck Graduate Institute</t>
  </si>
  <si>
    <t>The Foundation for the University of the Virgin Islands Inc.</t>
  </si>
  <si>
    <t>Charlotte Amalie</t>
  </si>
  <si>
    <t>VI</t>
  </si>
  <si>
    <t>Bellarmine University</t>
  </si>
  <si>
    <t>Clark College District #14 Foundation</t>
  </si>
  <si>
    <t>Rider University</t>
  </si>
  <si>
    <t>Lawrenceville</t>
  </si>
  <si>
    <t>Gannon University</t>
  </si>
  <si>
    <t>Erie</t>
  </si>
  <si>
    <t>Salve Regina University</t>
  </si>
  <si>
    <t>Newport</t>
  </si>
  <si>
    <t>Tennessee State University Foundation</t>
  </si>
  <si>
    <t>The University Foundation California State University Chico</t>
  </si>
  <si>
    <t>Chico</t>
  </si>
  <si>
    <t>University of Northern British Columbia</t>
  </si>
  <si>
    <t>Prince George</t>
  </si>
  <si>
    <t>Webb Institute</t>
  </si>
  <si>
    <t>Glen Cove</t>
  </si>
  <si>
    <t>Freed-Hardeman University</t>
  </si>
  <si>
    <t>Henderson</t>
  </si>
  <si>
    <t>Winthrop University Foundation</t>
  </si>
  <si>
    <t>Rock Hill</t>
  </si>
  <si>
    <t>Foundation for Indiana University of Pennsylvania</t>
  </si>
  <si>
    <t>Indiana</t>
  </si>
  <si>
    <t>Houghton College</t>
  </si>
  <si>
    <t>Northampton County Area Community College Foundation</t>
  </si>
  <si>
    <t>University of Mary Washington Foundation</t>
  </si>
  <si>
    <t>Fredericksburg</t>
  </si>
  <si>
    <t>Howard Payne University</t>
  </si>
  <si>
    <t>Brownwood</t>
  </si>
  <si>
    <t>Mount St. Joseph University</t>
  </si>
  <si>
    <t>Texas Wesleyan University</t>
  </si>
  <si>
    <t>New York Chiropractic College</t>
  </si>
  <si>
    <t>Seneca Falls</t>
  </si>
  <si>
    <t>University Foundation at Sacramento State</t>
  </si>
  <si>
    <t>Virginia State University Foundation</t>
  </si>
  <si>
    <t>Petersburg</t>
  </si>
  <si>
    <t>Western New England University</t>
  </si>
  <si>
    <t>Holy Names University</t>
  </si>
  <si>
    <t>Salisbury University Foundation</t>
  </si>
  <si>
    <t>Salisbury</t>
  </si>
  <si>
    <t>Viterbo University</t>
  </si>
  <si>
    <t>La Crosse</t>
  </si>
  <si>
    <t>Radford University Foundation</t>
  </si>
  <si>
    <t>Radford</t>
  </si>
  <si>
    <t>Coastal Educational Foundation (Coastal Carolina University)</t>
  </si>
  <si>
    <t>Conway</t>
  </si>
  <si>
    <t>Misericordia University</t>
  </si>
  <si>
    <t>Minnesota State University Mankato Foundation</t>
  </si>
  <si>
    <t>Mankato</t>
  </si>
  <si>
    <t>Augsburg University</t>
  </si>
  <si>
    <t>The University of the Arts</t>
  </si>
  <si>
    <t>Florida State College at Jacksonville Foundation</t>
  </si>
  <si>
    <t>Asbury University</t>
  </si>
  <si>
    <t>SUNY Oneonta Foundation</t>
  </si>
  <si>
    <t>Oneonta</t>
  </si>
  <si>
    <t>Sonoma State University Foundation</t>
  </si>
  <si>
    <t>Rohnert Park</t>
  </si>
  <si>
    <t>University of North Carolina at Asheville</t>
  </si>
  <si>
    <t>Asheville</t>
  </si>
  <si>
    <t>Ferrum College</t>
  </si>
  <si>
    <t>Ferrum</t>
  </si>
  <si>
    <t>Friends University</t>
  </si>
  <si>
    <t>Saint Francis University</t>
  </si>
  <si>
    <t>Loretto</t>
  </si>
  <si>
    <t>Heidelberg University</t>
  </si>
  <si>
    <t>Tiffin</t>
  </si>
  <si>
    <t>Warren Wilson College</t>
  </si>
  <si>
    <t>Swannanoa</t>
  </si>
  <si>
    <t>Maryville University of St. Louis</t>
  </si>
  <si>
    <t>The Bloomsburg University Foundation</t>
  </si>
  <si>
    <t>Bloomsburg</t>
  </si>
  <si>
    <t>The University of Baltimore Foundation</t>
  </si>
  <si>
    <t>LaGrange College</t>
  </si>
  <si>
    <t>Lagrange</t>
  </si>
  <si>
    <t>Brenau University</t>
  </si>
  <si>
    <t>Gateway Seminary</t>
  </si>
  <si>
    <t>Ontario</t>
  </si>
  <si>
    <t>Ringling College of Art &amp; Design</t>
  </si>
  <si>
    <t>Sarasota</t>
  </si>
  <si>
    <t>William Peace University</t>
  </si>
  <si>
    <t>SUNY Cortland -- College Foundation</t>
  </si>
  <si>
    <t>Cortland</t>
  </si>
  <si>
    <t>Salus University</t>
  </si>
  <si>
    <t>Elkins Park</t>
  </si>
  <si>
    <t>Samuel Merritt University</t>
  </si>
  <si>
    <t>Southern Adventist University</t>
  </si>
  <si>
    <t>Collegedale</t>
  </si>
  <si>
    <t>Georgian Court University</t>
  </si>
  <si>
    <t>Lakewood</t>
  </si>
  <si>
    <t>Graduate Theological Union</t>
  </si>
  <si>
    <t>Ashland University</t>
  </si>
  <si>
    <t>Morningside College</t>
  </si>
  <si>
    <t>Sioux City</t>
  </si>
  <si>
    <t>Minneapolis College of Art and Design</t>
  </si>
  <si>
    <t>California State University Los Angeles Foundation</t>
  </si>
  <si>
    <t>Coker University</t>
  </si>
  <si>
    <t>Hartsville</t>
  </si>
  <si>
    <t>Barry University Inc.</t>
  </si>
  <si>
    <t>Olivet Nazarene University Foundation</t>
  </si>
  <si>
    <t>Bourbonnais</t>
  </si>
  <si>
    <t>Erikson Institute</t>
  </si>
  <si>
    <t>CSUSB Philanthropic Foundation</t>
  </si>
  <si>
    <t>San Bernardino</t>
  </si>
  <si>
    <t>Marywood University</t>
  </si>
  <si>
    <t>Scranton</t>
  </si>
  <si>
    <t>McPherson College</t>
  </si>
  <si>
    <t>McPherson</t>
  </si>
  <si>
    <t>Carroll College</t>
  </si>
  <si>
    <t>Helena</t>
  </si>
  <si>
    <t>Oswego College Foundation Inc.</t>
  </si>
  <si>
    <t>Oswego</t>
  </si>
  <si>
    <t>Lasell University</t>
  </si>
  <si>
    <t>Newton</t>
  </si>
  <si>
    <t>Molloy College</t>
  </si>
  <si>
    <t>Rockville Centre</t>
  </si>
  <si>
    <t>Wilson College</t>
  </si>
  <si>
    <t>Chambersburg</t>
  </si>
  <si>
    <t>Concordia University - Saint Paul</t>
  </si>
  <si>
    <t>Cleveland Institute of Music</t>
  </si>
  <si>
    <t>Mount Aloysius College</t>
  </si>
  <si>
    <t>Cresson</t>
  </si>
  <si>
    <t>Regis College</t>
  </si>
  <si>
    <t>Weston</t>
  </si>
  <si>
    <t>Bethany Lutheran College</t>
  </si>
  <si>
    <t>University of Mary</t>
  </si>
  <si>
    <t>Bismarck</t>
  </si>
  <si>
    <t>Lorain County Community College Foundation</t>
  </si>
  <si>
    <t>Elyria</t>
  </si>
  <si>
    <t>Golden Gate University</t>
  </si>
  <si>
    <t>Montana Tech Foundation</t>
  </si>
  <si>
    <t>Butte</t>
  </si>
  <si>
    <t>College of New Jersey Foundation</t>
  </si>
  <si>
    <t>Ewing</t>
  </si>
  <si>
    <t>Colby-Sawyer College</t>
  </si>
  <si>
    <t>Clarion University Foundation Inc.</t>
  </si>
  <si>
    <t>Clarion</t>
  </si>
  <si>
    <t>University of New England</t>
  </si>
  <si>
    <t>Biddeford</t>
  </si>
  <si>
    <t>SUNY Fredonia College Foundation</t>
  </si>
  <si>
    <t>Fredonia</t>
  </si>
  <si>
    <t>Robert Morris University</t>
  </si>
  <si>
    <t>Moon Township</t>
  </si>
  <si>
    <t>SUNY Potsdam College Foundation</t>
  </si>
  <si>
    <t>Cedarville University</t>
  </si>
  <si>
    <t>Cedarville</t>
  </si>
  <si>
    <t>Colorado Mesa University Foundation</t>
  </si>
  <si>
    <t>Grand Junction</t>
  </si>
  <si>
    <t>Cedar Crest College</t>
  </si>
  <si>
    <t>Northwest College Foundation</t>
  </si>
  <si>
    <t>Powell</t>
  </si>
  <si>
    <t>Wisconsin Lutheran College</t>
  </si>
  <si>
    <t>Broome Community College Foundation</t>
  </si>
  <si>
    <t>Binghamton</t>
  </si>
  <si>
    <t>Rockhurst University</t>
  </si>
  <si>
    <t>Kansas City</t>
  </si>
  <si>
    <t>Cuesta College Foundation</t>
  </si>
  <si>
    <t>National Louis University</t>
  </si>
  <si>
    <t>Worcester State Foundation</t>
  </si>
  <si>
    <t>Roberts Wesleyan College</t>
  </si>
  <si>
    <t>Kutztown University Foundation</t>
  </si>
  <si>
    <t>Kutztown</t>
  </si>
  <si>
    <t>Rocky Mountain College</t>
  </si>
  <si>
    <t>Billings</t>
  </si>
  <si>
    <t>St.Mary's College of Maryland Foundation</t>
  </si>
  <si>
    <t>St. Mary's City</t>
  </si>
  <si>
    <t>Humboldt State University Foundation</t>
  </si>
  <si>
    <t>Arcata</t>
  </si>
  <si>
    <t>St. Thomas University</t>
  </si>
  <si>
    <t>Miami Gardens</t>
  </si>
  <si>
    <t>Georgia Southwestern Foundation</t>
  </si>
  <si>
    <t>Americus</t>
  </si>
  <si>
    <t>Delaware Valley University</t>
  </si>
  <si>
    <t>Doylestown</t>
  </si>
  <si>
    <t>Bradford Educational Foundation - University of Pittsburgh at Bradford</t>
  </si>
  <si>
    <t>Bradford</t>
  </si>
  <si>
    <t>Sinclair Community College Foundation</t>
  </si>
  <si>
    <t>Southern Connecticut State University Foundation</t>
  </si>
  <si>
    <t>University of Central Arkansas Foundation</t>
  </si>
  <si>
    <t>Clarke University</t>
  </si>
  <si>
    <t>Culver-Stockton College</t>
  </si>
  <si>
    <t>Canton</t>
  </si>
  <si>
    <t>Husson University</t>
  </si>
  <si>
    <t>Bangor</t>
  </si>
  <si>
    <t>Tri-County Technical College Foundation</t>
  </si>
  <si>
    <t>Pendleton</t>
  </si>
  <si>
    <t>California State University San Marcos Foundation</t>
  </si>
  <si>
    <t>California State University Foundation</t>
  </si>
  <si>
    <t>American University in Bulgaria</t>
  </si>
  <si>
    <t>Blagoevgrad</t>
  </si>
  <si>
    <t>California State University Monterey Bay</t>
  </si>
  <si>
    <t>Seaside</t>
  </si>
  <si>
    <t>Southern Illinois University Edwardsville Foundation</t>
  </si>
  <si>
    <t>Edwardsville</t>
  </si>
  <si>
    <t>Meadville Theological School of Lombard College</t>
  </si>
  <si>
    <t>UNC School of the Arts</t>
  </si>
  <si>
    <t>California State University Bakersfield Foundation</t>
  </si>
  <si>
    <t>Bakersfield</t>
  </si>
  <si>
    <t>Utica College</t>
  </si>
  <si>
    <t>Utica</t>
  </si>
  <si>
    <t>Grand View University</t>
  </si>
  <si>
    <t>Delta College</t>
  </si>
  <si>
    <t>Lamar University</t>
  </si>
  <si>
    <t>Beaumont</t>
  </si>
  <si>
    <t>Vaughn College of Aeronautics and Technology</t>
  </si>
  <si>
    <t>Flushing</t>
  </si>
  <si>
    <t>Shepherd University Foundation</t>
  </si>
  <si>
    <t>Shepherdstown</t>
  </si>
  <si>
    <t>Eastern Washington University Foundation</t>
  </si>
  <si>
    <t>Cheney</t>
  </si>
  <si>
    <t>New England College</t>
  </si>
  <si>
    <t>Henniker</t>
  </si>
  <si>
    <t>Fayetteville State University</t>
  </si>
  <si>
    <t>Fayetteville</t>
  </si>
  <si>
    <t>Peirce College</t>
  </si>
  <si>
    <t>University of North Carolina at Pembroke</t>
  </si>
  <si>
    <t>Pembroke</t>
  </si>
  <si>
    <t>Chaminade University of Honolulu</t>
  </si>
  <si>
    <t>Marshall B. Ketchum University</t>
  </si>
  <si>
    <t>Lubbock Christian University</t>
  </si>
  <si>
    <t>Central Oregon Community College Foundation</t>
  </si>
  <si>
    <t>Bend</t>
  </si>
  <si>
    <t>LeTourneau University</t>
  </si>
  <si>
    <t>Longview</t>
  </si>
  <si>
    <t>Midway University</t>
  </si>
  <si>
    <t>Midway</t>
  </si>
  <si>
    <t>University of St. Francis</t>
  </si>
  <si>
    <t>Joliet</t>
  </si>
  <si>
    <t>Spartanburg Methodist College</t>
  </si>
  <si>
    <t>SUNY Plattsburgh College Foundation</t>
  </si>
  <si>
    <t>Plattsburgh</t>
  </si>
  <si>
    <t>Thomas College</t>
  </si>
  <si>
    <t>Nichols College</t>
  </si>
  <si>
    <t>Dudley</t>
  </si>
  <si>
    <t>West Chester University Foundation</t>
  </si>
  <si>
    <t>West Chester</t>
  </si>
  <si>
    <t>Ramapo College of New Jersey</t>
  </si>
  <si>
    <t>Mahwah</t>
  </si>
  <si>
    <t>Defiance College</t>
  </si>
  <si>
    <t>Defiance</t>
  </si>
  <si>
    <t>Ohio Dominican University</t>
  </si>
  <si>
    <t>The Foundation for Florida Gateway College</t>
  </si>
  <si>
    <t>Lake City</t>
  </si>
  <si>
    <t>Warner Pacific University</t>
  </si>
  <si>
    <t>Kalamazoo Valley Community College</t>
  </si>
  <si>
    <t>Trinity Western University</t>
  </si>
  <si>
    <t>Langley</t>
  </si>
  <si>
    <t>Lakeland University Foundation</t>
  </si>
  <si>
    <t>Plymouth</t>
  </si>
  <si>
    <t>California State University East Bay</t>
  </si>
  <si>
    <t>Hayward</t>
  </si>
  <si>
    <t>Dakota State University Foundation</t>
  </si>
  <si>
    <t>California State University Stanislaus</t>
  </si>
  <si>
    <t>Turlock</t>
  </si>
  <si>
    <t>Polytechnic University of Puerto Rico</t>
  </si>
  <si>
    <t>San Juan</t>
  </si>
  <si>
    <t>PR</t>
  </si>
  <si>
    <t>California State University Channel Islands Foundation</t>
  </si>
  <si>
    <t>Camarillo</t>
  </si>
  <si>
    <t>Monroe Community College Foundation</t>
  </si>
  <si>
    <t>Faulkner University</t>
  </si>
  <si>
    <t>Montgomery</t>
  </si>
  <si>
    <t>North Iowa Area Community College Foundation</t>
  </si>
  <si>
    <t>Mason City</t>
  </si>
  <si>
    <t>Massachusetts College of Liberal Arts Foundation Inc.</t>
  </si>
  <si>
    <t>North Adams</t>
  </si>
  <si>
    <t>California State University Dominguez Hills Philanthropic Foundation</t>
  </si>
  <si>
    <t>Carson</t>
  </si>
  <si>
    <t>Pellissippi State Community College Foundation</t>
  </si>
  <si>
    <t>California Maritime Academy Foundation</t>
  </si>
  <si>
    <t>Vallejo</t>
  </si>
  <si>
    <t>Cornerstone University</t>
  </si>
  <si>
    <t>Grand Rapids</t>
  </si>
  <si>
    <t>Midlands Technical College Foundation</t>
  </si>
  <si>
    <t>West Columbia</t>
  </si>
  <si>
    <t>Blue Ridge Community College Educational Foundation Inc.</t>
  </si>
  <si>
    <t>Weyers Cave</t>
  </si>
  <si>
    <t>Indiana University of Pennsylvania</t>
  </si>
  <si>
    <t>Hillsborough Community College Foundation</t>
  </si>
  <si>
    <t>Elgin Community College Foundation</t>
  </si>
  <si>
    <t>Elgin</t>
  </si>
  <si>
    <t>Mount Saint Mary College</t>
  </si>
  <si>
    <t>Newburgh</t>
  </si>
  <si>
    <t>Oakton Community College Educational Foundation</t>
  </si>
  <si>
    <t>Des Plaines</t>
  </si>
  <si>
    <r>
      <t>Survey respondents highlighted in</t>
    </r>
    <r>
      <rPr>
        <sz val="11"/>
        <color rgb="FF99FF66"/>
        <rFont val="Calibri"/>
        <family val="2"/>
        <scheme val="minor"/>
      </rPr>
      <t xml:space="preserve"> </t>
    </r>
    <r>
      <rPr>
        <b/>
        <sz val="11"/>
        <color theme="1"/>
        <rFont val="Calibri"/>
        <family val="2"/>
        <scheme val="minor"/>
      </rPr>
      <t>Green</t>
    </r>
    <r>
      <rPr>
        <sz val="11"/>
        <color theme="1"/>
        <rFont val="Calibri"/>
        <family val="2"/>
        <scheme val="minor"/>
      </rPr>
      <t xml:space="preserve"> are based on higher education institutions located in Canada. No data from Canadian institutions in included in the NTSE, but will be included in a separate report on Canadian hgiher education endowments. </t>
    </r>
  </si>
  <si>
    <r>
      <t xml:space="preserve">Survey respondents highlighted in </t>
    </r>
    <r>
      <rPr>
        <b/>
        <sz val="11"/>
        <color theme="1"/>
        <rFont val="Calibri"/>
        <family val="2"/>
        <scheme val="minor"/>
      </rPr>
      <t>Blue</t>
    </r>
    <r>
      <rPr>
        <sz val="11"/>
        <color theme="1"/>
        <rFont val="Calibri"/>
        <family val="2"/>
        <scheme val="minor"/>
      </rPr>
      <t xml:space="preserve"> are based on total endowment values of institutional endowments and foundations that have been combined into one separate record at the request of the survey respondents. No other data for these combined endowment/foundations are not included in the NTSE.</t>
    </r>
  </si>
  <si>
    <t xml:space="preserve">Please see the footnotes below for additional details related to the endowment values presented in this table. </t>
  </si>
  <si>
    <r>
      <t>U.S. and Canadian Institutions Listed by Fiscal Year (FY) 2020 Endowment Market Value and Change in Endowment Market Value</t>
    </r>
    <r>
      <rPr>
        <b/>
        <u/>
        <vertAlign val="superscript"/>
        <sz val="11"/>
        <color theme="1"/>
        <rFont val="Calibri"/>
        <family val="2"/>
        <scheme val="minor"/>
      </rPr>
      <t>1</t>
    </r>
    <r>
      <rPr>
        <b/>
        <u/>
        <sz val="11"/>
        <color theme="1"/>
        <rFont val="Calibri"/>
        <family val="2"/>
        <scheme val="minor"/>
      </rPr>
      <t xml:space="preserve"> from FY19 to FY20</t>
    </r>
  </si>
  <si>
    <r>
      <t xml:space="preserve">Note: </t>
    </r>
    <r>
      <rPr>
        <b/>
        <u/>
        <sz val="11"/>
        <color theme="1"/>
        <rFont val="Calibri"/>
        <family val="2"/>
        <scheme val="minor"/>
      </rPr>
      <t>The data in this spreadsheet will NOT agree with data presented in any other tables or charts in the 2020 NACUBO-TIAA Study of Endowments (NTSE).</t>
    </r>
  </si>
  <si>
    <t>Institution Name</t>
  </si>
  <si>
    <t>Institution Type</t>
  </si>
  <si>
    <t>FY20 Total Endowment Market Value (in $1,000s)</t>
  </si>
  <si>
    <t>FY19 Total Endowment Market Value (in $1,000s)</t>
  </si>
  <si>
    <t>FY20 Endowment Value Per Full-time Equivalent Student ($)</t>
  </si>
  <si>
    <t>N/A</t>
  </si>
  <si>
    <t>Average (All Institutions)</t>
  </si>
  <si>
    <t>Median (All Institutions)</t>
  </si>
  <si>
    <t xml:space="preserve">N/A means Not Available. </t>
  </si>
  <si>
    <t xml:space="preserve">IMPORTANT ADDITIONAL NOTES: </t>
  </si>
  <si>
    <t xml:space="preserve">    1) withdrawals to fund institutional operations and capital expenses;</t>
  </si>
  <si>
    <t xml:space="preserve">    2) the payment of endowment management and investment fees;</t>
  </si>
  <si>
    <t xml:space="preserve">    3) additions from donor gifts and other contributions; and</t>
  </si>
  <si>
    <t xml:space="preserve">    4) investment gains or losses.</t>
  </si>
  <si>
    <t xml:space="preserve">The market values also include the estimated valuations of real estate and other “illiquid” assets, which may have large increases or decreases in value during a relatively short period of time. In addition, transfers to the endowment from other institutional budget accounts, and changes in foreign currency exchange rates for non-U.S. investments, may account for large changes in endowment market values. </t>
  </si>
  <si>
    <r>
      <t xml:space="preserve">These factors suggest that any large increases or decreases in endowments over the past year may be exaggerated. </t>
    </r>
    <r>
      <rPr>
        <b/>
        <u/>
        <sz val="11"/>
        <color theme="1"/>
        <rFont val="Calibri"/>
        <family val="2"/>
        <scheme val="minor"/>
      </rPr>
      <t>As such, large percentage changes should be interpreted very cautiously.</t>
    </r>
  </si>
  <si>
    <r>
      <rPr>
        <vertAlign val="superscript"/>
        <sz val="11"/>
        <color theme="1"/>
        <rFont val="Calibri"/>
        <family val="2"/>
        <scheme val="minor"/>
      </rPr>
      <t>2.</t>
    </r>
    <r>
      <rPr>
        <sz val="11"/>
        <color theme="1"/>
        <rFont val="Calibri"/>
        <family val="2"/>
        <scheme val="minor"/>
      </rPr>
      <t xml:space="preserve"> IPEDS Unit ID Number (Unitid) is available only for U.S. colleges, universities, and state university system offices. There are no IPEDS ID numbers for Canadian institutions or for non-profit higher education organizations that do not enroll students. </t>
    </r>
  </si>
  <si>
    <t>IPEDS (the Integrated Postsecondary Education Data System) is conducted each year by the National Center for Education Statistics.</t>
  </si>
  <si>
    <r>
      <rPr>
        <vertAlign val="superscript"/>
        <sz val="11"/>
        <color theme="1"/>
        <rFont val="Calibri"/>
        <family val="2"/>
        <scheme val="minor"/>
      </rPr>
      <t xml:space="preserve">4 </t>
    </r>
    <r>
      <rPr>
        <sz val="11"/>
        <color theme="1"/>
        <rFont val="Calibri"/>
        <family val="2"/>
        <scheme val="minor"/>
      </rPr>
      <t>HBCU indicates the institution's Historically Black College or University status .</t>
    </r>
  </si>
  <si>
    <t>1=HBCU</t>
  </si>
  <si>
    <t>2=Non-HBCU</t>
  </si>
  <si>
    <t xml:space="preserve">1=Associate's </t>
  </si>
  <si>
    <t>2=Baccalaureate</t>
  </si>
  <si>
    <t>3=Master's</t>
  </si>
  <si>
    <t>4=Doctoral/Research</t>
  </si>
  <si>
    <t>5=Special focus (law, medicine, theology, etc.)</t>
  </si>
  <si>
    <t>ENDNOTES:</t>
  </si>
  <si>
    <r>
      <rPr>
        <vertAlign val="superscript"/>
        <sz val="11"/>
        <color theme="1"/>
        <rFont val="Calibri"/>
        <family val="2"/>
        <scheme val="minor"/>
      </rPr>
      <t>ii</t>
    </r>
    <r>
      <rPr>
        <sz val="11"/>
        <color theme="1"/>
        <rFont val="Calibri"/>
        <family val="2"/>
        <scheme val="minor"/>
      </rPr>
      <t xml:space="preserve"> Fiscal year end date for New York University is August 31 but the endowment market values are reported for the year ending June 30.</t>
    </r>
  </si>
  <si>
    <r>
      <t xml:space="preserve">Canada institutions are in Green. Endowment market value data for Canadian institutions are expressed in U.S. dollars, based on the U.S./Canadian dollar conversion rates in effect on or around June 30, 2019 (for FY19) and June 30, 2020 (for FY20), as reported by the Bank of Canada Web site (https://www.bankofcanada.ca/rates/exchange/). </t>
    </r>
    <r>
      <rPr>
        <b/>
        <u/>
        <sz val="11"/>
        <color theme="1"/>
        <rFont val="Calibri"/>
        <family val="2"/>
        <scheme val="minor"/>
      </rPr>
      <t xml:space="preserve">Data from Canadian institutions are NOT included in the full 2019 NTSE report. </t>
    </r>
    <r>
      <rPr>
        <sz val="11"/>
        <color theme="1"/>
        <rFont val="Calibri"/>
        <family val="2"/>
        <scheme val="minor"/>
      </rPr>
      <t xml:space="preserve"> </t>
    </r>
  </si>
  <si>
    <r>
      <rPr>
        <vertAlign val="superscript"/>
        <sz val="11"/>
        <color theme="1"/>
        <rFont val="Calibri"/>
        <family val="2"/>
        <scheme val="minor"/>
      </rPr>
      <t>3.</t>
    </r>
    <r>
      <rPr>
        <sz val="11"/>
        <color theme="1"/>
        <rFont val="Calibri"/>
        <family val="2"/>
        <scheme val="minor"/>
      </rPr>
      <t xml:space="preserve"> Fall 2019 FTE enrollment as provided by the participating institutions. </t>
    </r>
  </si>
  <si>
    <r>
      <t>UNITID</t>
    </r>
    <r>
      <rPr>
        <b/>
        <vertAlign val="superscript"/>
        <sz val="11"/>
        <color theme="1"/>
        <rFont val="Calibri"/>
        <family val="2"/>
        <scheme val="minor"/>
      </rPr>
      <t>2</t>
    </r>
  </si>
  <si>
    <r>
      <t>Fall 2019 Full-time Equivalent (FTE) Enrollment</t>
    </r>
    <r>
      <rPr>
        <b/>
        <vertAlign val="superscript"/>
        <sz val="11"/>
        <color theme="1"/>
        <rFont val="Calibri"/>
        <family val="2"/>
        <scheme val="minor"/>
      </rPr>
      <t>3</t>
    </r>
  </si>
  <si>
    <r>
      <t>Change in Total Endowment Market Value (%)</t>
    </r>
    <r>
      <rPr>
        <b/>
        <vertAlign val="superscript"/>
        <sz val="11"/>
        <color theme="1"/>
        <rFont val="Calibri"/>
        <family val="2"/>
        <scheme val="minor"/>
      </rPr>
      <t>1</t>
    </r>
  </si>
  <si>
    <r>
      <t>Historically Black College/University (HBCU) Indicator</t>
    </r>
    <r>
      <rPr>
        <b/>
        <vertAlign val="superscript"/>
        <sz val="11"/>
        <color theme="1"/>
        <rFont val="Calibri"/>
        <family val="2"/>
        <scheme val="minor"/>
      </rPr>
      <t>4</t>
    </r>
  </si>
  <si>
    <r>
      <t>2019-20 Carnegie Classification</t>
    </r>
    <r>
      <rPr>
        <b/>
        <vertAlign val="superscript"/>
        <sz val="11"/>
        <color theme="1"/>
        <rFont val="Calibri"/>
        <family val="2"/>
        <scheme val="minor"/>
      </rPr>
      <t>5</t>
    </r>
  </si>
  <si>
    <t>N/A=Not Available</t>
  </si>
  <si>
    <r>
      <rPr>
        <vertAlign val="superscript"/>
        <sz val="11"/>
        <color theme="1"/>
        <rFont val="Calibri"/>
        <family val="2"/>
        <scheme val="minor"/>
      </rPr>
      <t>i</t>
    </r>
    <r>
      <rPr>
        <sz val="11"/>
        <color theme="1"/>
        <rFont val="Calibri"/>
        <family val="2"/>
        <scheme val="minor"/>
      </rPr>
      <t xml:space="preserve">Total includes the endowment assets from The Texas A&amp;M University System and multiple supporting foundations, including the Texas A&amp;M Foundation. The full 2020 NTSE report includes separate information for the Texas A&amp;M University System, Texas A&amp;M Foundation, and the Baylor Oral Health Foundation (which provides financial support to the Texas A&amp;M University Baylor College of Dentistry).  </t>
    </r>
  </si>
  <si>
    <r>
      <rPr>
        <vertAlign val="superscript"/>
        <sz val="11"/>
        <color theme="1"/>
        <rFont val="Calibri"/>
        <family val="2"/>
        <scheme val="minor"/>
      </rPr>
      <t>5</t>
    </r>
    <r>
      <rPr>
        <sz val="11"/>
        <color theme="1"/>
        <rFont val="Calibri"/>
        <family val="2"/>
        <scheme val="minor"/>
      </rPr>
      <t xml:space="preserve"> The Carnegie Classification System identifies U.S. colleges and universities by their highest degree awarded and research intensity. For more information on the Carnegie Classification system, go to https://en.wikipedia.org/wiki/Carnegie_Classification_of_Institutions_of_Higher_Education</t>
    </r>
  </si>
  <si>
    <r>
      <t>The Texas A&amp;M University System &amp; Related Foundations</t>
    </r>
    <r>
      <rPr>
        <vertAlign val="superscript"/>
        <sz val="11"/>
        <color theme="1"/>
        <rFont val="Calibri"/>
        <family val="2"/>
        <scheme val="minor"/>
      </rPr>
      <t>i</t>
    </r>
  </si>
  <si>
    <r>
      <t>New York University</t>
    </r>
    <r>
      <rPr>
        <vertAlign val="superscript"/>
        <sz val="11"/>
        <color theme="1"/>
        <rFont val="Calibri"/>
        <family val="2"/>
        <scheme val="minor"/>
      </rPr>
      <t>ii</t>
    </r>
  </si>
  <si>
    <r>
      <rPr>
        <vertAlign val="superscript"/>
        <sz val="11"/>
        <color theme="1"/>
        <rFont val="Calibri"/>
        <family val="2"/>
        <scheme val="minor"/>
      </rPr>
      <t>iii</t>
    </r>
    <r>
      <rPr>
        <sz val="11"/>
        <color theme="1"/>
        <rFont val="Calibri"/>
        <family val="2"/>
        <scheme val="minor"/>
      </rPr>
      <t xml:space="preserve"> Total includes the combined endowment assets of Carnegie Mellon University and a portion of assets held by the Dietrich Foundation reflecting CMU’s allocation as a named beneficiary. The full 2020 NTSE report reflects information for the CMU endowment only.  </t>
    </r>
  </si>
  <si>
    <t>0=Not Applicable</t>
  </si>
  <si>
    <t>Regents of the University of California</t>
  </si>
  <si>
    <r>
      <rPr>
        <vertAlign val="superscript"/>
        <sz val="11"/>
        <color theme="1"/>
        <rFont val="Calibri"/>
        <family val="2"/>
        <scheme val="minor"/>
      </rPr>
      <t>iv</t>
    </r>
    <r>
      <rPr>
        <sz val="11"/>
        <color theme="1"/>
        <rFont val="Calibri"/>
        <family val="2"/>
        <scheme val="minor"/>
      </rPr>
      <t xml:space="preserve"> Total includes the combined endowment assets from the Regents of the University of Minnesota endowment and the University of Minnesota Foundation. The full 2020 NTSE report inckdes information for the University of Minnesota Foundation only.  </t>
    </r>
  </si>
  <si>
    <r>
      <t>University of Minnesota &amp; Foundation</t>
    </r>
    <r>
      <rPr>
        <vertAlign val="superscript"/>
        <sz val="11"/>
        <color theme="1"/>
        <rFont val="Calibri"/>
        <family val="2"/>
        <scheme val="minor"/>
      </rPr>
      <t>iii</t>
    </r>
  </si>
  <si>
    <t>Simon Fraser University</t>
  </si>
  <si>
    <t>Burnaby</t>
  </si>
  <si>
    <r>
      <rPr>
        <vertAlign val="superscript"/>
        <sz val="11"/>
        <color theme="1"/>
        <rFont val="Calibri"/>
        <family val="2"/>
        <scheme val="minor"/>
      </rPr>
      <t>v</t>
    </r>
    <r>
      <rPr>
        <sz val="11"/>
        <color theme="1"/>
        <rFont val="Calibri"/>
        <family val="2"/>
        <scheme val="minor"/>
      </rPr>
      <t xml:space="preserve"> Total includes the combined endowment assets from the University of Illinois and the University of Illinois Foundation. The full 2020 NTSE report incorporates separate information for each of these individual institutions.  </t>
    </r>
  </si>
  <si>
    <r>
      <rPr>
        <vertAlign val="superscript"/>
        <sz val="11"/>
        <color theme="1"/>
        <rFont val="Calibri"/>
        <family val="2"/>
        <scheme val="minor"/>
      </rPr>
      <t>vi</t>
    </r>
    <r>
      <rPr>
        <sz val="11"/>
        <color theme="1"/>
        <rFont val="Calibri"/>
        <family val="2"/>
        <scheme val="minor"/>
      </rPr>
      <t xml:space="preserve">  University of Miami's fiscal year-end is 5/31. Endowment values for FY20 and FY19 are reported for May 31, 2020 and May 31, 2019, respectively. </t>
    </r>
  </si>
  <si>
    <r>
      <rPr>
        <vertAlign val="superscript"/>
        <sz val="11"/>
        <color theme="1"/>
        <rFont val="Calibri"/>
        <family val="2"/>
        <scheme val="minor"/>
      </rPr>
      <t>vii</t>
    </r>
    <r>
      <rPr>
        <sz val="11"/>
        <color theme="1"/>
        <rFont val="Calibri"/>
        <family val="2"/>
        <scheme val="minor"/>
      </rPr>
      <t xml:space="preserve"> Total endowment includes data from all institutions in the Louisiana State University System. However, the full 2020 NTSE report is based on data solely from the LSU Foundation, the largest segment.  </t>
    </r>
  </si>
  <si>
    <r>
      <rPr>
        <vertAlign val="superscript"/>
        <sz val="11"/>
        <color theme="1"/>
        <rFont val="Calibri"/>
        <family val="2"/>
        <scheme val="minor"/>
      </rPr>
      <t>xi</t>
    </r>
    <r>
      <rPr>
        <sz val="11"/>
        <color theme="1"/>
        <rFont val="Calibri"/>
        <family val="2"/>
        <scheme val="minor"/>
      </rPr>
      <t xml:space="preserve">  Abilene Christian University's fiscal year-end is 5/31 but endowment values are reported for 6/30.</t>
    </r>
  </si>
  <si>
    <r>
      <rPr>
        <vertAlign val="superscript"/>
        <sz val="11"/>
        <color theme="1"/>
        <rFont val="Calibri"/>
        <family val="2"/>
        <scheme val="minor"/>
      </rPr>
      <t>x</t>
    </r>
    <r>
      <rPr>
        <sz val="11"/>
        <color theme="1"/>
        <rFont val="Calibri"/>
        <family val="2"/>
        <scheme val="minor"/>
      </rPr>
      <t xml:space="preserve">  St. John's University's fiscal year-end is 5/31. Endowment values for FY20 and FY19 are reported for May 31, 2020 and May 31, 2019, respectively. </t>
    </r>
  </si>
  <si>
    <r>
      <rPr>
        <vertAlign val="superscript"/>
        <sz val="11"/>
        <color theme="1"/>
        <rFont val="Calibri"/>
        <family val="2"/>
        <scheme val="minor"/>
      </rPr>
      <t>ix</t>
    </r>
    <r>
      <rPr>
        <sz val="11"/>
        <color theme="1"/>
        <rFont val="Calibri"/>
        <family val="2"/>
        <scheme val="minor"/>
      </rPr>
      <t xml:space="preserve"> Total includes the combined endowment assets from the University System of New Hampshire and the University of New Hampshire Foundation. The full 2020 NTSE report incorporates separate information for each of these individual institutions.  </t>
    </r>
  </si>
  <si>
    <r>
      <rPr>
        <vertAlign val="superscript"/>
        <sz val="11"/>
        <color theme="1"/>
        <rFont val="Calibri"/>
        <family val="2"/>
        <scheme val="minor"/>
      </rPr>
      <t>viii</t>
    </r>
    <r>
      <rPr>
        <sz val="11"/>
        <color theme="1"/>
        <rFont val="Calibri"/>
        <family val="2"/>
        <scheme val="minor"/>
      </rPr>
      <t xml:space="preserve"> Total includes combined endowment assets from the Oregon Health and Sciences University Foundation and the Doernbecher Children’s Hospital Foundation.</t>
    </r>
  </si>
  <si>
    <r>
      <t>Carnegie Mellon University</t>
    </r>
    <r>
      <rPr>
        <vertAlign val="superscript"/>
        <sz val="11"/>
        <color theme="1"/>
        <rFont val="Calibri"/>
        <family val="2"/>
        <scheme val="minor"/>
      </rPr>
      <t>iv</t>
    </r>
  </si>
  <si>
    <r>
      <t>University of Illinois &amp; Foundation</t>
    </r>
    <r>
      <rPr>
        <vertAlign val="superscript"/>
        <sz val="11"/>
        <color theme="1"/>
        <rFont val="Calibri"/>
        <family val="2"/>
        <scheme val="minor"/>
      </rPr>
      <t>v</t>
    </r>
  </si>
  <si>
    <r>
      <t>University of Miami</t>
    </r>
    <r>
      <rPr>
        <vertAlign val="superscript"/>
        <sz val="11"/>
        <color theme="1"/>
        <rFont val="Calibri"/>
        <family val="2"/>
        <scheme val="minor"/>
      </rPr>
      <t>vi</t>
    </r>
  </si>
  <si>
    <r>
      <t>Louisiana State University System</t>
    </r>
    <r>
      <rPr>
        <vertAlign val="superscript"/>
        <sz val="11"/>
        <color theme="1"/>
        <rFont val="Calibri"/>
        <family val="2"/>
        <scheme val="minor"/>
      </rPr>
      <t>vii</t>
    </r>
  </si>
  <si>
    <r>
      <t>Oregon Health and Science University Foundation</t>
    </r>
    <r>
      <rPr>
        <vertAlign val="superscript"/>
        <sz val="11"/>
        <color theme="1"/>
        <rFont val="Calibri"/>
        <family val="2"/>
        <scheme val="minor"/>
      </rPr>
      <t>viii</t>
    </r>
  </si>
  <si>
    <r>
      <t>University System of New Hampshire &amp; University of New Hampshire Foundation Inc.</t>
    </r>
    <r>
      <rPr>
        <vertAlign val="superscript"/>
        <sz val="11"/>
        <color theme="1"/>
        <rFont val="Calibri"/>
        <family val="2"/>
        <scheme val="minor"/>
      </rPr>
      <t>ix</t>
    </r>
  </si>
  <si>
    <r>
      <t>St. John's University New York</t>
    </r>
    <r>
      <rPr>
        <vertAlign val="superscript"/>
        <sz val="11"/>
        <color theme="1"/>
        <rFont val="Calibri"/>
        <family val="2"/>
        <scheme val="minor"/>
      </rPr>
      <t>x</t>
    </r>
  </si>
  <si>
    <r>
      <t>Abilene Christian University</t>
    </r>
    <r>
      <rPr>
        <vertAlign val="superscript"/>
        <sz val="11"/>
        <color theme="1"/>
        <rFont val="Calibri"/>
        <family val="2"/>
        <scheme val="minor"/>
      </rPr>
      <t>xi</t>
    </r>
  </si>
  <si>
    <t>University of Iowa &amp; Foundations</t>
  </si>
  <si>
    <t>Chapman University</t>
  </si>
  <si>
    <r>
      <rPr>
        <vertAlign val="superscript"/>
        <sz val="11"/>
        <color theme="1"/>
        <rFont val="Calibri"/>
        <family val="2"/>
        <scheme val="minor"/>
      </rPr>
      <t xml:space="preserve">xii </t>
    </r>
    <r>
      <rPr>
        <sz val="11"/>
        <color theme="1"/>
        <rFont val="Calibri"/>
        <family val="2"/>
        <scheme val="minor"/>
      </rPr>
      <t>Total includes the combined assets from the University of Nevada, Reno (UNR) endowment, UNR Foundation, and the Athletic Association of Nevada, Reno Endowment.</t>
    </r>
  </si>
  <si>
    <r>
      <rPr>
        <vertAlign val="superscript"/>
        <sz val="11"/>
        <color theme="1"/>
        <rFont val="Calibri"/>
        <family val="2"/>
        <scheme val="minor"/>
      </rPr>
      <t>xiii</t>
    </r>
    <r>
      <rPr>
        <sz val="11"/>
        <color theme="1"/>
        <rFont val="Calibri"/>
        <family val="2"/>
        <scheme val="minor"/>
      </rPr>
      <t xml:space="preserve"> Total includes the combined assets from the Old Dominion University endowment, the Educational Foundation, the Athletic Foundation, and the Real Estate Foundation.</t>
    </r>
  </si>
  <si>
    <r>
      <rPr>
        <vertAlign val="superscript"/>
        <sz val="11"/>
        <color theme="1"/>
        <rFont val="Calibri"/>
        <family val="2"/>
        <scheme val="minor"/>
      </rPr>
      <t>xiv</t>
    </r>
    <r>
      <rPr>
        <sz val="11"/>
        <color theme="1"/>
        <rFont val="Calibri"/>
        <family val="2"/>
        <scheme val="minor"/>
      </rPr>
      <t xml:space="preserve"> Willamette University's fiscal year-end is 5/31 but endowment values are reported for the year ending 6/30.</t>
    </r>
  </si>
  <si>
    <r>
      <rPr>
        <vertAlign val="superscript"/>
        <sz val="11"/>
        <color theme="1"/>
        <rFont val="Calibri"/>
        <family val="2"/>
        <scheme val="minor"/>
      </rPr>
      <t>xv.</t>
    </r>
    <r>
      <rPr>
        <sz val="11"/>
        <color theme="1"/>
        <rFont val="Calibri"/>
        <family val="2"/>
        <scheme val="minor"/>
      </rPr>
      <t xml:space="preserve"> Texas State University's fiscal year-end is 8/31. The endowment values for FY20 and FY19 are for August 31, 2020 and August 31, 2019, respectively. Totals include the combined market values of the Development Foundation and the McCoy College of Business Foundation.</t>
    </r>
  </si>
  <si>
    <r>
      <t>Texas State Univesity</t>
    </r>
    <r>
      <rPr>
        <vertAlign val="superscript"/>
        <sz val="11"/>
        <color theme="1"/>
        <rFont val="Calibri"/>
        <family val="2"/>
        <scheme val="minor"/>
      </rPr>
      <t>xv</t>
    </r>
  </si>
  <si>
    <r>
      <t>University of Nevada Reno Foundation</t>
    </r>
    <r>
      <rPr>
        <vertAlign val="superscript"/>
        <sz val="11"/>
        <color theme="1"/>
        <rFont val="Calibri"/>
        <family val="2"/>
        <scheme val="minor"/>
      </rPr>
      <t>xii</t>
    </r>
  </si>
  <si>
    <r>
      <t>Old Dominion University Educational Foundation</t>
    </r>
    <r>
      <rPr>
        <vertAlign val="superscript"/>
        <sz val="11"/>
        <color theme="1"/>
        <rFont val="Calibri"/>
        <family val="2"/>
        <scheme val="minor"/>
      </rPr>
      <t>xiii</t>
    </r>
  </si>
  <si>
    <r>
      <t>Willamette University</t>
    </r>
    <r>
      <rPr>
        <vertAlign val="superscript"/>
        <sz val="11"/>
        <color theme="1"/>
        <rFont val="Calibri"/>
        <family val="2"/>
        <scheme val="minor"/>
      </rPr>
      <t>xiv</t>
    </r>
  </si>
  <si>
    <t>Source: 2020 NACUBO-TIAA Study of Endowments. This table was created in January 2021 and revised in April 2021.</t>
  </si>
  <si>
    <r>
      <rPr>
        <vertAlign val="superscript"/>
        <sz val="11"/>
        <color theme="1"/>
        <rFont val="Calibri"/>
        <family val="2"/>
        <scheme val="minor"/>
      </rPr>
      <t>1</t>
    </r>
    <r>
      <rPr>
        <sz val="11"/>
        <color theme="1"/>
        <rFont val="Calibri"/>
        <family val="2"/>
        <scheme val="minor"/>
      </rPr>
      <t xml:space="preserve">. The change in market values listed for the participating institutions </t>
    </r>
    <r>
      <rPr>
        <b/>
        <u/>
        <sz val="11"/>
        <color theme="1"/>
        <rFont val="Calibri"/>
        <family val="2"/>
        <scheme val="minor"/>
      </rPr>
      <t>DOES NOT</t>
    </r>
    <r>
      <rPr>
        <sz val="11"/>
        <color theme="1"/>
        <rFont val="Calibri"/>
        <family val="2"/>
        <scheme val="minor"/>
      </rPr>
      <t xml:space="preserve"> represent the investment rate of return for the endowments’ investments. Rather, the change in the market value of an endowment from FY19 to FY20 reflects the net impact of:</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</si>
</sst>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_(* #,##0_);_(* \(#,##0\);_(* &quot;-&quot;??_);_(@_)"/>
    <numFmt numFmtId="165" formatCode="_(&quot;$&quot;* #,##0_);_(&quot;$&quot;* \(#,##0\);_(&quot;$&quot;* &quot;-&quot;??_);_(@_)"/>
    <numFmt numFmtId="166" formatCode="0.0"/>
  </numFmts>
  <fonts count="8" x14ac:knownFonts="1">
    <font>
      <sz val="11"/>
      <color theme="1"/>
      <name val="Calibri"/>
      <family val="2"/>
      <scheme val="minor"/>
    </font>
    <font>
      <sz val="11"/>
      <color theme="1"/>
      <name val="Calibri"/>
      <family val="2"/>
      <scheme val="minor"/>
    </font>
    <font>
      <b/>
      <sz val="11"/>
      <color theme="1"/>
      <name val="Calibri"/>
      <family val="2"/>
      <scheme val="minor"/>
    </font>
    <font>
      <b/>
      <u/>
      <sz val="11"/>
      <color theme="1"/>
      <name val="Calibri"/>
      <family val="2"/>
      <scheme val="minor"/>
    </font>
    <font>
      <b/>
      <u/>
      <vertAlign val="superscript"/>
      <sz val="11"/>
      <color theme="1"/>
      <name val="Calibri"/>
      <family val="2"/>
      <scheme val="minor"/>
    </font>
    <font>
      <sz val="11"/>
      <color rgb="FF99FF66"/>
      <name val="Calibri"/>
      <family val="2"/>
      <scheme val="minor"/>
    </font>
    <font>
      <vertAlign val="superscript"/>
      <sz val="11"/>
      <color theme="1"/>
      <name val="Calibri"/>
      <family val="2"/>
      <scheme val="minor"/>
    </font>
    <font>
      <b/>
      <vertAlign val="superscript"/>
      <sz val="11"/>
      <color theme="1"/>
      <name val="Calibri"/>
      <family val="2"/>
      <scheme val="minor"/>
    </font>
  </fonts>
  <fills count="7">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00B0F0"/>
        <bgColor indexed="64"/>
      </patternFill>
    </fill>
    <fill>
      <patternFill patternType="solid">
        <fgColor rgb="FF99FF66"/>
        <bgColor indexed="64"/>
      </patternFill>
    </fill>
    <fill>
      <patternFill patternType="solid">
        <fgColor rgb="FF66FFFF"/>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bottom style="double">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59">
    <xf numFmtId="0" fontId="0" fillId="0" borderId="0" xfId="0"/>
    <xf numFmtId="2" fontId="0" fillId="0" borderId="0" xfId="0" applyNumberFormat="1"/>
    <xf numFmtId="1" fontId="0" fillId="0" borderId="0" xfId="0" applyNumberFormat="1"/>
    <xf numFmtId="43" fontId="0" fillId="0" borderId="0" xfId="1" applyFont="1"/>
    <xf numFmtId="164" fontId="0" fillId="0" borderId="0" xfId="1" applyNumberFormat="1" applyFont="1"/>
    <xf numFmtId="1" fontId="3" fillId="0" borderId="0" xfId="0" applyNumberFormat="1" applyFont="1"/>
    <xf numFmtId="0" fontId="2" fillId="2" borderId="1" xfId="0" applyFont="1" applyFill="1" applyBorder="1" applyAlignment="1">
      <alignment wrapText="1"/>
    </xf>
    <xf numFmtId="1" fontId="2" fillId="2" borderId="1" xfId="0" applyNumberFormat="1" applyFont="1" applyFill="1" applyBorder="1" applyAlignment="1">
      <alignment wrapText="1"/>
    </xf>
    <xf numFmtId="164" fontId="2" fillId="2" borderId="1" xfId="1" applyNumberFormat="1" applyFont="1" applyFill="1" applyBorder="1" applyAlignment="1">
      <alignment wrapText="1"/>
    </xf>
    <xf numFmtId="2" fontId="2" fillId="2" borderId="1" xfId="0" applyNumberFormat="1" applyFont="1" applyFill="1" applyBorder="1" applyAlignment="1">
      <alignment wrapText="1"/>
    </xf>
    <xf numFmtId="43" fontId="2" fillId="2" borderId="1" xfId="1" applyFont="1" applyFill="1" applyBorder="1" applyAlignment="1">
      <alignment wrapText="1"/>
    </xf>
    <xf numFmtId="1" fontId="0" fillId="3" borderId="0" xfId="0" applyNumberFormat="1" applyFill="1"/>
    <xf numFmtId="0" fontId="0" fillId="3" borderId="0" xfId="0" applyFill="1"/>
    <xf numFmtId="164" fontId="0" fillId="3" borderId="0" xfId="1" applyNumberFormat="1" applyFont="1" applyFill="1"/>
    <xf numFmtId="2" fontId="0" fillId="3" borderId="0" xfId="0" applyNumberFormat="1" applyFill="1"/>
    <xf numFmtId="43" fontId="0" fillId="3" borderId="0" xfId="1" applyFont="1" applyFill="1"/>
    <xf numFmtId="1" fontId="0" fillId="4" borderId="0" xfId="0" applyNumberFormat="1" applyFill="1"/>
    <xf numFmtId="0" fontId="0" fillId="4" borderId="0" xfId="0" applyFill="1"/>
    <xf numFmtId="164" fontId="0" fillId="4" borderId="0" xfId="1" applyNumberFormat="1" applyFont="1" applyFill="1"/>
    <xf numFmtId="2" fontId="0" fillId="4" borderId="0" xfId="0" applyNumberFormat="1" applyFill="1"/>
    <xf numFmtId="43" fontId="0" fillId="4" borderId="0" xfId="1" applyFont="1" applyFill="1"/>
    <xf numFmtId="10" fontId="0" fillId="0" borderId="0" xfId="0" applyNumberFormat="1" applyAlignment="1">
      <alignment horizontal="right"/>
    </xf>
    <xf numFmtId="10" fontId="0" fillId="3" borderId="0" xfId="0" applyNumberFormat="1" applyFill="1" applyAlignment="1">
      <alignment horizontal="right"/>
    </xf>
    <xf numFmtId="164" fontId="0" fillId="0" borderId="0" xfId="1" applyNumberFormat="1" applyFont="1" applyAlignment="1">
      <alignment horizontal="right"/>
    </xf>
    <xf numFmtId="43" fontId="0" fillId="0" borderId="0" xfId="1" applyFont="1" applyAlignment="1">
      <alignment horizontal="right"/>
    </xf>
    <xf numFmtId="43" fontId="0" fillId="3" borderId="0" xfId="1" applyFont="1" applyFill="1" applyAlignment="1">
      <alignment horizontal="right"/>
    </xf>
    <xf numFmtId="1" fontId="0" fillId="0" borderId="0" xfId="0" applyNumberFormat="1" applyAlignment="1">
      <alignment horizontal="right"/>
    </xf>
    <xf numFmtId="1" fontId="0" fillId="3" borderId="0" xfId="0" applyNumberFormat="1" applyFill="1" applyAlignment="1">
      <alignment horizontal="right"/>
    </xf>
    <xf numFmtId="1" fontId="0" fillId="0" borderId="2" xfId="0" applyNumberFormat="1" applyBorder="1"/>
    <xf numFmtId="0" fontId="0" fillId="0" borderId="2" xfId="0" applyBorder="1"/>
    <xf numFmtId="164" fontId="0" fillId="0" borderId="2" xfId="1" applyNumberFormat="1" applyFont="1" applyBorder="1"/>
    <xf numFmtId="2" fontId="0" fillId="0" borderId="2" xfId="0" applyNumberFormat="1" applyBorder="1"/>
    <xf numFmtId="43" fontId="0" fillId="0" borderId="2" xfId="1" applyFont="1" applyBorder="1"/>
    <xf numFmtId="0" fontId="0" fillId="0" borderId="3" xfId="0" applyBorder="1"/>
    <xf numFmtId="1" fontId="0" fillId="0" borderId="3" xfId="0" applyNumberFormat="1" applyBorder="1"/>
    <xf numFmtId="164" fontId="0" fillId="0" borderId="3" xfId="1" applyNumberFormat="1" applyFont="1" applyBorder="1"/>
    <xf numFmtId="2" fontId="0" fillId="0" borderId="3" xfId="0" applyNumberFormat="1" applyBorder="1"/>
    <xf numFmtId="43" fontId="0" fillId="0" borderId="3" xfId="1" applyFont="1" applyBorder="1"/>
    <xf numFmtId="1" fontId="0" fillId="5" borderId="0" xfId="0" applyNumberFormat="1" applyFill="1"/>
    <xf numFmtId="0" fontId="0" fillId="5" borderId="0" xfId="0" applyFill="1"/>
    <xf numFmtId="1" fontId="2" fillId="0" borderId="0" xfId="0" applyNumberFormat="1" applyFont="1"/>
    <xf numFmtId="0" fontId="2" fillId="0" borderId="0" xfId="0" applyFont="1"/>
    <xf numFmtId="1" fontId="0" fillId="6" borderId="0" xfId="0" applyNumberFormat="1" applyFill="1"/>
    <xf numFmtId="0" fontId="0" fillId="6" borderId="0" xfId="0" applyFill="1"/>
    <xf numFmtId="44" fontId="0" fillId="0" borderId="0" xfId="2" applyFont="1"/>
    <xf numFmtId="165" fontId="0" fillId="0" borderId="0" xfId="2" applyNumberFormat="1" applyFont="1"/>
    <xf numFmtId="10" fontId="0" fillId="0" borderId="0" xfId="3" applyNumberFormat="1" applyFont="1"/>
    <xf numFmtId="164" fontId="0" fillId="3" borderId="0" xfId="1" applyNumberFormat="1" applyFont="1" applyFill="1" applyAlignment="1">
      <alignment horizontal="right"/>
    </xf>
    <xf numFmtId="0" fontId="0" fillId="0" borderId="0" xfId="0" applyFill="1"/>
    <xf numFmtId="164" fontId="0" fillId="0" borderId="0" xfId="1" applyNumberFormat="1" applyFont="1" applyFill="1"/>
    <xf numFmtId="2" fontId="0" fillId="0" borderId="0" xfId="0" applyNumberFormat="1" applyFill="1"/>
    <xf numFmtId="43" fontId="0" fillId="0" borderId="0" xfId="1" applyFont="1" applyFill="1"/>
    <xf numFmtId="164" fontId="0" fillId="0" borderId="0" xfId="1" applyNumberFormat="1" applyFont="1" applyFill="1" applyAlignment="1">
      <alignment horizontal="right"/>
    </xf>
    <xf numFmtId="2" fontId="0" fillId="0" borderId="0" xfId="0" applyNumberFormat="1" applyFill="1" applyAlignment="1">
      <alignment horizontal="right"/>
    </xf>
    <xf numFmtId="166" fontId="0" fillId="0" borderId="0" xfId="0" applyNumberFormat="1"/>
    <xf numFmtId="1" fontId="0" fillId="2" borderId="0" xfId="0" applyNumberFormat="1" applyFill="1"/>
    <xf numFmtId="1" fontId="3" fillId="0" borderId="0" xfId="0" applyNumberFormat="1" applyFont="1" applyFill="1"/>
    <xf numFmtId="1" fontId="0" fillId="0" borderId="0" xfId="0" applyNumberFormat="1" applyFill="1"/>
    <xf numFmtId="0" fontId="0" fillId="2" borderId="0" xfId="0" applyFill="1"/>
  </cellXfs>
  <cellStyles count="4">
    <cellStyle name="Comma" xfId="1" builtinId="3"/>
    <cellStyle name="Currency" xfId="2" builtinId="4"/>
    <cellStyle name="Normal" xfId="0" builtinId="0"/>
    <cellStyle name="Percent" xfId="3"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960"/>
  <sheetViews>
    <sheetView tabSelected="1" zoomScale="115" zoomScaleNormal="115" workbookViewId="0">
      <pane ySplit="8" topLeftCell="A738" activePane="bottomLeft" state="frozen"/>
      <selection pane="bottomLeft" activeCell="B739" sqref="B739"/>
    </sheetView>
  </sheetViews>
  <sheetFormatPr defaultRowHeight="15" x14ac:dyDescent="0.25"/>
  <cols>
    <col min="3" max="3" width="78.42578125" customWidth="1"/>
    <col min="4" max="4" width="18.5703125" customWidth="1"/>
    <col min="6" max="6" width="39.85546875" customWidth="1"/>
    <col min="7" max="7" width="20.42578125" style="2" customWidth="1"/>
    <col min="8" max="8" width="19.5703125" style="4" customWidth="1"/>
    <col min="9" max="9" width="15.7109375" style="4" bestFit="1" customWidth="1"/>
    <col min="10" max="10" width="11.7109375" style="1" customWidth="1"/>
    <col min="11" max="11" width="14.28515625" style="3" bestFit="1" customWidth="1"/>
    <col min="12" max="12" width="18" customWidth="1"/>
    <col min="13" max="13" width="13.140625" customWidth="1"/>
  </cols>
  <sheetData>
    <row r="1" spans="1:13" ht="17.25" x14ac:dyDescent="0.25">
      <c r="C1" s="5" t="s">
        <v>1268</v>
      </c>
      <c r="D1" s="2"/>
      <c r="G1"/>
      <c r="J1"/>
      <c r="K1"/>
    </row>
    <row r="2" spans="1:13" x14ac:dyDescent="0.25">
      <c r="C2" s="56"/>
      <c r="D2" s="57"/>
      <c r="G2"/>
      <c r="J2"/>
      <c r="K2"/>
    </row>
    <row r="3" spans="1:13" x14ac:dyDescent="0.25">
      <c r="B3" t="s">
        <v>1269</v>
      </c>
      <c r="C3" s="5"/>
      <c r="D3" s="2"/>
      <c r="G3"/>
      <c r="J3"/>
      <c r="K3"/>
    </row>
    <row r="4" spans="1:13" x14ac:dyDescent="0.25">
      <c r="B4" t="s">
        <v>1265</v>
      </c>
      <c r="C4" s="5"/>
      <c r="D4" s="2"/>
      <c r="G4"/>
      <c r="J4"/>
      <c r="K4"/>
    </row>
    <row r="5" spans="1:13" x14ac:dyDescent="0.25">
      <c r="B5" t="s">
        <v>1266</v>
      </c>
      <c r="C5" s="5"/>
      <c r="D5" s="2"/>
      <c r="G5"/>
      <c r="J5"/>
      <c r="K5"/>
    </row>
    <row r="6" spans="1:13" x14ac:dyDescent="0.25">
      <c r="B6" t="s">
        <v>1267</v>
      </c>
      <c r="C6" s="5"/>
      <c r="D6" s="2"/>
      <c r="G6"/>
      <c r="J6"/>
      <c r="K6"/>
    </row>
    <row r="7" spans="1:13" x14ac:dyDescent="0.25">
      <c r="C7" s="5"/>
      <c r="D7" s="2"/>
      <c r="G7"/>
      <c r="J7"/>
      <c r="K7"/>
    </row>
    <row r="8" spans="1:13" ht="90" x14ac:dyDescent="0.25">
      <c r="A8" s="6" t="s">
        <v>0</v>
      </c>
      <c r="B8" s="6" t="s">
        <v>1300</v>
      </c>
      <c r="C8" s="6" t="s">
        <v>1270</v>
      </c>
      <c r="D8" s="6" t="s">
        <v>1</v>
      </c>
      <c r="E8" s="6" t="s">
        <v>2</v>
      </c>
      <c r="F8" s="6" t="s">
        <v>1271</v>
      </c>
      <c r="G8" s="7" t="s">
        <v>1301</v>
      </c>
      <c r="H8" s="8" t="s">
        <v>1272</v>
      </c>
      <c r="I8" s="8" t="s">
        <v>1273</v>
      </c>
      <c r="J8" s="9" t="s">
        <v>1302</v>
      </c>
      <c r="K8" s="10" t="s">
        <v>1274</v>
      </c>
      <c r="L8" s="6" t="s">
        <v>1303</v>
      </c>
      <c r="M8" s="6" t="s">
        <v>1304</v>
      </c>
    </row>
    <row r="9" spans="1:13" x14ac:dyDescent="0.25">
      <c r="A9" s="2">
        <f t="shared" ref="A9:A72" si="0">RANK(H9,H$9:H$725,0)</f>
        <v>1</v>
      </c>
      <c r="B9" s="2">
        <v>166027</v>
      </c>
      <c r="C9" t="s">
        <v>3</v>
      </c>
      <c r="D9" t="s">
        <v>4</v>
      </c>
      <c r="E9" t="s">
        <v>5</v>
      </c>
      <c r="F9" t="s">
        <v>6</v>
      </c>
      <c r="G9" s="4">
        <v>24610</v>
      </c>
      <c r="H9" s="4">
        <v>40575027</v>
      </c>
      <c r="I9" s="4">
        <v>39427896</v>
      </c>
      <c r="J9" s="1">
        <v>2.9094400573644612</v>
      </c>
      <c r="K9" s="3">
        <v>1648721.1296221048</v>
      </c>
      <c r="L9" s="2">
        <v>2</v>
      </c>
      <c r="M9" s="2">
        <v>4</v>
      </c>
    </row>
    <row r="10" spans="1:13" x14ac:dyDescent="0.25">
      <c r="A10" s="2">
        <f t="shared" si="0"/>
        <v>2</v>
      </c>
      <c r="B10" s="2">
        <v>229090</v>
      </c>
      <c r="C10" t="s">
        <v>7</v>
      </c>
      <c r="D10" t="s">
        <v>8</v>
      </c>
      <c r="E10" t="s">
        <v>9</v>
      </c>
      <c r="F10" t="s">
        <v>10</v>
      </c>
      <c r="G10" s="4">
        <v>190308</v>
      </c>
      <c r="H10" s="4">
        <v>31958313.033</v>
      </c>
      <c r="I10" s="4">
        <v>30958239.368000001</v>
      </c>
      <c r="J10" s="1">
        <v>3.2303958022681574</v>
      </c>
      <c r="K10" s="3">
        <v>167929.42510561825</v>
      </c>
      <c r="L10" s="2">
        <v>2</v>
      </c>
      <c r="M10" s="2">
        <v>0</v>
      </c>
    </row>
    <row r="11" spans="1:13" x14ac:dyDescent="0.25">
      <c r="A11" s="2">
        <f t="shared" si="0"/>
        <v>3</v>
      </c>
      <c r="B11" s="2">
        <v>130794</v>
      </c>
      <c r="C11" t="s">
        <v>11</v>
      </c>
      <c r="D11" t="s">
        <v>12</v>
      </c>
      <c r="E11" t="s">
        <v>13</v>
      </c>
      <c r="F11" t="s">
        <v>6</v>
      </c>
      <c r="G11" s="4">
        <v>13539</v>
      </c>
      <c r="H11" s="4">
        <v>31201700</v>
      </c>
      <c r="I11" s="4">
        <v>30314800</v>
      </c>
      <c r="J11" s="1">
        <v>2.9256336838771819</v>
      </c>
      <c r="K11" s="3">
        <v>2304579.3633207772</v>
      </c>
      <c r="L11" s="2">
        <v>2</v>
      </c>
      <c r="M11" s="2">
        <v>4</v>
      </c>
    </row>
    <row r="12" spans="1:13" x14ac:dyDescent="0.25">
      <c r="A12" s="2">
        <f t="shared" si="0"/>
        <v>4</v>
      </c>
      <c r="B12" s="2">
        <v>243744</v>
      </c>
      <c r="C12" t="s">
        <v>14</v>
      </c>
      <c r="D12" t="s">
        <v>15</v>
      </c>
      <c r="E12" t="s">
        <v>16</v>
      </c>
      <c r="F12" t="s">
        <v>6</v>
      </c>
      <c r="G12" s="4">
        <v>16793</v>
      </c>
      <c r="H12" s="4">
        <v>28948000</v>
      </c>
      <c r="I12" s="4">
        <v>27699834</v>
      </c>
      <c r="J12" s="1">
        <v>4.5060414441472822</v>
      </c>
      <c r="K12" s="3">
        <v>1723813.4937176204</v>
      </c>
      <c r="L12" s="2">
        <v>2</v>
      </c>
      <c r="M12" s="2">
        <v>4</v>
      </c>
    </row>
    <row r="13" spans="1:13" x14ac:dyDescent="0.25">
      <c r="A13" s="2">
        <f t="shared" si="0"/>
        <v>5</v>
      </c>
      <c r="B13" s="2">
        <v>186131</v>
      </c>
      <c r="C13" t="s">
        <v>17</v>
      </c>
      <c r="D13" t="s">
        <v>18</v>
      </c>
      <c r="E13" t="s">
        <v>19</v>
      </c>
      <c r="F13" t="s">
        <v>6</v>
      </c>
      <c r="G13" s="4">
        <v>7795</v>
      </c>
      <c r="H13" s="4">
        <v>26558642.958999999</v>
      </c>
      <c r="I13" s="4">
        <v>26116022.495999999</v>
      </c>
      <c r="J13" s="1">
        <v>1.6948234099116468</v>
      </c>
      <c r="K13" s="3">
        <v>3407138.2885182807</v>
      </c>
      <c r="L13" s="2">
        <v>2</v>
      </c>
      <c r="M13" s="2">
        <v>4</v>
      </c>
    </row>
    <row r="14" spans="1:13" x14ac:dyDescent="0.25">
      <c r="A14" s="2">
        <f t="shared" si="0"/>
        <v>6</v>
      </c>
      <c r="B14" s="2">
        <v>166683</v>
      </c>
      <c r="C14" t="s">
        <v>20</v>
      </c>
      <c r="D14" t="s">
        <v>4</v>
      </c>
      <c r="E14" t="s">
        <v>5</v>
      </c>
      <c r="F14" t="s">
        <v>6</v>
      </c>
      <c r="G14" s="4">
        <v>11415</v>
      </c>
      <c r="H14" s="4">
        <v>18495905</v>
      </c>
      <c r="I14" s="4">
        <v>17569328</v>
      </c>
      <c r="J14" s="1">
        <v>5.2738328978774822</v>
      </c>
      <c r="K14" s="3">
        <v>1620315.8125273762</v>
      </c>
      <c r="L14" s="2">
        <v>2</v>
      </c>
      <c r="M14" s="2">
        <v>4</v>
      </c>
    </row>
    <row r="15" spans="1:13" x14ac:dyDescent="0.25">
      <c r="A15" s="2">
        <f t="shared" si="0"/>
        <v>7</v>
      </c>
      <c r="B15" s="2">
        <v>215062</v>
      </c>
      <c r="C15" t="s">
        <v>21</v>
      </c>
      <c r="D15" t="s">
        <v>22</v>
      </c>
      <c r="E15" t="s">
        <v>23</v>
      </c>
      <c r="F15" t="s">
        <v>6</v>
      </c>
      <c r="G15" s="4">
        <v>23770</v>
      </c>
      <c r="H15" s="4">
        <v>14877362.719000001</v>
      </c>
      <c r="I15" s="4">
        <v>14649761.630999999</v>
      </c>
      <c r="J15" s="1">
        <v>1.5536163231378382</v>
      </c>
      <c r="K15" s="3">
        <v>625888.20862431638</v>
      </c>
      <c r="L15" s="2">
        <v>2</v>
      </c>
      <c r="M15" s="2">
        <v>4</v>
      </c>
    </row>
    <row r="16" spans="1:13" ht="17.25" x14ac:dyDescent="0.25">
      <c r="A16" s="16">
        <f t="shared" si="0"/>
        <v>8</v>
      </c>
      <c r="B16" s="16">
        <v>228732</v>
      </c>
      <c r="C16" s="17" t="s">
        <v>1308</v>
      </c>
      <c r="D16" s="17" t="s">
        <v>24</v>
      </c>
      <c r="E16" s="17" t="s">
        <v>9</v>
      </c>
      <c r="F16" s="17" t="s">
        <v>10</v>
      </c>
      <c r="G16" s="18">
        <v>122605</v>
      </c>
      <c r="H16" s="18">
        <v>13594481.560000001</v>
      </c>
      <c r="I16" s="18">
        <v>13514527.603</v>
      </c>
      <c r="J16" s="19">
        <v>0.59161488546778029</v>
      </c>
      <c r="K16" s="20">
        <v>110880.31939969822</v>
      </c>
      <c r="L16" s="16">
        <v>2</v>
      </c>
      <c r="M16" s="16">
        <v>0</v>
      </c>
    </row>
    <row r="17" spans="1:13" x14ac:dyDescent="0.25">
      <c r="A17" s="2">
        <f t="shared" si="0"/>
        <v>9</v>
      </c>
      <c r="B17" s="2">
        <v>170976</v>
      </c>
      <c r="C17" t="s">
        <v>25</v>
      </c>
      <c r="D17" t="s">
        <v>26</v>
      </c>
      <c r="E17" t="s">
        <v>27</v>
      </c>
      <c r="F17" t="s">
        <v>10</v>
      </c>
      <c r="G17" s="4">
        <v>58389</v>
      </c>
      <c r="H17" s="49">
        <v>12476874</v>
      </c>
      <c r="I17" s="4">
        <v>12448816.790999999</v>
      </c>
      <c r="J17" s="50">
        <v>0.23</v>
      </c>
      <c r="K17" s="51">
        <v>213685.35</v>
      </c>
      <c r="L17" s="2">
        <v>2</v>
      </c>
      <c r="M17" s="2">
        <v>4</v>
      </c>
    </row>
    <row r="18" spans="1:13" x14ac:dyDescent="0.25">
      <c r="A18" s="2">
        <f t="shared" si="0"/>
        <v>10</v>
      </c>
      <c r="B18" s="2">
        <v>124557</v>
      </c>
      <c r="C18" t="s">
        <v>1312</v>
      </c>
      <c r="D18" t="s">
        <v>28</v>
      </c>
      <c r="E18" t="s">
        <v>16</v>
      </c>
      <c r="F18" t="s">
        <v>10</v>
      </c>
      <c r="G18" s="4">
        <v>216904</v>
      </c>
      <c r="H18" s="4">
        <v>12141761.594000001</v>
      </c>
      <c r="I18" s="4">
        <v>11797543.446</v>
      </c>
      <c r="J18" s="1">
        <v>2.9177103655143428</v>
      </c>
      <c r="K18" s="3">
        <v>55977.58268173939</v>
      </c>
      <c r="L18" s="2">
        <v>2</v>
      </c>
      <c r="M18" s="2">
        <v>0</v>
      </c>
    </row>
    <row r="19" spans="1:13" x14ac:dyDescent="0.25">
      <c r="A19" s="2">
        <f t="shared" si="0"/>
        <v>11</v>
      </c>
      <c r="B19" s="2">
        <v>152080</v>
      </c>
      <c r="C19" t="s">
        <v>29</v>
      </c>
      <c r="D19" t="s">
        <v>30</v>
      </c>
      <c r="E19" t="s">
        <v>31</v>
      </c>
      <c r="F19" t="s">
        <v>6</v>
      </c>
      <c r="G19" s="4">
        <v>12494</v>
      </c>
      <c r="H19" s="4">
        <v>11962820</v>
      </c>
      <c r="I19" s="4">
        <v>11268365</v>
      </c>
      <c r="J19" s="1">
        <v>6.1628727858921861</v>
      </c>
      <c r="K19" s="3">
        <v>957485.19289258844</v>
      </c>
      <c r="L19" s="2">
        <v>2</v>
      </c>
      <c r="M19" s="2">
        <v>4</v>
      </c>
    </row>
    <row r="20" spans="1:13" x14ac:dyDescent="0.25">
      <c r="A20" s="2">
        <f t="shared" si="0"/>
        <v>12</v>
      </c>
      <c r="B20" s="2">
        <v>190150</v>
      </c>
      <c r="C20" t="s">
        <v>32</v>
      </c>
      <c r="D20" t="s">
        <v>33</v>
      </c>
      <c r="E20" t="s">
        <v>34</v>
      </c>
      <c r="F20" t="s">
        <v>6</v>
      </c>
      <c r="G20" s="4">
        <v>28143</v>
      </c>
      <c r="H20" s="4">
        <v>11257021</v>
      </c>
      <c r="I20" s="4">
        <v>10950738</v>
      </c>
      <c r="J20" s="1">
        <v>2.7969165183205003</v>
      </c>
      <c r="K20" s="3">
        <v>399993.63962619478</v>
      </c>
      <c r="L20" s="2">
        <v>2</v>
      </c>
      <c r="M20" s="2">
        <v>4</v>
      </c>
    </row>
    <row r="21" spans="1:13" x14ac:dyDescent="0.25">
      <c r="A21" s="2">
        <f t="shared" si="0"/>
        <v>13</v>
      </c>
      <c r="B21" s="2">
        <v>147767</v>
      </c>
      <c r="C21" t="s">
        <v>35</v>
      </c>
      <c r="D21" t="s">
        <v>36</v>
      </c>
      <c r="E21" t="s">
        <v>37</v>
      </c>
      <c r="F21" t="s">
        <v>6</v>
      </c>
      <c r="G21" s="4">
        <v>19208</v>
      </c>
      <c r="H21" s="4">
        <v>10926510</v>
      </c>
      <c r="I21" s="4">
        <v>11091516</v>
      </c>
      <c r="J21" s="1">
        <v>-1.4876776087236407</v>
      </c>
      <c r="K21" s="3">
        <v>568852.04081632651</v>
      </c>
      <c r="L21" s="2">
        <v>2</v>
      </c>
      <c r="M21" s="2">
        <v>4</v>
      </c>
    </row>
    <row r="22" spans="1:13" x14ac:dyDescent="0.25">
      <c r="A22" s="2">
        <f t="shared" si="0"/>
        <v>14</v>
      </c>
      <c r="B22" s="2">
        <v>198419</v>
      </c>
      <c r="C22" t="s">
        <v>38</v>
      </c>
      <c r="D22" t="s">
        <v>39</v>
      </c>
      <c r="E22" t="s">
        <v>40</v>
      </c>
      <c r="F22" t="s">
        <v>6</v>
      </c>
      <c r="G22" s="4">
        <v>15852</v>
      </c>
      <c r="H22" s="4">
        <v>8474070.6199999992</v>
      </c>
      <c r="I22" s="4">
        <v>8609003.9729999993</v>
      </c>
      <c r="J22" s="1">
        <v>-1.5673515010933308</v>
      </c>
      <c r="K22" s="3">
        <v>534574.22533434269</v>
      </c>
      <c r="L22" s="2">
        <v>2</v>
      </c>
      <c r="M22" s="2">
        <v>4</v>
      </c>
    </row>
    <row r="23" spans="1:13" x14ac:dyDescent="0.25">
      <c r="A23" s="2">
        <f t="shared" si="0"/>
        <v>15</v>
      </c>
      <c r="B23" s="2">
        <v>179867</v>
      </c>
      <c r="C23" t="s">
        <v>41</v>
      </c>
      <c r="D23" t="s">
        <v>42</v>
      </c>
      <c r="E23" t="s">
        <v>43</v>
      </c>
      <c r="F23" t="s">
        <v>6</v>
      </c>
      <c r="G23" s="4">
        <v>14475</v>
      </c>
      <c r="H23" s="4">
        <v>8420497.1280000005</v>
      </c>
      <c r="I23" s="4">
        <v>7953985.5120000001</v>
      </c>
      <c r="J23" s="1">
        <v>5.8651303210973209</v>
      </c>
      <c r="K23" s="3">
        <v>581726.91730569943</v>
      </c>
      <c r="L23" s="2">
        <v>2</v>
      </c>
      <c r="M23" s="2">
        <v>4</v>
      </c>
    </row>
    <row r="24" spans="1:13" x14ac:dyDescent="0.25">
      <c r="A24" s="2">
        <f t="shared" si="0"/>
        <v>16</v>
      </c>
      <c r="B24" s="2">
        <v>144050</v>
      </c>
      <c r="C24" t="s">
        <v>44</v>
      </c>
      <c r="D24" t="s">
        <v>45</v>
      </c>
      <c r="E24" t="s">
        <v>37</v>
      </c>
      <c r="F24" t="s">
        <v>6</v>
      </c>
      <c r="G24" s="4">
        <v>16611</v>
      </c>
      <c r="H24" s="4">
        <v>8204461</v>
      </c>
      <c r="I24" s="4">
        <v>8263868</v>
      </c>
      <c r="J24" s="1">
        <v>-0.71887643897506592</v>
      </c>
      <c r="K24" s="3">
        <v>493917.34392872191</v>
      </c>
      <c r="L24" s="2">
        <v>2</v>
      </c>
      <c r="M24" s="2">
        <v>4</v>
      </c>
    </row>
    <row r="25" spans="1:13" x14ac:dyDescent="0.25">
      <c r="A25" s="2">
        <f t="shared" si="0"/>
        <v>17</v>
      </c>
      <c r="B25" s="2">
        <v>139658</v>
      </c>
      <c r="C25" t="s">
        <v>46</v>
      </c>
      <c r="D25" t="s">
        <v>47</v>
      </c>
      <c r="E25" t="s">
        <v>48</v>
      </c>
      <c r="F25" t="s">
        <v>6</v>
      </c>
      <c r="G25" s="4">
        <v>14391</v>
      </c>
      <c r="H25" s="4">
        <v>7936987.7180000003</v>
      </c>
      <c r="I25" s="4">
        <v>7872381.4780000001</v>
      </c>
      <c r="J25" s="1">
        <v>0.82066957985391464</v>
      </c>
      <c r="K25" s="3">
        <v>551524.40539225901</v>
      </c>
      <c r="L25" s="2">
        <v>2</v>
      </c>
      <c r="M25" s="2">
        <v>4</v>
      </c>
    </row>
    <row r="26" spans="1:13" x14ac:dyDescent="0.25">
      <c r="A26" s="2">
        <f t="shared" si="0"/>
        <v>18</v>
      </c>
      <c r="B26" s="2">
        <v>234076</v>
      </c>
      <c r="C26" t="s">
        <v>49</v>
      </c>
      <c r="D26" t="s">
        <v>50</v>
      </c>
      <c r="E26" t="s">
        <v>51</v>
      </c>
      <c r="F26" t="s">
        <v>10</v>
      </c>
      <c r="G26" s="4">
        <v>23618</v>
      </c>
      <c r="H26" s="4">
        <v>7255701.2189999996</v>
      </c>
      <c r="I26" s="4">
        <v>7058234.6100000003</v>
      </c>
      <c r="J26" s="1">
        <v>2.7976770383947325</v>
      </c>
      <c r="K26" s="3">
        <v>307210.65369633329</v>
      </c>
      <c r="L26" s="2">
        <v>2</v>
      </c>
      <c r="M26" s="2">
        <v>4</v>
      </c>
    </row>
    <row r="27" spans="1:13" x14ac:dyDescent="0.25">
      <c r="A27" s="2">
        <f t="shared" si="0"/>
        <v>19</v>
      </c>
      <c r="B27" s="2">
        <v>190415</v>
      </c>
      <c r="C27" t="s">
        <v>52</v>
      </c>
      <c r="D27" t="s">
        <v>53</v>
      </c>
      <c r="E27" t="s">
        <v>34</v>
      </c>
      <c r="F27" t="s">
        <v>6</v>
      </c>
      <c r="G27" s="4">
        <v>25354</v>
      </c>
      <c r="H27" s="4">
        <v>7218687.574</v>
      </c>
      <c r="I27" s="4">
        <v>7328241.4050000003</v>
      </c>
      <c r="J27" s="1">
        <v>-1.4949539042921309</v>
      </c>
      <c r="K27" s="3">
        <v>284715.92545554944</v>
      </c>
      <c r="L27" s="2">
        <v>2</v>
      </c>
      <c r="M27" s="2">
        <v>4</v>
      </c>
    </row>
    <row r="28" spans="1:13" x14ac:dyDescent="0.25">
      <c r="A28" s="2">
        <f t="shared" si="0"/>
        <v>20</v>
      </c>
      <c r="B28" s="2">
        <v>221999</v>
      </c>
      <c r="C28" t="s">
        <v>54</v>
      </c>
      <c r="D28" t="s">
        <v>55</v>
      </c>
      <c r="E28" t="s">
        <v>56</v>
      </c>
      <c r="F28" t="s">
        <v>6</v>
      </c>
      <c r="G28" s="4">
        <v>12412</v>
      </c>
      <c r="H28" s="4">
        <v>6917370.7999999998</v>
      </c>
      <c r="I28" s="4">
        <v>6270876.7039999999</v>
      </c>
      <c r="J28" s="1">
        <v>10.309469098437564</v>
      </c>
      <c r="K28" s="3">
        <v>557313.148565904</v>
      </c>
      <c r="L28" s="2">
        <v>2</v>
      </c>
      <c r="M28" s="2">
        <v>4</v>
      </c>
    </row>
    <row r="29" spans="1:13" x14ac:dyDescent="0.25">
      <c r="A29" s="2">
        <f t="shared" si="0"/>
        <v>21</v>
      </c>
      <c r="B29" s="2">
        <v>162928</v>
      </c>
      <c r="C29" t="s">
        <v>57</v>
      </c>
      <c r="D29" t="s">
        <v>58</v>
      </c>
      <c r="E29" t="s">
        <v>59</v>
      </c>
      <c r="F29" t="s">
        <v>6</v>
      </c>
      <c r="G29" s="4">
        <v>19241</v>
      </c>
      <c r="H29" s="4">
        <v>6750092</v>
      </c>
      <c r="I29" s="4">
        <v>6275939</v>
      </c>
      <c r="J29" s="1">
        <v>7.5550925526841475</v>
      </c>
      <c r="K29" s="3">
        <v>350818.14874486771</v>
      </c>
      <c r="L29" s="2">
        <v>2</v>
      </c>
      <c r="M29" s="2">
        <v>4</v>
      </c>
    </row>
    <row r="30" spans="1:13" x14ac:dyDescent="0.25">
      <c r="A30" s="2">
        <f t="shared" si="0"/>
        <v>22</v>
      </c>
      <c r="B30" s="2">
        <v>227757</v>
      </c>
      <c r="C30" t="s">
        <v>60</v>
      </c>
      <c r="D30" t="s">
        <v>61</v>
      </c>
      <c r="E30" t="s">
        <v>9</v>
      </c>
      <c r="F30" t="s">
        <v>6</v>
      </c>
      <c r="G30" s="4">
        <v>7068</v>
      </c>
      <c r="H30" s="4">
        <v>6163926.2750000004</v>
      </c>
      <c r="I30" s="4">
        <v>6481102.2960000001</v>
      </c>
      <c r="J30" s="1">
        <v>-4.8938592003979684</v>
      </c>
      <c r="K30" s="3">
        <v>872089.17303338996</v>
      </c>
      <c r="L30" s="2">
        <v>2</v>
      </c>
      <c r="M30" s="2">
        <v>4</v>
      </c>
    </row>
    <row r="31" spans="1:13" x14ac:dyDescent="0.25">
      <c r="A31" s="2">
        <f t="shared" si="0"/>
        <v>23</v>
      </c>
      <c r="B31" s="2">
        <v>182670</v>
      </c>
      <c r="C31" t="s">
        <v>62</v>
      </c>
      <c r="D31" t="s">
        <v>63</v>
      </c>
      <c r="E31" t="s">
        <v>64</v>
      </c>
      <c r="F31" t="s">
        <v>6</v>
      </c>
      <c r="G31" s="4">
        <v>6531</v>
      </c>
      <c r="H31" s="4">
        <v>5975180</v>
      </c>
      <c r="I31" s="4">
        <v>5731322</v>
      </c>
      <c r="J31" s="1">
        <v>4.2548298629879806</v>
      </c>
      <c r="K31" s="3">
        <v>914895.1156025111</v>
      </c>
      <c r="L31" s="2">
        <v>2</v>
      </c>
      <c r="M31" s="2">
        <v>4</v>
      </c>
    </row>
    <row r="32" spans="1:13" x14ac:dyDescent="0.25">
      <c r="A32" s="2">
        <f t="shared" si="0"/>
        <v>24</v>
      </c>
      <c r="B32" s="2">
        <v>123961</v>
      </c>
      <c r="C32" t="s">
        <v>65</v>
      </c>
      <c r="D32" t="s">
        <v>66</v>
      </c>
      <c r="E32" t="s">
        <v>16</v>
      </c>
      <c r="F32" t="s">
        <v>6</v>
      </c>
      <c r="G32" s="4">
        <v>43772</v>
      </c>
      <c r="H32" s="4">
        <v>5914358.2419999996</v>
      </c>
      <c r="I32" s="4">
        <v>5732100.6780000003</v>
      </c>
      <c r="J32" s="1">
        <v>3.1795946065551641</v>
      </c>
      <c r="K32" s="3">
        <v>135117.38650278718</v>
      </c>
      <c r="L32" s="2">
        <v>2</v>
      </c>
      <c r="M32" s="2">
        <v>4</v>
      </c>
    </row>
    <row r="33" spans="1:13" x14ac:dyDescent="0.25">
      <c r="A33" s="2">
        <f t="shared" si="0"/>
        <v>25</v>
      </c>
      <c r="B33" s="2">
        <v>204796</v>
      </c>
      <c r="C33" t="s">
        <v>67</v>
      </c>
      <c r="D33" t="s">
        <v>68</v>
      </c>
      <c r="E33" t="s">
        <v>69</v>
      </c>
      <c r="F33" t="s">
        <v>10</v>
      </c>
      <c r="G33" s="4">
        <v>61990</v>
      </c>
      <c r="H33" s="4">
        <v>5287131.2029999997</v>
      </c>
      <c r="I33" s="4">
        <v>5256758.7829999998</v>
      </c>
      <c r="J33" s="1">
        <v>0.57777846109702313</v>
      </c>
      <c r="K33" s="3">
        <v>85290.066188094861</v>
      </c>
      <c r="L33" s="2">
        <v>2</v>
      </c>
      <c r="M33" s="2">
        <v>4</v>
      </c>
    </row>
    <row r="34" spans="1:13" x14ac:dyDescent="0.25">
      <c r="A34" s="2">
        <f t="shared" si="0"/>
        <v>26</v>
      </c>
      <c r="B34" s="2">
        <v>217156</v>
      </c>
      <c r="C34" t="s">
        <v>70</v>
      </c>
      <c r="D34" t="s">
        <v>71</v>
      </c>
      <c r="E34" t="s">
        <v>72</v>
      </c>
      <c r="F34" t="s">
        <v>6</v>
      </c>
      <c r="G34" s="4">
        <v>9848</v>
      </c>
      <c r="H34" s="4">
        <v>4377466</v>
      </c>
      <c r="I34" s="4">
        <v>3976694</v>
      </c>
      <c r="J34" s="1">
        <v>10.078019581089217</v>
      </c>
      <c r="K34" s="3">
        <v>444503.04630381806</v>
      </c>
      <c r="L34" s="2">
        <v>2</v>
      </c>
      <c r="M34" s="2">
        <v>4</v>
      </c>
    </row>
    <row r="35" spans="1:13" ht="17.25" x14ac:dyDescent="0.25">
      <c r="A35" s="2">
        <f t="shared" si="0"/>
        <v>27</v>
      </c>
      <c r="B35" s="2">
        <v>193900</v>
      </c>
      <c r="C35" t="s">
        <v>1309</v>
      </c>
      <c r="D35" t="s">
        <v>33</v>
      </c>
      <c r="E35" t="s">
        <v>34</v>
      </c>
      <c r="F35" t="s">
        <v>6</v>
      </c>
      <c r="G35" s="4">
        <v>52694</v>
      </c>
      <c r="H35" s="4">
        <v>4323652.125</v>
      </c>
      <c r="I35" s="4">
        <v>4345607.8540000003</v>
      </c>
      <c r="J35" s="1">
        <v>-0.50523953696812329</v>
      </c>
      <c r="K35" s="3">
        <v>82052.076612138</v>
      </c>
      <c r="L35" s="2">
        <v>2</v>
      </c>
      <c r="M35" s="2">
        <v>4</v>
      </c>
    </row>
    <row r="36" spans="1:13" x14ac:dyDescent="0.25">
      <c r="A36" s="2">
        <f t="shared" si="0"/>
        <v>28</v>
      </c>
      <c r="B36" s="2">
        <v>215293</v>
      </c>
      <c r="C36" t="s">
        <v>73</v>
      </c>
      <c r="D36" t="s">
        <v>74</v>
      </c>
      <c r="E36" t="s">
        <v>23</v>
      </c>
      <c r="F36" t="s">
        <v>10</v>
      </c>
      <c r="G36" s="4">
        <v>31745</v>
      </c>
      <c r="H36" s="4">
        <v>4172380</v>
      </c>
      <c r="I36" s="4">
        <v>4311387</v>
      </c>
      <c r="J36" s="1">
        <v>-3.2241828441752038</v>
      </c>
      <c r="K36" s="3">
        <v>131434.24161285241</v>
      </c>
      <c r="L36" s="2">
        <v>2</v>
      </c>
      <c r="M36" s="2">
        <v>4</v>
      </c>
    </row>
    <row r="37" spans="1:13" ht="17.25" x14ac:dyDescent="0.25">
      <c r="A37" s="16">
        <f t="shared" si="0"/>
        <v>29</v>
      </c>
      <c r="B37" s="16">
        <v>174066</v>
      </c>
      <c r="C37" s="17" t="s">
        <v>1314</v>
      </c>
      <c r="D37" s="17" t="s">
        <v>100</v>
      </c>
      <c r="E37" s="17" t="s">
        <v>101</v>
      </c>
      <c r="F37" s="17" t="s">
        <v>95</v>
      </c>
      <c r="G37" s="18">
        <v>59643</v>
      </c>
      <c r="H37" s="18">
        <v>3871526</v>
      </c>
      <c r="I37" s="18">
        <v>3951464</v>
      </c>
      <c r="J37" s="19">
        <v>-2.02</v>
      </c>
      <c r="K37" s="20">
        <v>64911.66</v>
      </c>
      <c r="L37" s="16">
        <v>2</v>
      </c>
      <c r="M37" s="16">
        <v>4</v>
      </c>
    </row>
    <row r="38" spans="1:13" x14ac:dyDescent="0.25">
      <c r="A38" s="2">
        <f t="shared" si="0"/>
        <v>30</v>
      </c>
      <c r="B38" s="2">
        <v>199120</v>
      </c>
      <c r="C38" t="s">
        <v>75</v>
      </c>
      <c r="D38" t="s">
        <v>76</v>
      </c>
      <c r="E38" t="s">
        <v>40</v>
      </c>
      <c r="F38" t="s">
        <v>10</v>
      </c>
      <c r="G38" s="4">
        <v>28127</v>
      </c>
      <c r="H38" s="4">
        <v>3712117.4539999999</v>
      </c>
      <c r="I38" s="4">
        <v>3671350.602</v>
      </c>
      <c r="J38" s="1">
        <v>1.1104047643336461</v>
      </c>
      <c r="K38" s="3">
        <v>131977.01333238525</v>
      </c>
      <c r="L38" s="2">
        <v>2</v>
      </c>
      <c r="M38" s="2">
        <v>4</v>
      </c>
    </row>
    <row r="39" spans="1:13" x14ac:dyDescent="0.25">
      <c r="A39" s="2">
        <f t="shared" si="0"/>
        <v>31</v>
      </c>
      <c r="B39" s="2">
        <v>214777</v>
      </c>
      <c r="C39" t="s">
        <v>77</v>
      </c>
      <c r="D39" t="s">
        <v>78</v>
      </c>
      <c r="E39" t="s">
        <v>23</v>
      </c>
      <c r="F39" t="s">
        <v>10</v>
      </c>
      <c r="G39" s="4">
        <v>79966.3</v>
      </c>
      <c r="H39" s="4">
        <v>3402938.0040000002</v>
      </c>
      <c r="I39" s="4">
        <v>3245828.23</v>
      </c>
      <c r="J39" s="1">
        <v>4.8403600827638371</v>
      </c>
      <c r="K39" s="3">
        <v>42554.65119681666</v>
      </c>
      <c r="L39" s="2">
        <v>2</v>
      </c>
      <c r="M39" s="2">
        <v>4</v>
      </c>
    </row>
    <row r="40" spans="1:13" x14ac:dyDescent="0.25">
      <c r="A40" s="2">
        <f t="shared" si="0"/>
        <v>32</v>
      </c>
      <c r="B40" s="2">
        <v>240444</v>
      </c>
      <c r="C40" t="s">
        <v>79</v>
      </c>
      <c r="D40" t="s">
        <v>80</v>
      </c>
      <c r="E40" t="s">
        <v>81</v>
      </c>
      <c r="F40" t="s">
        <v>82</v>
      </c>
      <c r="G40" s="4">
        <v>41748</v>
      </c>
      <c r="H40" s="4">
        <v>3178686.7689999999</v>
      </c>
      <c r="I40" s="4">
        <v>3152578.1510000001</v>
      </c>
      <c r="J40" s="1">
        <v>0.8281671936259003</v>
      </c>
      <c r="K40" s="3">
        <v>76139.857454249301</v>
      </c>
      <c r="L40" s="2">
        <v>2</v>
      </c>
      <c r="M40" s="2">
        <v>4</v>
      </c>
    </row>
    <row r="41" spans="1:13" x14ac:dyDescent="0.25">
      <c r="A41" s="2">
        <f t="shared" si="0"/>
        <v>33</v>
      </c>
      <c r="B41" s="2">
        <v>236948</v>
      </c>
      <c r="C41" t="s">
        <v>83</v>
      </c>
      <c r="D41" t="s">
        <v>84</v>
      </c>
      <c r="E41" t="s">
        <v>85</v>
      </c>
      <c r="F41" t="s">
        <v>10</v>
      </c>
      <c r="G41" s="4">
        <v>59521</v>
      </c>
      <c r="H41" s="4">
        <v>3075651.05</v>
      </c>
      <c r="I41" s="4">
        <v>3087432.8709999998</v>
      </c>
      <c r="J41" s="1">
        <v>-0.38160573823857563</v>
      </c>
      <c r="K41" s="3">
        <v>51673.376623376622</v>
      </c>
      <c r="L41" s="2">
        <v>2</v>
      </c>
      <c r="M41" s="2">
        <v>4</v>
      </c>
    </row>
    <row r="42" spans="1:13" x14ac:dyDescent="0.25">
      <c r="A42" s="2">
        <f t="shared" si="0"/>
        <v>34</v>
      </c>
      <c r="B42" s="2">
        <v>171100</v>
      </c>
      <c r="C42" t="s">
        <v>86</v>
      </c>
      <c r="D42" t="s">
        <v>87</v>
      </c>
      <c r="E42" t="s">
        <v>27</v>
      </c>
      <c r="F42" t="s">
        <v>10</v>
      </c>
      <c r="G42" s="4">
        <v>45731.7</v>
      </c>
      <c r="H42" s="4">
        <v>3068700</v>
      </c>
      <c r="I42" s="4">
        <v>3033279.4070000001</v>
      </c>
      <c r="J42" s="1">
        <v>1.1677326169906643</v>
      </c>
      <c r="K42" s="3">
        <v>67102.250736360118</v>
      </c>
      <c r="L42" s="2">
        <v>2</v>
      </c>
      <c r="M42" s="2">
        <v>4</v>
      </c>
    </row>
    <row r="43" spans="1:13" x14ac:dyDescent="0.25">
      <c r="A43" s="2">
        <f t="shared" si="0"/>
        <v>35</v>
      </c>
      <c r="B43" s="2">
        <v>110662</v>
      </c>
      <c r="C43" t="s">
        <v>88</v>
      </c>
      <c r="D43" t="s">
        <v>66</v>
      </c>
      <c r="E43" t="s">
        <v>16</v>
      </c>
      <c r="F43" t="s">
        <v>82</v>
      </c>
      <c r="G43" s="4">
        <v>45930</v>
      </c>
      <c r="H43" s="4">
        <v>2880224.844</v>
      </c>
      <c r="I43" s="4">
        <v>2746929.9619999998</v>
      </c>
      <c r="J43" s="1">
        <v>4.8525038440714345</v>
      </c>
      <c r="K43" s="3">
        <v>62709.01032005225</v>
      </c>
      <c r="L43" s="2">
        <v>2</v>
      </c>
      <c r="M43" s="2">
        <v>4</v>
      </c>
    </row>
    <row r="44" spans="1:13" x14ac:dyDescent="0.25">
      <c r="A44" s="2">
        <f t="shared" si="0"/>
        <v>36</v>
      </c>
      <c r="B44" s="2">
        <v>168342</v>
      </c>
      <c r="C44" t="s">
        <v>89</v>
      </c>
      <c r="D44" t="s">
        <v>90</v>
      </c>
      <c r="E44" t="s">
        <v>5</v>
      </c>
      <c r="F44" t="s">
        <v>6</v>
      </c>
      <c r="G44" s="4">
        <v>2044</v>
      </c>
      <c r="H44" s="4">
        <v>2841360.34</v>
      </c>
      <c r="I44" s="4">
        <v>2888961.6970000002</v>
      </c>
      <c r="J44" s="1">
        <v>-1.6476977541595976</v>
      </c>
      <c r="K44" s="3">
        <v>1390098.01369863</v>
      </c>
      <c r="L44" s="2">
        <v>2</v>
      </c>
      <c r="M44" s="2">
        <v>2</v>
      </c>
    </row>
    <row r="45" spans="1:13" x14ac:dyDescent="0.25">
      <c r="A45" s="2">
        <f t="shared" si="0"/>
        <v>37</v>
      </c>
      <c r="B45" s="2">
        <v>110404</v>
      </c>
      <c r="C45" t="s">
        <v>91</v>
      </c>
      <c r="D45" t="s">
        <v>92</v>
      </c>
      <c r="E45" t="s">
        <v>16</v>
      </c>
      <c r="F45" t="s">
        <v>6</v>
      </c>
      <c r="G45" s="4">
        <v>2237</v>
      </c>
      <c r="H45" s="4">
        <v>2837600</v>
      </c>
      <c r="I45" s="4">
        <v>2975375.5839999998</v>
      </c>
      <c r="J45" s="1">
        <v>-4.6305274783084327</v>
      </c>
      <c r="K45" s="3">
        <v>1268484.5775592311</v>
      </c>
      <c r="L45" s="2">
        <v>2</v>
      </c>
      <c r="M45" s="2">
        <v>4</v>
      </c>
    </row>
    <row r="46" spans="1:13" ht="17.25" x14ac:dyDescent="0.25">
      <c r="A46" s="2">
        <f t="shared" si="0"/>
        <v>38</v>
      </c>
      <c r="B46" s="2">
        <v>211440</v>
      </c>
      <c r="C46" t="s">
        <v>1324</v>
      </c>
      <c r="D46" t="s">
        <v>74</v>
      </c>
      <c r="E46" t="s">
        <v>23</v>
      </c>
      <c r="F46" t="s">
        <v>6</v>
      </c>
      <c r="G46" s="4">
        <v>14198</v>
      </c>
      <c r="H46" s="4">
        <v>2670759.86</v>
      </c>
      <c r="I46" s="4">
        <v>2542649.8459999999</v>
      </c>
      <c r="J46" s="1">
        <v>5.0384449986905517</v>
      </c>
      <c r="K46" s="3">
        <v>188108.17439075926</v>
      </c>
      <c r="L46" s="2">
        <v>2</v>
      </c>
      <c r="M46" s="2">
        <v>4</v>
      </c>
    </row>
    <row r="47" spans="1:13" x14ac:dyDescent="0.25">
      <c r="A47" s="2">
        <f t="shared" si="0"/>
        <v>39</v>
      </c>
      <c r="B47" s="2">
        <v>243780</v>
      </c>
      <c r="C47" t="s">
        <v>93</v>
      </c>
      <c r="D47" t="s">
        <v>94</v>
      </c>
      <c r="E47" t="s">
        <v>31</v>
      </c>
      <c r="F47" t="s">
        <v>95</v>
      </c>
      <c r="G47" s="4">
        <v>56705.99</v>
      </c>
      <c r="H47" s="4">
        <v>2590025.6004400002</v>
      </c>
      <c r="I47" s="4">
        <v>2625277.5750000002</v>
      </c>
      <c r="J47" s="1">
        <v>-1.3427903736998152</v>
      </c>
      <c r="K47" s="3">
        <v>45674.638612957824</v>
      </c>
      <c r="L47" s="2">
        <v>2</v>
      </c>
      <c r="M47" s="2">
        <v>4</v>
      </c>
    </row>
    <row r="48" spans="1:13" x14ac:dyDescent="0.25">
      <c r="A48" s="2">
        <f t="shared" si="0"/>
        <v>40</v>
      </c>
      <c r="B48" s="2">
        <v>164924</v>
      </c>
      <c r="C48" t="s">
        <v>96</v>
      </c>
      <c r="D48" t="s">
        <v>97</v>
      </c>
      <c r="E48" t="s">
        <v>5</v>
      </c>
      <c r="F48" t="s">
        <v>6</v>
      </c>
      <c r="G48" s="4">
        <v>13496</v>
      </c>
      <c r="H48" s="4">
        <v>2577000</v>
      </c>
      <c r="I48" s="4">
        <v>2523300</v>
      </c>
      <c r="J48" s="1">
        <v>2.1281654975627156</v>
      </c>
      <c r="K48" s="3">
        <v>190945.46532305868</v>
      </c>
      <c r="L48" s="2">
        <v>2</v>
      </c>
      <c r="M48" s="2">
        <v>4</v>
      </c>
    </row>
    <row r="49" spans="1:13" x14ac:dyDescent="0.25">
      <c r="A49" s="2">
        <f t="shared" si="0"/>
        <v>41</v>
      </c>
      <c r="B49" s="2">
        <v>164465</v>
      </c>
      <c r="C49" t="s">
        <v>98</v>
      </c>
      <c r="D49" t="s">
        <v>99</v>
      </c>
      <c r="E49" t="s">
        <v>5</v>
      </c>
      <c r="F49" t="s">
        <v>6</v>
      </c>
      <c r="G49" s="4">
        <v>1839</v>
      </c>
      <c r="H49" s="4">
        <v>2565147.8769999999</v>
      </c>
      <c r="I49" s="4">
        <v>2473283.2059999998</v>
      </c>
      <c r="J49" s="1">
        <v>3.714280304703609</v>
      </c>
      <c r="K49" s="3">
        <v>1394860.1832517672</v>
      </c>
      <c r="L49" s="2">
        <v>2</v>
      </c>
      <c r="M49" s="2">
        <v>2</v>
      </c>
    </row>
    <row r="50" spans="1:13" x14ac:dyDescent="0.25">
      <c r="A50" s="55">
        <f t="shared" si="0"/>
        <v>42</v>
      </c>
      <c r="B50" s="2">
        <v>153658</v>
      </c>
      <c r="C50" s="58" t="s">
        <v>1332</v>
      </c>
      <c r="D50" t="s">
        <v>165</v>
      </c>
      <c r="E50" t="s">
        <v>123</v>
      </c>
      <c r="F50" t="s">
        <v>10</v>
      </c>
      <c r="G50" s="23" t="s">
        <v>1275</v>
      </c>
      <c r="H50" s="4">
        <v>2525508</v>
      </c>
      <c r="I50" s="4">
        <v>1578933.348</v>
      </c>
      <c r="J50" s="54">
        <v>60</v>
      </c>
      <c r="K50" s="23" t="s">
        <v>1275</v>
      </c>
      <c r="L50" s="2">
        <v>2</v>
      </c>
      <c r="M50" s="2">
        <v>4</v>
      </c>
    </row>
    <row r="51" spans="1:13" x14ac:dyDescent="0.25">
      <c r="A51" s="2">
        <f t="shared" si="0"/>
        <v>43</v>
      </c>
      <c r="B51" s="2">
        <v>164988</v>
      </c>
      <c r="C51" t="s">
        <v>102</v>
      </c>
      <c r="D51" t="s">
        <v>103</v>
      </c>
      <c r="E51" t="s">
        <v>5</v>
      </c>
      <c r="F51" t="s">
        <v>6</v>
      </c>
      <c r="G51" s="4">
        <v>27832</v>
      </c>
      <c r="H51" s="4">
        <v>2426266.071</v>
      </c>
      <c r="I51" s="4">
        <v>2304234.835</v>
      </c>
      <c r="J51" s="1">
        <v>5.295954828319398</v>
      </c>
      <c r="K51" s="3">
        <v>87175.412151480312</v>
      </c>
      <c r="L51" s="2">
        <v>2</v>
      </c>
      <c r="M51" s="2">
        <v>4</v>
      </c>
    </row>
    <row r="52" spans="1:13" x14ac:dyDescent="0.25">
      <c r="A52" s="2">
        <f t="shared" si="0"/>
        <v>44</v>
      </c>
      <c r="B52" s="2">
        <v>151351</v>
      </c>
      <c r="C52" t="s">
        <v>104</v>
      </c>
      <c r="D52" t="s">
        <v>105</v>
      </c>
      <c r="E52" t="s">
        <v>31</v>
      </c>
      <c r="F52" t="s">
        <v>95</v>
      </c>
      <c r="G52" s="4">
        <v>81429.600000000006</v>
      </c>
      <c r="H52" s="4">
        <v>2425927.3190000001</v>
      </c>
      <c r="I52" s="4">
        <v>2486037.2089999998</v>
      </c>
      <c r="J52" s="1">
        <v>-2.4178998521176198</v>
      </c>
      <c r="K52" s="3">
        <v>29791.71356607425</v>
      </c>
      <c r="L52" s="2">
        <v>2</v>
      </c>
      <c r="M52" s="2">
        <v>4</v>
      </c>
    </row>
    <row r="53" spans="1:13" x14ac:dyDescent="0.25">
      <c r="A53" s="2">
        <f t="shared" si="0"/>
        <v>45</v>
      </c>
      <c r="B53" s="2">
        <v>233374</v>
      </c>
      <c r="C53" t="s">
        <v>106</v>
      </c>
      <c r="D53" t="s">
        <v>107</v>
      </c>
      <c r="E53" t="s">
        <v>51</v>
      </c>
      <c r="F53" t="s">
        <v>6</v>
      </c>
      <c r="G53" s="4">
        <v>3587.33</v>
      </c>
      <c r="H53" s="4">
        <v>2410767.7200000002</v>
      </c>
      <c r="I53" s="4">
        <v>2517968.9580000001</v>
      </c>
      <c r="J53" s="1">
        <v>-4.2574487528690179</v>
      </c>
      <c r="K53" s="3">
        <v>672022.84707568027</v>
      </c>
      <c r="L53" s="2">
        <v>2</v>
      </c>
      <c r="M53" s="2">
        <v>2</v>
      </c>
    </row>
    <row r="54" spans="1:13" ht="17.25" x14ac:dyDescent="0.25">
      <c r="A54" s="16">
        <f t="shared" si="0"/>
        <v>46</v>
      </c>
      <c r="B54" s="16">
        <v>149587</v>
      </c>
      <c r="C54" s="17" t="s">
        <v>1325</v>
      </c>
      <c r="D54" s="17" t="s">
        <v>108</v>
      </c>
      <c r="E54" s="17" t="s">
        <v>37</v>
      </c>
      <c r="F54" s="17" t="s">
        <v>95</v>
      </c>
      <c r="G54" s="18">
        <v>79775</v>
      </c>
      <c r="H54" s="18">
        <v>2403812.7599999998</v>
      </c>
      <c r="I54" s="18">
        <v>2354176.301</v>
      </c>
      <c r="J54" s="19">
        <v>2.1084427270343165</v>
      </c>
      <c r="K54" s="20">
        <v>30132.406894390475</v>
      </c>
      <c r="L54" s="16">
        <v>2</v>
      </c>
      <c r="M54" s="16">
        <v>0</v>
      </c>
    </row>
    <row r="55" spans="1:13" x14ac:dyDescent="0.25">
      <c r="A55" s="2">
        <f t="shared" si="0"/>
        <v>47</v>
      </c>
      <c r="B55" s="2">
        <v>195030</v>
      </c>
      <c r="C55" t="s">
        <v>109</v>
      </c>
      <c r="D55" t="s">
        <v>110</v>
      </c>
      <c r="E55" t="s">
        <v>34</v>
      </c>
      <c r="F55" t="s">
        <v>6</v>
      </c>
      <c r="G55" s="4">
        <v>10786</v>
      </c>
      <c r="H55" s="4">
        <v>2329949</v>
      </c>
      <c r="I55" s="4">
        <v>2317560</v>
      </c>
      <c r="J55" s="1">
        <v>0.53457084174735503</v>
      </c>
      <c r="K55" s="3">
        <v>216016.03931021696</v>
      </c>
      <c r="L55" s="2">
        <v>2</v>
      </c>
      <c r="M55" s="2">
        <v>4</v>
      </c>
    </row>
    <row r="56" spans="1:13" x14ac:dyDescent="0.25">
      <c r="A56" s="2">
        <f t="shared" si="0"/>
        <v>48</v>
      </c>
      <c r="B56" s="2">
        <v>195049</v>
      </c>
      <c r="C56" t="s">
        <v>111</v>
      </c>
      <c r="D56" t="s">
        <v>33</v>
      </c>
      <c r="E56" t="s">
        <v>34</v>
      </c>
      <c r="F56" t="s">
        <v>6</v>
      </c>
      <c r="G56" s="4">
        <v>200</v>
      </c>
      <c r="H56" s="4">
        <v>2316968.0320000001</v>
      </c>
      <c r="I56" s="4">
        <v>2293238.5090000001</v>
      </c>
      <c r="J56" s="1">
        <v>1.0347603577591937</v>
      </c>
      <c r="K56" s="3">
        <v>11584840.16</v>
      </c>
      <c r="L56" s="2">
        <v>2</v>
      </c>
      <c r="M56" s="2">
        <v>4</v>
      </c>
    </row>
    <row r="57" spans="1:13" x14ac:dyDescent="0.25">
      <c r="A57" s="2">
        <f t="shared" si="0"/>
        <v>49</v>
      </c>
      <c r="B57" s="2">
        <v>168218</v>
      </c>
      <c r="C57" t="s">
        <v>112</v>
      </c>
      <c r="D57" t="s">
        <v>113</v>
      </c>
      <c r="E57" t="s">
        <v>5</v>
      </c>
      <c r="F57" t="s">
        <v>6</v>
      </c>
      <c r="G57" s="4">
        <v>2439</v>
      </c>
      <c r="H57" s="4">
        <v>2285397</v>
      </c>
      <c r="I57" s="4">
        <v>2173415</v>
      </c>
      <c r="J57" s="1">
        <v>5.1523524039357413</v>
      </c>
      <c r="K57" s="3">
        <v>937022.14022140217</v>
      </c>
      <c r="L57" s="2">
        <v>2</v>
      </c>
      <c r="M57" s="2">
        <v>2</v>
      </c>
    </row>
    <row r="58" spans="1:13" x14ac:dyDescent="0.25">
      <c r="A58" s="2">
        <f t="shared" si="0"/>
        <v>50</v>
      </c>
      <c r="B58" s="2">
        <v>121345</v>
      </c>
      <c r="C58" t="s">
        <v>114</v>
      </c>
      <c r="D58" t="s">
        <v>115</v>
      </c>
      <c r="E58" t="s">
        <v>16</v>
      </c>
      <c r="F58" t="s">
        <v>6</v>
      </c>
      <c r="G58" s="4">
        <v>1610</v>
      </c>
      <c r="H58" s="4">
        <v>2257398.5920000002</v>
      </c>
      <c r="I58" s="4">
        <v>2324594.3930000002</v>
      </c>
      <c r="J58" s="1">
        <v>-2.8906462651009242</v>
      </c>
      <c r="K58" s="3">
        <v>1402110.9267080745</v>
      </c>
      <c r="L58" s="2">
        <v>2</v>
      </c>
      <c r="M58" s="2">
        <v>2</v>
      </c>
    </row>
    <row r="59" spans="1:13" x14ac:dyDescent="0.25">
      <c r="A59" s="2">
        <f t="shared" si="0"/>
        <v>51</v>
      </c>
      <c r="B59" s="2">
        <v>139755</v>
      </c>
      <c r="C59" t="s">
        <v>116</v>
      </c>
      <c r="D59" t="s">
        <v>47</v>
      </c>
      <c r="E59" t="s">
        <v>48</v>
      </c>
      <c r="F59" t="s">
        <v>10</v>
      </c>
      <c r="G59" s="4">
        <v>25829</v>
      </c>
      <c r="H59" s="4">
        <v>2169706.7859999998</v>
      </c>
      <c r="I59" s="4">
        <v>2229706.5180000002</v>
      </c>
      <c r="J59" s="1">
        <v>-2.6909250843388346</v>
      </c>
      <c r="K59" s="3">
        <v>84002.740562933133</v>
      </c>
      <c r="L59" s="2">
        <v>2</v>
      </c>
      <c r="M59" s="2">
        <v>4</v>
      </c>
    </row>
    <row r="60" spans="1:13" x14ac:dyDescent="0.25">
      <c r="A60" s="2">
        <f t="shared" si="0"/>
        <v>52</v>
      </c>
      <c r="B60" s="2">
        <v>110635</v>
      </c>
      <c r="C60" t="s">
        <v>117</v>
      </c>
      <c r="D60" t="s">
        <v>118</v>
      </c>
      <c r="E60" t="s">
        <v>16</v>
      </c>
      <c r="F60" t="s">
        <v>82</v>
      </c>
      <c r="G60" s="4">
        <v>42107</v>
      </c>
      <c r="H60" s="4">
        <v>2117306.02</v>
      </c>
      <c r="I60" s="4">
        <v>2070905.0120000001</v>
      </c>
      <c r="J60" s="1">
        <v>2.2406149838416636</v>
      </c>
      <c r="K60" s="3">
        <v>50283.943762319803</v>
      </c>
      <c r="L60" s="2">
        <v>2</v>
      </c>
      <c r="M60" s="2">
        <v>4</v>
      </c>
    </row>
    <row r="61" spans="1:13" x14ac:dyDescent="0.25">
      <c r="A61" s="2">
        <f t="shared" si="0"/>
        <v>53</v>
      </c>
      <c r="B61" s="2">
        <v>216287</v>
      </c>
      <c r="C61" t="s">
        <v>119</v>
      </c>
      <c r="D61" t="s">
        <v>120</v>
      </c>
      <c r="E61" t="s">
        <v>23</v>
      </c>
      <c r="F61" t="s">
        <v>6</v>
      </c>
      <c r="G61" s="4">
        <v>1592</v>
      </c>
      <c r="H61" s="4">
        <v>2103670</v>
      </c>
      <c r="I61" s="4">
        <v>2131553</v>
      </c>
      <c r="J61" s="1">
        <v>-1.3081072814046848</v>
      </c>
      <c r="K61" s="3">
        <v>1321400.7537688443</v>
      </c>
      <c r="L61" s="2">
        <v>2</v>
      </c>
      <c r="M61" s="2">
        <v>2</v>
      </c>
    </row>
    <row r="62" spans="1:13" x14ac:dyDescent="0.25">
      <c r="A62" s="2">
        <f t="shared" si="0"/>
        <v>54</v>
      </c>
      <c r="B62" s="2">
        <v>153384</v>
      </c>
      <c r="C62" t="s">
        <v>121</v>
      </c>
      <c r="D62" t="s">
        <v>122</v>
      </c>
      <c r="E62" t="s">
        <v>123</v>
      </c>
      <c r="F62" t="s">
        <v>6</v>
      </c>
      <c r="G62" s="4">
        <v>1711</v>
      </c>
      <c r="H62" s="4">
        <v>2090750.446</v>
      </c>
      <c r="I62" s="4">
        <v>2069953.402</v>
      </c>
      <c r="J62" s="1">
        <v>1.0047107330969762</v>
      </c>
      <c r="K62" s="3">
        <v>1221946.4909409701</v>
      </c>
      <c r="L62" s="2">
        <v>2</v>
      </c>
      <c r="M62" s="2">
        <v>2</v>
      </c>
    </row>
    <row r="63" spans="1:13" x14ac:dyDescent="0.25">
      <c r="A63" s="2">
        <f t="shared" si="0"/>
        <v>55</v>
      </c>
      <c r="B63" s="2">
        <v>110699</v>
      </c>
      <c r="C63" t="s">
        <v>124</v>
      </c>
      <c r="D63" t="s">
        <v>125</v>
      </c>
      <c r="E63" t="s">
        <v>16</v>
      </c>
      <c r="F63" t="s">
        <v>82</v>
      </c>
      <c r="G63" s="4">
        <v>3212</v>
      </c>
      <c r="H63" s="4">
        <v>2014858.5819999999</v>
      </c>
      <c r="I63" s="4">
        <v>1840206.294</v>
      </c>
      <c r="J63" s="1">
        <v>9.4909080883732706</v>
      </c>
      <c r="K63" s="3">
        <v>627290.96575342468</v>
      </c>
      <c r="L63" s="2">
        <v>2</v>
      </c>
      <c r="M63" s="2">
        <v>5</v>
      </c>
    </row>
    <row r="64" spans="1:13" x14ac:dyDescent="0.25">
      <c r="A64" s="2">
        <f t="shared" si="0"/>
        <v>56</v>
      </c>
      <c r="B64" s="2">
        <v>234030</v>
      </c>
      <c r="C64" t="s">
        <v>126</v>
      </c>
      <c r="D64" t="s">
        <v>107</v>
      </c>
      <c r="E64" t="s">
        <v>51</v>
      </c>
      <c r="F64" t="s">
        <v>82</v>
      </c>
      <c r="G64" s="4">
        <v>26742</v>
      </c>
      <c r="H64" s="4">
        <v>1992337.915</v>
      </c>
      <c r="I64" s="4">
        <v>2057177.6170000001</v>
      </c>
      <c r="J64" s="1">
        <v>-3.1518767005911865</v>
      </c>
      <c r="K64" s="3">
        <v>74502.203088774215</v>
      </c>
      <c r="L64" s="2">
        <v>2</v>
      </c>
      <c r="M64" s="2">
        <v>4</v>
      </c>
    </row>
    <row r="65" spans="1:13" x14ac:dyDescent="0.25">
      <c r="A65" s="11">
        <f t="shared" si="0"/>
        <v>57</v>
      </c>
      <c r="B65" s="27" t="s">
        <v>1275</v>
      </c>
      <c r="C65" s="12" t="s">
        <v>127</v>
      </c>
      <c r="D65" s="12" t="s">
        <v>128</v>
      </c>
      <c r="E65" s="12" t="s">
        <v>129</v>
      </c>
      <c r="F65" s="12" t="s">
        <v>10</v>
      </c>
      <c r="G65" s="13">
        <v>82311</v>
      </c>
      <c r="H65" s="13">
        <v>1908370.3354332002</v>
      </c>
      <c r="I65" s="13">
        <v>1987175.7629154001</v>
      </c>
      <c r="J65" s="14">
        <v>-3.965699912049244</v>
      </c>
      <c r="K65" s="15">
        <v>23184.876085009295</v>
      </c>
      <c r="L65" s="22" t="s">
        <v>1275</v>
      </c>
      <c r="M65" s="11">
        <v>0</v>
      </c>
    </row>
    <row r="66" spans="1:13" x14ac:dyDescent="0.25">
      <c r="A66" s="2">
        <f t="shared" si="0"/>
        <v>58</v>
      </c>
      <c r="B66" s="2">
        <v>167835</v>
      </c>
      <c r="C66" t="s">
        <v>130</v>
      </c>
      <c r="D66" t="s">
        <v>131</v>
      </c>
      <c r="E66" t="s">
        <v>5</v>
      </c>
      <c r="F66" t="s">
        <v>6</v>
      </c>
      <c r="G66" s="4">
        <v>2873</v>
      </c>
      <c r="H66" s="4">
        <v>1907178</v>
      </c>
      <c r="I66" s="4">
        <v>1913253</v>
      </c>
      <c r="J66" s="1">
        <v>-0.31752204230177611</v>
      </c>
      <c r="K66" s="3">
        <v>663828.05429864256</v>
      </c>
      <c r="L66" s="2">
        <v>2</v>
      </c>
      <c r="M66" s="2">
        <v>2</v>
      </c>
    </row>
    <row r="67" spans="1:13" x14ac:dyDescent="0.25">
      <c r="A67" s="2">
        <f t="shared" si="0"/>
        <v>59</v>
      </c>
      <c r="B67" s="2">
        <v>168148</v>
      </c>
      <c r="C67" t="s">
        <v>132</v>
      </c>
      <c r="D67" t="s">
        <v>133</v>
      </c>
      <c r="E67" t="s">
        <v>5</v>
      </c>
      <c r="F67" t="s">
        <v>6</v>
      </c>
      <c r="G67" s="4">
        <v>11239</v>
      </c>
      <c r="H67" s="4">
        <v>1889477</v>
      </c>
      <c r="I67" s="4">
        <v>1867962</v>
      </c>
      <c r="J67" s="1">
        <v>1.1517900257071609</v>
      </c>
      <c r="K67" s="3">
        <v>168117.89305098317</v>
      </c>
      <c r="L67" s="2">
        <v>2</v>
      </c>
      <c r="M67" s="2">
        <v>4</v>
      </c>
    </row>
    <row r="68" spans="1:13" x14ac:dyDescent="0.25">
      <c r="A68" s="2">
        <f t="shared" si="0"/>
        <v>60</v>
      </c>
      <c r="B68" s="2">
        <v>131496</v>
      </c>
      <c r="C68" t="s">
        <v>134</v>
      </c>
      <c r="D68" t="s">
        <v>135</v>
      </c>
      <c r="E68" t="s">
        <v>136</v>
      </c>
      <c r="F68" t="s">
        <v>6</v>
      </c>
      <c r="G68" s="4">
        <v>16470</v>
      </c>
      <c r="H68" s="4">
        <v>1863711</v>
      </c>
      <c r="I68" s="4">
        <v>1822484</v>
      </c>
      <c r="J68" s="1">
        <v>2.2621323424512916</v>
      </c>
      <c r="K68" s="3">
        <v>113157.92349726777</v>
      </c>
      <c r="L68" s="2">
        <v>2</v>
      </c>
      <c r="M68" s="2">
        <v>4</v>
      </c>
    </row>
    <row r="69" spans="1:13" x14ac:dyDescent="0.25">
      <c r="A69" s="2">
        <f t="shared" si="0"/>
        <v>61</v>
      </c>
      <c r="B69" s="2">
        <v>201645</v>
      </c>
      <c r="C69" t="s">
        <v>137</v>
      </c>
      <c r="D69" t="s">
        <v>138</v>
      </c>
      <c r="E69" t="s">
        <v>69</v>
      </c>
      <c r="F69" t="s">
        <v>6</v>
      </c>
      <c r="G69" s="4">
        <v>11076</v>
      </c>
      <c r="H69" s="4">
        <v>1850806.3189999999</v>
      </c>
      <c r="I69" s="4">
        <v>1866500.0819999999</v>
      </c>
      <c r="J69" s="1">
        <v>-0.84081233916602627</v>
      </c>
      <c r="K69" s="3">
        <v>167100.60662694112</v>
      </c>
      <c r="L69" s="2">
        <v>2</v>
      </c>
      <c r="M69" s="2">
        <v>4</v>
      </c>
    </row>
    <row r="70" spans="1:13" x14ac:dyDescent="0.25">
      <c r="A70" s="2">
        <f t="shared" si="0"/>
        <v>62</v>
      </c>
      <c r="B70" s="2">
        <v>134130</v>
      </c>
      <c r="C70" t="s">
        <v>139</v>
      </c>
      <c r="D70" t="s">
        <v>140</v>
      </c>
      <c r="E70" t="s">
        <v>141</v>
      </c>
      <c r="F70" t="s">
        <v>82</v>
      </c>
      <c r="G70" s="4">
        <v>51882</v>
      </c>
      <c r="H70" s="4">
        <v>1846611.02</v>
      </c>
      <c r="I70" s="4">
        <v>1825249.5319999999</v>
      </c>
      <c r="J70" s="1">
        <v>1.1703324737518683</v>
      </c>
      <c r="K70" s="3">
        <v>35592.518021664546</v>
      </c>
      <c r="L70" s="2">
        <v>2</v>
      </c>
      <c r="M70" s="2">
        <v>4</v>
      </c>
    </row>
    <row r="71" spans="1:13" x14ac:dyDescent="0.25">
      <c r="A71" s="2">
        <f t="shared" si="0"/>
        <v>63</v>
      </c>
      <c r="B71" s="2">
        <v>155317</v>
      </c>
      <c r="C71" t="s">
        <v>142</v>
      </c>
      <c r="D71" t="s">
        <v>143</v>
      </c>
      <c r="E71" t="s">
        <v>144</v>
      </c>
      <c r="F71" t="s">
        <v>95</v>
      </c>
      <c r="G71" s="4">
        <v>25760</v>
      </c>
      <c r="H71" s="4">
        <v>1805835.5279999999</v>
      </c>
      <c r="I71" s="4">
        <v>1816930.9550000001</v>
      </c>
      <c r="J71" s="1">
        <v>-0.61066860958401137</v>
      </c>
      <c r="K71" s="3">
        <v>70102.310869565219</v>
      </c>
      <c r="L71" s="2">
        <v>2</v>
      </c>
      <c r="M71" s="2">
        <v>4</v>
      </c>
    </row>
    <row r="72" spans="1:13" x14ac:dyDescent="0.25">
      <c r="A72" s="2">
        <f t="shared" si="0"/>
        <v>64</v>
      </c>
      <c r="B72" s="2">
        <v>131469</v>
      </c>
      <c r="C72" t="s">
        <v>145</v>
      </c>
      <c r="D72" t="s">
        <v>135</v>
      </c>
      <c r="E72" s="48" t="s">
        <v>136</v>
      </c>
      <c r="F72" t="s">
        <v>6</v>
      </c>
      <c r="G72" s="4">
        <v>23375</v>
      </c>
      <c r="H72" s="4">
        <v>1802656.169</v>
      </c>
      <c r="I72" s="4">
        <v>1778559.425</v>
      </c>
      <c r="J72" s="1">
        <v>1.3548461558994578</v>
      </c>
      <c r="K72" s="3">
        <v>77118.980491978611</v>
      </c>
      <c r="L72" s="2">
        <v>2</v>
      </c>
      <c r="M72" s="2">
        <v>4</v>
      </c>
    </row>
    <row r="73" spans="1:13" x14ac:dyDescent="0.25">
      <c r="A73" s="2">
        <f t="shared" ref="A73:A136" si="1">RANK(H73,H$9:H$725,0)</f>
        <v>65</v>
      </c>
      <c r="B73" s="2">
        <v>161004</v>
      </c>
      <c r="C73" t="s">
        <v>146</v>
      </c>
      <c r="D73" t="s">
        <v>147</v>
      </c>
      <c r="E73" t="s">
        <v>148</v>
      </c>
      <c r="F73" t="s">
        <v>6</v>
      </c>
      <c r="G73" s="4">
        <v>1834</v>
      </c>
      <c r="H73" s="4">
        <v>1782277.72</v>
      </c>
      <c r="I73" s="4">
        <v>1743663.0149999999</v>
      </c>
      <c r="J73" s="1">
        <v>2.2145738406913451</v>
      </c>
      <c r="K73" s="3">
        <v>971798.1025081788</v>
      </c>
      <c r="L73" s="2">
        <v>2</v>
      </c>
      <c r="M73" s="2">
        <v>2</v>
      </c>
    </row>
    <row r="74" spans="1:13" x14ac:dyDescent="0.25">
      <c r="A74" s="2">
        <f t="shared" si="1"/>
        <v>66</v>
      </c>
      <c r="B74" s="2">
        <v>181464</v>
      </c>
      <c r="C74" t="s">
        <v>149</v>
      </c>
      <c r="D74" t="s">
        <v>150</v>
      </c>
      <c r="E74" t="s">
        <v>151</v>
      </c>
      <c r="F74" t="s">
        <v>10</v>
      </c>
      <c r="G74" s="4">
        <v>43735</v>
      </c>
      <c r="H74" s="4">
        <v>1735304.9339999999</v>
      </c>
      <c r="I74" s="4">
        <v>1759543.841</v>
      </c>
      <c r="J74" s="1">
        <v>-1.3775676647092989</v>
      </c>
      <c r="K74" s="3">
        <v>39677.716565679664</v>
      </c>
      <c r="L74" s="2">
        <v>2</v>
      </c>
      <c r="M74" s="2">
        <v>4</v>
      </c>
    </row>
    <row r="75" spans="1:13" x14ac:dyDescent="0.25">
      <c r="A75" s="2">
        <f t="shared" si="1"/>
        <v>67</v>
      </c>
      <c r="B75" s="2">
        <v>178439</v>
      </c>
      <c r="C75" t="s">
        <v>152</v>
      </c>
      <c r="D75" t="s">
        <v>153</v>
      </c>
      <c r="E75" t="s">
        <v>43</v>
      </c>
      <c r="F75" t="s">
        <v>10</v>
      </c>
      <c r="G75" s="4">
        <v>52609</v>
      </c>
      <c r="H75" s="4">
        <v>1732507.814</v>
      </c>
      <c r="I75" s="4">
        <v>1743142.125</v>
      </c>
      <c r="J75" s="1">
        <v>-0.61006563076433029</v>
      </c>
      <c r="K75" s="3">
        <v>32931.77619798894</v>
      </c>
      <c r="L75" s="2">
        <v>2</v>
      </c>
      <c r="M75" s="2">
        <v>0</v>
      </c>
    </row>
    <row r="76" spans="1:13" x14ac:dyDescent="0.25">
      <c r="A76" s="2">
        <f t="shared" si="1"/>
        <v>68</v>
      </c>
      <c r="B76" s="2">
        <v>232557</v>
      </c>
      <c r="C76" t="s">
        <v>154</v>
      </c>
      <c r="D76" t="s">
        <v>155</v>
      </c>
      <c r="E76" t="s">
        <v>51</v>
      </c>
      <c r="F76" t="s">
        <v>6</v>
      </c>
      <c r="G76" s="4">
        <v>59626</v>
      </c>
      <c r="H76" s="4">
        <v>1714462.5649999999</v>
      </c>
      <c r="I76" s="4">
        <v>1587918.5589999999</v>
      </c>
      <c r="J76" s="1">
        <v>7.9691748221452707</v>
      </c>
      <c r="K76" s="3">
        <v>28753.60689967464</v>
      </c>
      <c r="L76" s="2">
        <v>2</v>
      </c>
      <c r="M76" s="2">
        <v>4</v>
      </c>
    </row>
    <row r="77" spans="1:13" x14ac:dyDescent="0.25">
      <c r="A77" s="2">
        <f t="shared" si="1"/>
        <v>69</v>
      </c>
      <c r="B77" s="2">
        <v>228875</v>
      </c>
      <c r="C77" t="s">
        <v>156</v>
      </c>
      <c r="D77" t="s">
        <v>157</v>
      </c>
      <c r="E77" t="s">
        <v>9</v>
      </c>
      <c r="F77" t="s">
        <v>6</v>
      </c>
      <c r="G77" s="4">
        <v>10630</v>
      </c>
      <c r="H77" s="4">
        <v>1675488.7649999999</v>
      </c>
      <c r="I77" s="4">
        <v>1708866.95</v>
      </c>
      <c r="J77" s="1">
        <v>-1.9532348612628969</v>
      </c>
      <c r="K77" s="3">
        <v>157618.88664158044</v>
      </c>
      <c r="L77" s="2">
        <v>2</v>
      </c>
      <c r="M77" s="2">
        <v>4</v>
      </c>
    </row>
    <row r="78" spans="1:13" x14ac:dyDescent="0.25">
      <c r="A78" s="2">
        <f t="shared" si="1"/>
        <v>70</v>
      </c>
      <c r="B78" s="2">
        <v>228246</v>
      </c>
      <c r="C78" t="s">
        <v>158</v>
      </c>
      <c r="D78" t="s">
        <v>159</v>
      </c>
      <c r="E78" t="s">
        <v>9</v>
      </c>
      <c r="F78" t="s">
        <v>6</v>
      </c>
      <c r="G78" s="4">
        <v>10401.6</v>
      </c>
      <c r="H78" s="4">
        <v>1650089.4750000001</v>
      </c>
      <c r="I78" s="4">
        <v>1663863.5430000001</v>
      </c>
      <c r="J78" s="1">
        <v>-0.82783639667739273</v>
      </c>
      <c r="K78" s="3">
        <v>158638.04366635901</v>
      </c>
      <c r="L78" s="2">
        <v>2</v>
      </c>
      <c r="M78" s="2">
        <v>4</v>
      </c>
    </row>
    <row r="79" spans="1:13" x14ac:dyDescent="0.25">
      <c r="A79" s="2">
        <f t="shared" si="1"/>
        <v>71</v>
      </c>
      <c r="B79" s="2">
        <v>234207</v>
      </c>
      <c r="C79" t="s">
        <v>160</v>
      </c>
      <c r="D79" t="s">
        <v>161</v>
      </c>
      <c r="E79" t="s">
        <v>51</v>
      </c>
      <c r="F79" t="s">
        <v>6</v>
      </c>
      <c r="G79" s="4">
        <v>2254</v>
      </c>
      <c r="H79" s="4">
        <v>1630163</v>
      </c>
      <c r="I79" s="4">
        <v>1676308</v>
      </c>
      <c r="J79" s="1">
        <v>-2.752775742882573</v>
      </c>
      <c r="K79" s="3">
        <v>723231.14463176578</v>
      </c>
      <c r="L79" s="2">
        <v>2</v>
      </c>
      <c r="M79" s="2">
        <v>2</v>
      </c>
    </row>
    <row r="80" spans="1:13" x14ac:dyDescent="0.25">
      <c r="A80" s="2">
        <f t="shared" si="1"/>
        <v>72</v>
      </c>
      <c r="B80" s="2">
        <v>128300</v>
      </c>
      <c r="C80" t="s">
        <v>162</v>
      </c>
      <c r="D80" t="s">
        <v>163</v>
      </c>
      <c r="E80" t="s">
        <v>164</v>
      </c>
      <c r="F80" t="s">
        <v>82</v>
      </c>
      <c r="G80" s="4">
        <v>67788</v>
      </c>
      <c r="H80" s="4">
        <v>1527946.095</v>
      </c>
      <c r="I80" s="4">
        <v>1452722.2819999999</v>
      </c>
      <c r="J80" s="1">
        <v>5.1781275700154783</v>
      </c>
      <c r="K80" s="3">
        <v>22540.067489821206</v>
      </c>
      <c r="L80" s="2">
        <v>2</v>
      </c>
      <c r="M80" s="2">
        <v>0</v>
      </c>
    </row>
    <row r="81" spans="1:13" x14ac:dyDescent="0.25">
      <c r="A81" s="2">
        <f t="shared" si="1"/>
        <v>73</v>
      </c>
      <c r="B81" s="2">
        <v>164146</v>
      </c>
      <c r="C81" t="s">
        <v>166</v>
      </c>
      <c r="D81" t="s">
        <v>58</v>
      </c>
      <c r="E81" t="s">
        <v>59</v>
      </c>
      <c r="F81" t="s">
        <v>82</v>
      </c>
      <c r="G81" s="23" t="s">
        <v>1275</v>
      </c>
      <c r="H81" s="4">
        <v>1495913.3489999999</v>
      </c>
      <c r="I81" s="4">
        <v>1436215.487</v>
      </c>
      <c r="J81" s="1">
        <v>4.1566089866290383</v>
      </c>
      <c r="K81" s="23" t="s">
        <v>1275</v>
      </c>
      <c r="L81" s="2">
        <v>2</v>
      </c>
      <c r="M81" s="2">
        <v>0</v>
      </c>
    </row>
    <row r="82" spans="1:13" x14ac:dyDescent="0.25">
      <c r="A82" s="2">
        <f t="shared" si="1"/>
        <v>74</v>
      </c>
      <c r="B82" s="2">
        <v>186380</v>
      </c>
      <c r="C82" t="s">
        <v>167</v>
      </c>
      <c r="D82" t="s">
        <v>168</v>
      </c>
      <c r="E82" t="s">
        <v>19</v>
      </c>
      <c r="F82" t="s">
        <v>10</v>
      </c>
      <c r="G82" s="4">
        <v>62491</v>
      </c>
      <c r="H82" s="4">
        <v>1484381.274</v>
      </c>
      <c r="I82" s="4">
        <v>1466105.3289999999</v>
      </c>
      <c r="J82" s="1">
        <v>1.2465642569122672</v>
      </c>
      <c r="K82" s="3">
        <v>23753.520891008306</v>
      </c>
      <c r="L82" s="2">
        <v>2</v>
      </c>
      <c r="M82" s="2">
        <v>4</v>
      </c>
    </row>
    <row r="83" spans="1:13" x14ac:dyDescent="0.25">
      <c r="A83" s="2">
        <f t="shared" si="1"/>
        <v>75</v>
      </c>
      <c r="B83" s="2">
        <v>130943</v>
      </c>
      <c r="C83" t="s">
        <v>169</v>
      </c>
      <c r="D83" t="s">
        <v>170</v>
      </c>
      <c r="E83" t="s">
        <v>171</v>
      </c>
      <c r="F83" t="s">
        <v>6</v>
      </c>
      <c r="G83" s="4">
        <v>22363</v>
      </c>
      <c r="H83" s="4">
        <v>1453189.477</v>
      </c>
      <c r="I83" s="4">
        <v>1466069.9339999999</v>
      </c>
      <c r="J83" s="1">
        <v>-0.87857043523545852</v>
      </c>
      <c r="K83" s="3">
        <v>64981.866341725174</v>
      </c>
      <c r="L83" s="2">
        <v>2</v>
      </c>
      <c r="M83" s="2">
        <v>4</v>
      </c>
    </row>
    <row r="84" spans="1:13" x14ac:dyDescent="0.25">
      <c r="A84" s="2">
        <f t="shared" si="1"/>
        <v>76</v>
      </c>
      <c r="B84" s="2">
        <v>160755</v>
      </c>
      <c r="C84" t="s">
        <v>172</v>
      </c>
      <c r="D84" t="s">
        <v>173</v>
      </c>
      <c r="E84" t="s">
        <v>174</v>
      </c>
      <c r="F84" t="s">
        <v>6</v>
      </c>
      <c r="G84" s="4">
        <v>12784</v>
      </c>
      <c r="H84" s="4">
        <v>1445654</v>
      </c>
      <c r="I84" s="4">
        <v>1447741</v>
      </c>
      <c r="J84" s="1">
        <v>-0.14415561899538662</v>
      </c>
      <c r="K84" s="3">
        <v>113083.07259073842</v>
      </c>
      <c r="L84" s="2">
        <v>2</v>
      </c>
      <c r="M84" s="2">
        <v>4</v>
      </c>
    </row>
    <row r="85" spans="1:13" x14ac:dyDescent="0.25">
      <c r="A85" s="2">
        <f t="shared" si="1"/>
        <v>77</v>
      </c>
      <c r="B85" s="2">
        <v>100733</v>
      </c>
      <c r="C85" t="s">
        <v>175</v>
      </c>
      <c r="D85" t="s">
        <v>176</v>
      </c>
      <c r="E85" t="s">
        <v>177</v>
      </c>
      <c r="F85" t="s">
        <v>10</v>
      </c>
      <c r="G85" s="4">
        <v>59754</v>
      </c>
      <c r="H85" s="4">
        <v>1419860.1540000001</v>
      </c>
      <c r="I85" s="4">
        <v>1519595.2720000001</v>
      </c>
      <c r="J85" s="1">
        <v>-6.5632685121963181</v>
      </c>
      <c r="K85" s="3">
        <v>23761.75911236068</v>
      </c>
      <c r="L85" s="2">
        <v>2</v>
      </c>
      <c r="M85" s="2">
        <v>0</v>
      </c>
    </row>
    <row r="86" spans="1:13" x14ac:dyDescent="0.25">
      <c r="A86" s="2">
        <f t="shared" si="1"/>
        <v>78</v>
      </c>
      <c r="B86" s="2">
        <v>199193</v>
      </c>
      <c r="C86" t="s">
        <v>178</v>
      </c>
      <c r="D86" t="s">
        <v>179</v>
      </c>
      <c r="E86" t="s">
        <v>40</v>
      </c>
      <c r="F86" t="s">
        <v>95</v>
      </c>
      <c r="G86" s="4">
        <v>31295</v>
      </c>
      <c r="H86" s="4">
        <v>1417705</v>
      </c>
      <c r="I86" s="4">
        <v>1400655</v>
      </c>
      <c r="J86" s="1">
        <v>1.2172876261463386</v>
      </c>
      <c r="K86" s="3">
        <v>45301.326090429779</v>
      </c>
      <c r="L86" s="2">
        <v>2</v>
      </c>
      <c r="M86" s="2">
        <v>4</v>
      </c>
    </row>
    <row r="87" spans="1:13" x14ac:dyDescent="0.25">
      <c r="A87" s="2">
        <f t="shared" si="1"/>
        <v>79</v>
      </c>
      <c r="B87" s="2">
        <v>201885</v>
      </c>
      <c r="C87" t="s">
        <v>180</v>
      </c>
      <c r="D87" t="s">
        <v>181</v>
      </c>
      <c r="E87" t="s">
        <v>69</v>
      </c>
      <c r="F87" t="s">
        <v>10</v>
      </c>
      <c r="G87" s="4">
        <v>46388</v>
      </c>
      <c r="H87" s="4">
        <v>1395847</v>
      </c>
      <c r="I87" s="49">
        <v>1452599</v>
      </c>
      <c r="J87" s="50">
        <v>-3.91</v>
      </c>
      <c r="K87" s="3">
        <v>30090.691558161594</v>
      </c>
      <c r="L87" s="2">
        <v>2</v>
      </c>
      <c r="M87" s="2">
        <v>4</v>
      </c>
    </row>
    <row r="88" spans="1:13" x14ac:dyDescent="0.25">
      <c r="A88" s="2">
        <f t="shared" si="1"/>
        <v>80</v>
      </c>
      <c r="B88" s="2">
        <v>196413</v>
      </c>
      <c r="C88" t="s">
        <v>182</v>
      </c>
      <c r="D88" t="s">
        <v>183</v>
      </c>
      <c r="E88" t="s">
        <v>34</v>
      </c>
      <c r="F88" t="s">
        <v>6</v>
      </c>
      <c r="G88" s="4">
        <v>20438</v>
      </c>
      <c r="H88" s="4">
        <v>1390552.629</v>
      </c>
      <c r="I88" s="4">
        <v>1392691.38</v>
      </c>
      <c r="J88" s="1">
        <v>-0.15356963004969557</v>
      </c>
      <c r="K88" s="3">
        <v>68037.607838340351</v>
      </c>
      <c r="L88" s="2">
        <v>2</v>
      </c>
      <c r="M88" s="2">
        <v>4</v>
      </c>
    </row>
    <row r="89" spans="1:13" x14ac:dyDescent="0.25">
      <c r="A89" s="2">
        <f t="shared" si="1"/>
        <v>81</v>
      </c>
      <c r="B89" s="2">
        <v>223232</v>
      </c>
      <c r="C89" t="s">
        <v>184</v>
      </c>
      <c r="D89" t="s">
        <v>185</v>
      </c>
      <c r="E89" t="s">
        <v>9</v>
      </c>
      <c r="F89" t="s">
        <v>6</v>
      </c>
      <c r="G89" s="4">
        <v>17253</v>
      </c>
      <c r="H89" s="4">
        <v>1385550</v>
      </c>
      <c r="I89" s="4">
        <v>1340417</v>
      </c>
      <c r="J89" s="1">
        <v>3.367086511137952</v>
      </c>
      <c r="K89" s="3">
        <v>80307.772561293692</v>
      </c>
      <c r="L89" s="2">
        <v>2</v>
      </c>
      <c r="M89" s="2">
        <v>4</v>
      </c>
    </row>
    <row r="90" spans="1:13" x14ac:dyDescent="0.25">
      <c r="A90" s="2">
        <f t="shared" si="1"/>
        <v>82</v>
      </c>
      <c r="B90" s="2">
        <v>213543</v>
      </c>
      <c r="C90" t="s">
        <v>186</v>
      </c>
      <c r="D90" t="s">
        <v>187</v>
      </c>
      <c r="E90" t="s">
        <v>23</v>
      </c>
      <c r="F90" t="s">
        <v>6</v>
      </c>
      <c r="G90" s="4">
        <v>6414</v>
      </c>
      <c r="H90" s="4">
        <v>1369900</v>
      </c>
      <c r="I90" s="4">
        <v>1411641</v>
      </c>
      <c r="J90" s="1">
        <v>-2.9569132661916164</v>
      </c>
      <c r="K90" s="3">
        <v>213579.66947302775</v>
      </c>
      <c r="L90" s="2">
        <v>2</v>
      </c>
      <c r="M90" s="2">
        <v>4</v>
      </c>
    </row>
    <row r="91" spans="1:13" x14ac:dyDescent="0.25">
      <c r="A91" s="2">
        <f t="shared" si="1"/>
        <v>83</v>
      </c>
      <c r="B91" s="2">
        <v>139959</v>
      </c>
      <c r="C91" t="s">
        <v>188</v>
      </c>
      <c r="D91" t="s">
        <v>189</v>
      </c>
      <c r="E91" t="s">
        <v>48</v>
      </c>
      <c r="F91" t="s">
        <v>95</v>
      </c>
      <c r="G91" s="4">
        <v>38920</v>
      </c>
      <c r="H91" s="4">
        <v>1362445.9269999999</v>
      </c>
      <c r="I91" s="4">
        <v>1343986.9620000001</v>
      </c>
      <c r="J91" s="1">
        <v>1.3734482195073556</v>
      </c>
      <c r="K91" s="3">
        <v>35006.318782117167</v>
      </c>
      <c r="L91" s="2">
        <v>2</v>
      </c>
      <c r="M91" s="2">
        <v>4</v>
      </c>
    </row>
    <row r="92" spans="1:13" x14ac:dyDescent="0.25">
      <c r="A92" s="2">
        <f t="shared" si="1"/>
        <v>84</v>
      </c>
      <c r="B92" s="2">
        <v>199847</v>
      </c>
      <c r="C92" t="s">
        <v>190</v>
      </c>
      <c r="D92" t="s">
        <v>191</v>
      </c>
      <c r="E92" t="s">
        <v>40</v>
      </c>
      <c r="F92" t="s">
        <v>6</v>
      </c>
      <c r="G92" s="4">
        <v>8122.33</v>
      </c>
      <c r="H92" s="4">
        <v>1350187</v>
      </c>
      <c r="I92" s="4">
        <v>1375398</v>
      </c>
      <c r="J92" s="1">
        <v>-1.8329967034996415</v>
      </c>
      <c r="K92" s="3">
        <v>166231.48776274789</v>
      </c>
      <c r="L92" s="2">
        <v>2</v>
      </c>
      <c r="M92" s="2">
        <v>4</v>
      </c>
    </row>
    <row r="93" spans="1:13" x14ac:dyDescent="0.25">
      <c r="A93" s="2">
        <f t="shared" si="1"/>
        <v>85</v>
      </c>
      <c r="B93" s="2">
        <v>233921</v>
      </c>
      <c r="C93" t="s">
        <v>192</v>
      </c>
      <c r="D93" t="s">
        <v>193</v>
      </c>
      <c r="E93" t="s">
        <v>51</v>
      </c>
      <c r="F93" t="s">
        <v>82</v>
      </c>
      <c r="G93" s="4">
        <v>33617</v>
      </c>
      <c r="H93" s="4">
        <v>1337914.7679999999</v>
      </c>
      <c r="I93" s="4">
        <v>1357969.45</v>
      </c>
      <c r="J93" s="1">
        <v>-1.4768139297979053</v>
      </c>
      <c r="K93" s="3">
        <v>39798.755629592168</v>
      </c>
      <c r="L93" s="2">
        <v>2</v>
      </c>
      <c r="M93" s="2">
        <v>4</v>
      </c>
    </row>
    <row r="94" spans="1:13" x14ac:dyDescent="0.25">
      <c r="A94" s="2">
        <f t="shared" si="1"/>
        <v>86</v>
      </c>
      <c r="B94" s="2">
        <v>221722</v>
      </c>
      <c r="C94" t="s">
        <v>194</v>
      </c>
      <c r="D94" t="s">
        <v>195</v>
      </c>
      <c r="E94" t="s">
        <v>56</v>
      </c>
      <c r="F94" t="s">
        <v>10</v>
      </c>
      <c r="G94" s="4">
        <v>43696</v>
      </c>
      <c r="H94" s="4">
        <v>1335066.2009999999</v>
      </c>
      <c r="I94" s="4">
        <v>1354756.0560000001</v>
      </c>
      <c r="J94" s="1">
        <v>-1.4533874872008692</v>
      </c>
      <c r="K94" s="3">
        <v>30553.510641706336</v>
      </c>
      <c r="L94" s="21" t="s">
        <v>1275</v>
      </c>
      <c r="M94" s="2">
        <v>0</v>
      </c>
    </row>
    <row r="95" spans="1:13" x14ac:dyDescent="0.25">
      <c r="A95" s="2">
        <f t="shared" si="1"/>
        <v>87</v>
      </c>
      <c r="B95" s="2">
        <v>157085</v>
      </c>
      <c r="C95" t="s">
        <v>196</v>
      </c>
      <c r="D95" t="s">
        <v>161</v>
      </c>
      <c r="E95" t="s">
        <v>197</v>
      </c>
      <c r="F95" t="s">
        <v>10</v>
      </c>
      <c r="G95" s="4">
        <v>27335</v>
      </c>
      <c r="H95" s="4">
        <v>1312971</v>
      </c>
      <c r="I95" s="4">
        <v>1348615</v>
      </c>
      <c r="J95" s="1">
        <v>-2.6430078265479771</v>
      </c>
      <c r="K95" s="3">
        <v>48032.595573440645</v>
      </c>
      <c r="L95" s="2">
        <v>2</v>
      </c>
      <c r="M95" s="2">
        <v>4</v>
      </c>
    </row>
    <row r="96" spans="1:13" x14ac:dyDescent="0.25">
      <c r="A96" s="2">
        <f t="shared" si="1"/>
        <v>88</v>
      </c>
      <c r="B96" s="2">
        <v>229115</v>
      </c>
      <c r="C96" t="s">
        <v>198</v>
      </c>
      <c r="D96" t="s">
        <v>199</v>
      </c>
      <c r="E96" t="s">
        <v>9</v>
      </c>
      <c r="F96" t="s">
        <v>10</v>
      </c>
      <c r="G96" s="4">
        <v>47695</v>
      </c>
      <c r="H96" s="4">
        <v>1284698.21</v>
      </c>
      <c r="I96" s="4">
        <v>1316659.615</v>
      </c>
      <c r="J96" s="1">
        <v>-2.4274614817588978</v>
      </c>
      <c r="K96" s="3">
        <v>26935.699968550161</v>
      </c>
      <c r="L96" s="2">
        <v>2</v>
      </c>
      <c r="M96" s="2">
        <v>4</v>
      </c>
    </row>
    <row r="97" spans="1:13" x14ac:dyDescent="0.25">
      <c r="A97" s="2">
        <f t="shared" si="1"/>
        <v>89</v>
      </c>
      <c r="B97" s="2">
        <v>229267</v>
      </c>
      <c r="C97" t="s">
        <v>200</v>
      </c>
      <c r="D97" t="s">
        <v>201</v>
      </c>
      <c r="E97" t="s">
        <v>9</v>
      </c>
      <c r="F97" t="s">
        <v>6</v>
      </c>
      <c r="G97" s="4">
        <v>2548</v>
      </c>
      <c r="H97" s="4">
        <v>1270289.6869999999</v>
      </c>
      <c r="I97" s="4">
        <v>1280248.415</v>
      </c>
      <c r="J97" s="1">
        <v>-0.77787465958315594</v>
      </c>
      <c r="K97" s="3">
        <v>498543.83320251177</v>
      </c>
      <c r="L97" s="2">
        <v>2</v>
      </c>
      <c r="M97" s="2">
        <v>3</v>
      </c>
    </row>
    <row r="98" spans="1:13" x14ac:dyDescent="0.25">
      <c r="A98" s="11">
        <f t="shared" si="1"/>
        <v>90</v>
      </c>
      <c r="B98" s="27" t="s">
        <v>1275</v>
      </c>
      <c r="C98" s="12" t="s">
        <v>202</v>
      </c>
      <c r="D98" s="12" t="s">
        <v>203</v>
      </c>
      <c r="E98" s="12" t="s">
        <v>204</v>
      </c>
      <c r="F98" s="12" t="s">
        <v>10</v>
      </c>
      <c r="G98" s="13">
        <v>66747</v>
      </c>
      <c r="H98" s="13">
        <v>1266230.3801909999</v>
      </c>
      <c r="I98" s="13">
        <v>1337797.1668968</v>
      </c>
      <c r="J98" s="14">
        <v>-5.3495992125479539</v>
      </c>
      <c r="K98" s="15">
        <v>18970.596134522901</v>
      </c>
      <c r="L98" s="22" t="s">
        <v>1275</v>
      </c>
      <c r="M98" s="11">
        <v>0</v>
      </c>
    </row>
    <row r="99" spans="1:13" x14ac:dyDescent="0.25">
      <c r="A99" s="2">
        <f t="shared" si="1"/>
        <v>91</v>
      </c>
      <c r="B99" s="2">
        <v>156295</v>
      </c>
      <c r="C99" t="s">
        <v>205</v>
      </c>
      <c r="D99" t="s">
        <v>206</v>
      </c>
      <c r="E99" t="s">
        <v>197</v>
      </c>
      <c r="F99" t="s">
        <v>6</v>
      </c>
      <c r="G99" s="4">
        <v>1702</v>
      </c>
      <c r="H99" s="4">
        <v>1252985.1000000001</v>
      </c>
      <c r="I99" s="4">
        <v>1249754</v>
      </c>
      <c r="J99" s="1">
        <v>0.25853888045167289</v>
      </c>
      <c r="K99" s="3">
        <v>736183.96004700358</v>
      </c>
      <c r="L99" s="2">
        <v>2</v>
      </c>
      <c r="M99" s="2">
        <v>2</v>
      </c>
    </row>
    <row r="100" spans="1:13" x14ac:dyDescent="0.25">
      <c r="A100" s="2">
        <f t="shared" si="1"/>
        <v>92</v>
      </c>
      <c r="B100" s="2">
        <v>239169</v>
      </c>
      <c r="C100" t="s">
        <v>207</v>
      </c>
      <c r="D100" t="s">
        <v>208</v>
      </c>
      <c r="E100" t="s">
        <v>81</v>
      </c>
      <c r="F100" t="s">
        <v>6</v>
      </c>
      <c r="G100" s="4">
        <v>1478</v>
      </c>
      <c r="H100" s="4">
        <v>1234661.706</v>
      </c>
      <c r="I100" s="4">
        <v>937908.53</v>
      </c>
      <c r="J100" s="1">
        <v>31.639884541832668</v>
      </c>
      <c r="K100" s="3">
        <v>835359.74695534504</v>
      </c>
      <c r="L100" s="2">
        <v>2</v>
      </c>
      <c r="M100" s="2">
        <v>5</v>
      </c>
    </row>
    <row r="101" spans="1:13" x14ac:dyDescent="0.25">
      <c r="A101" s="11">
        <f t="shared" si="1"/>
        <v>93</v>
      </c>
      <c r="B101" s="27" t="s">
        <v>1275</v>
      </c>
      <c r="C101" s="12" t="s">
        <v>209</v>
      </c>
      <c r="D101" s="12" t="s">
        <v>210</v>
      </c>
      <c r="E101" s="12" t="s">
        <v>211</v>
      </c>
      <c r="F101" s="12" t="s">
        <v>10</v>
      </c>
      <c r="G101" s="13">
        <v>34780</v>
      </c>
      <c r="H101" s="13">
        <v>1221145.0059444001</v>
      </c>
      <c r="I101" s="13">
        <v>1281896.2726073998</v>
      </c>
      <c r="J101" s="14">
        <v>-4.73917180049449</v>
      </c>
      <c r="K101" s="15">
        <v>35110.552212317423</v>
      </c>
      <c r="L101" s="22" t="s">
        <v>1275</v>
      </c>
      <c r="M101" s="11">
        <v>0</v>
      </c>
    </row>
    <row r="102" spans="1:13" x14ac:dyDescent="0.25">
      <c r="A102" s="2">
        <f t="shared" si="1"/>
        <v>94</v>
      </c>
      <c r="B102" s="2">
        <v>207388</v>
      </c>
      <c r="C102" t="s">
        <v>212</v>
      </c>
      <c r="D102" t="s">
        <v>213</v>
      </c>
      <c r="E102" t="s">
        <v>214</v>
      </c>
      <c r="F102" t="s">
        <v>10</v>
      </c>
      <c r="G102" s="4">
        <v>20545</v>
      </c>
      <c r="H102" s="4">
        <v>1210666.78792</v>
      </c>
      <c r="I102" s="52">
        <v>1238580</v>
      </c>
      <c r="J102" s="53">
        <v>-2.25</v>
      </c>
      <c r="K102" s="3">
        <v>58927.56329617912</v>
      </c>
      <c r="L102" s="2">
        <v>2</v>
      </c>
      <c r="M102" s="2">
        <v>4</v>
      </c>
    </row>
    <row r="103" spans="1:13" x14ac:dyDescent="0.25">
      <c r="A103" s="2">
        <f t="shared" si="1"/>
        <v>95</v>
      </c>
      <c r="B103" s="2">
        <v>108056</v>
      </c>
      <c r="C103" t="s">
        <v>215</v>
      </c>
      <c r="D103" t="s">
        <v>216</v>
      </c>
      <c r="E103" t="s">
        <v>217</v>
      </c>
      <c r="F103" t="s">
        <v>10</v>
      </c>
      <c r="G103" s="4">
        <v>23899</v>
      </c>
      <c r="H103" s="4">
        <v>1209277.29</v>
      </c>
      <c r="I103" s="4">
        <v>1221935.0319999999</v>
      </c>
      <c r="J103" s="1">
        <v>-1.0358768402999678</v>
      </c>
      <c r="K103" s="3">
        <v>50599.493284237833</v>
      </c>
      <c r="L103" s="2">
        <v>2</v>
      </c>
      <c r="M103" s="2">
        <v>0</v>
      </c>
    </row>
    <row r="104" spans="1:13" x14ac:dyDescent="0.25">
      <c r="A104" s="11">
        <f t="shared" si="1"/>
        <v>96</v>
      </c>
      <c r="B104" s="27" t="s">
        <v>1275</v>
      </c>
      <c r="C104" s="12" t="s">
        <v>218</v>
      </c>
      <c r="D104" s="12" t="s">
        <v>219</v>
      </c>
      <c r="E104" s="12" t="s">
        <v>220</v>
      </c>
      <c r="F104" s="12" t="s">
        <v>10</v>
      </c>
      <c r="G104" s="13">
        <v>37059</v>
      </c>
      <c r="H104" s="13">
        <v>1203973.4622144001</v>
      </c>
      <c r="I104" s="13">
        <v>1280242.1466350998</v>
      </c>
      <c r="J104" s="14">
        <v>-5.9573639737731794</v>
      </c>
      <c r="K104" s="15">
        <v>32488.018085064359</v>
      </c>
      <c r="L104" s="22" t="s">
        <v>1275</v>
      </c>
      <c r="M104" s="11">
        <v>0</v>
      </c>
    </row>
    <row r="105" spans="1:13" x14ac:dyDescent="0.25">
      <c r="A105" s="2">
        <f t="shared" si="1"/>
        <v>97</v>
      </c>
      <c r="B105" s="2">
        <v>223223</v>
      </c>
      <c r="C105" t="s">
        <v>221</v>
      </c>
      <c r="D105" t="s">
        <v>61</v>
      </c>
      <c r="E105" t="s">
        <v>9</v>
      </c>
      <c r="F105" t="s">
        <v>6</v>
      </c>
      <c r="G105" s="4">
        <v>1577</v>
      </c>
      <c r="H105" s="4">
        <v>1201055</v>
      </c>
      <c r="I105" s="4">
        <v>1301005.115</v>
      </c>
      <c r="J105" s="1">
        <v>-7.6825305179526531</v>
      </c>
      <c r="K105" s="3">
        <v>761607.48256182624</v>
      </c>
      <c r="L105" s="2">
        <v>2</v>
      </c>
      <c r="M105" s="2">
        <v>5</v>
      </c>
    </row>
    <row r="106" spans="1:13" x14ac:dyDescent="0.25">
      <c r="A106" s="2">
        <f t="shared" si="1"/>
        <v>98</v>
      </c>
      <c r="B106" s="2">
        <v>179159</v>
      </c>
      <c r="C106" t="s">
        <v>222</v>
      </c>
      <c r="D106" t="s">
        <v>42</v>
      </c>
      <c r="E106" t="s">
        <v>43</v>
      </c>
      <c r="F106" t="s">
        <v>6</v>
      </c>
      <c r="G106" s="4">
        <v>11797</v>
      </c>
      <c r="H106" s="4">
        <v>1197420.7279999999</v>
      </c>
      <c r="I106" s="4">
        <v>1252677.8689999999</v>
      </c>
      <c r="J106" s="1">
        <v>-4.4111213558926536</v>
      </c>
      <c r="K106" s="3">
        <v>101502.13850979063</v>
      </c>
      <c r="L106" s="2">
        <v>2</v>
      </c>
      <c r="M106" s="2">
        <v>4</v>
      </c>
    </row>
    <row r="107" spans="1:13" x14ac:dyDescent="0.25">
      <c r="A107" s="2">
        <f t="shared" si="1"/>
        <v>99</v>
      </c>
      <c r="B107" s="2">
        <v>230959</v>
      </c>
      <c r="C107" t="s">
        <v>223</v>
      </c>
      <c r="D107" t="s">
        <v>224</v>
      </c>
      <c r="E107" t="s">
        <v>225</v>
      </c>
      <c r="F107" t="s">
        <v>6</v>
      </c>
      <c r="G107" s="4">
        <v>3220</v>
      </c>
      <c r="H107" s="4">
        <v>1133644</v>
      </c>
      <c r="I107" s="4">
        <v>1157786</v>
      </c>
      <c r="J107" s="1">
        <v>-2.0851867270808251</v>
      </c>
      <c r="K107" s="3">
        <v>352063.3540372671</v>
      </c>
      <c r="L107" s="2">
        <v>2</v>
      </c>
      <c r="M107" s="2">
        <v>2</v>
      </c>
    </row>
    <row r="108" spans="1:13" x14ac:dyDescent="0.25">
      <c r="A108" s="2">
        <f t="shared" si="1"/>
        <v>100</v>
      </c>
      <c r="B108" s="2">
        <v>186122</v>
      </c>
      <c r="C108" t="s">
        <v>226</v>
      </c>
      <c r="D108" t="s">
        <v>18</v>
      </c>
      <c r="E108" t="s">
        <v>19</v>
      </c>
      <c r="F108" t="s">
        <v>6</v>
      </c>
      <c r="G108" s="4">
        <v>348</v>
      </c>
      <c r="H108" s="4">
        <v>1119902.075</v>
      </c>
      <c r="I108" s="4">
        <v>1127362.324</v>
      </c>
      <c r="J108" s="1">
        <v>-0.66174368622948587</v>
      </c>
      <c r="K108" s="3">
        <v>3218109.4109195401</v>
      </c>
      <c r="L108" s="2">
        <v>2</v>
      </c>
      <c r="M108" s="2">
        <v>5</v>
      </c>
    </row>
    <row r="109" spans="1:13" x14ac:dyDescent="0.25">
      <c r="A109" s="2">
        <f t="shared" si="1"/>
        <v>101</v>
      </c>
      <c r="B109" s="2">
        <v>153603</v>
      </c>
      <c r="C109" t="s">
        <v>227</v>
      </c>
      <c r="D109" t="s">
        <v>228</v>
      </c>
      <c r="E109" t="s">
        <v>123</v>
      </c>
      <c r="F109" t="s">
        <v>95</v>
      </c>
      <c r="G109" s="4">
        <v>32077</v>
      </c>
      <c r="H109" s="4">
        <v>1099458.0608599999</v>
      </c>
      <c r="I109" s="4">
        <v>1101709.3999999999</v>
      </c>
      <c r="J109" s="1">
        <v>-0.20434963521234412</v>
      </c>
      <c r="K109" s="3">
        <v>34275.588766405832</v>
      </c>
      <c r="L109" s="2">
        <v>2</v>
      </c>
      <c r="M109" s="2">
        <v>4</v>
      </c>
    </row>
    <row r="110" spans="1:13" x14ac:dyDescent="0.25">
      <c r="A110" s="2">
        <f t="shared" si="1"/>
        <v>102</v>
      </c>
      <c r="B110" s="2">
        <v>197133</v>
      </c>
      <c r="C110" t="s">
        <v>229</v>
      </c>
      <c r="D110" t="s">
        <v>230</v>
      </c>
      <c r="E110" t="s">
        <v>34</v>
      </c>
      <c r="F110" t="s">
        <v>6</v>
      </c>
      <c r="G110" s="4">
        <v>2430</v>
      </c>
      <c r="H110" s="4">
        <v>1097975.6499999999</v>
      </c>
      <c r="I110" s="4">
        <v>1117379.5060000001</v>
      </c>
      <c r="J110" s="1">
        <v>-1.7365501958651459</v>
      </c>
      <c r="K110" s="3">
        <v>451841.83127572015</v>
      </c>
      <c r="L110" s="2">
        <v>2</v>
      </c>
      <c r="M110" s="2">
        <v>2</v>
      </c>
    </row>
    <row r="111" spans="1:13" x14ac:dyDescent="0.25">
      <c r="A111" s="2">
        <f t="shared" si="1"/>
        <v>103</v>
      </c>
      <c r="B111" s="2">
        <v>236939</v>
      </c>
      <c r="C111" t="s">
        <v>231</v>
      </c>
      <c r="D111" t="s">
        <v>232</v>
      </c>
      <c r="E111" t="s">
        <v>85</v>
      </c>
      <c r="F111" t="s">
        <v>10</v>
      </c>
      <c r="G111" s="4">
        <v>29137</v>
      </c>
      <c r="H111" s="4">
        <v>1082750.013</v>
      </c>
      <c r="I111" s="4">
        <v>1067842.352</v>
      </c>
      <c r="J111" s="1">
        <v>1.3960544805212971</v>
      </c>
      <c r="K111" s="3">
        <v>37160.655283659951</v>
      </c>
      <c r="L111" s="2">
        <v>2</v>
      </c>
      <c r="M111" s="2">
        <v>4</v>
      </c>
    </row>
    <row r="112" spans="1:13" x14ac:dyDescent="0.25">
      <c r="A112" s="2">
        <f t="shared" si="1"/>
        <v>104</v>
      </c>
      <c r="B112" s="2">
        <v>165015</v>
      </c>
      <c r="C112" t="s">
        <v>233</v>
      </c>
      <c r="D112" t="s">
        <v>234</v>
      </c>
      <c r="E112" t="s">
        <v>5</v>
      </c>
      <c r="F112" t="s">
        <v>6</v>
      </c>
      <c r="G112" s="4">
        <v>5479</v>
      </c>
      <c r="H112" s="4">
        <v>1073589.247</v>
      </c>
      <c r="I112" s="4">
        <v>1073525.8840000001</v>
      </c>
      <c r="J112" s="1">
        <v>5.9023262451676503E-3</v>
      </c>
      <c r="K112" s="3">
        <v>195946.20313925899</v>
      </c>
      <c r="L112" s="2">
        <v>2</v>
      </c>
      <c r="M112" s="2">
        <v>4</v>
      </c>
    </row>
    <row r="113" spans="1:13" x14ac:dyDescent="0.25">
      <c r="A113" s="2">
        <f t="shared" si="1"/>
        <v>105</v>
      </c>
      <c r="B113" s="2">
        <v>230764</v>
      </c>
      <c r="C113" t="s">
        <v>235</v>
      </c>
      <c r="D113" t="s">
        <v>236</v>
      </c>
      <c r="E113" t="s">
        <v>237</v>
      </c>
      <c r="F113" t="s">
        <v>10</v>
      </c>
      <c r="G113" s="4">
        <v>28624</v>
      </c>
      <c r="H113" s="4">
        <v>1071908.1200000001</v>
      </c>
      <c r="I113" s="4">
        <v>1080566.8319999999</v>
      </c>
      <c r="J113" s="1">
        <v>-0.80131202842620652</v>
      </c>
      <c r="K113" s="3">
        <v>37447.880100614871</v>
      </c>
      <c r="L113" s="2">
        <v>2</v>
      </c>
      <c r="M113" s="2">
        <v>4</v>
      </c>
    </row>
    <row r="114" spans="1:13" x14ac:dyDescent="0.25">
      <c r="A114" s="2">
        <f t="shared" si="1"/>
        <v>106</v>
      </c>
      <c r="B114" s="2">
        <v>207971</v>
      </c>
      <c r="C114" t="s">
        <v>238</v>
      </c>
      <c r="D114" t="s">
        <v>239</v>
      </c>
      <c r="E114" t="s">
        <v>214</v>
      </c>
      <c r="F114" t="s">
        <v>6</v>
      </c>
      <c r="G114" s="4">
        <v>4209</v>
      </c>
      <c r="H114" s="4">
        <v>1071327.2930000001</v>
      </c>
      <c r="I114" s="4">
        <v>1113721.7860000001</v>
      </c>
      <c r="J114" s="1">
        <v>-3.8065604474042316</v>
      </c>
      <c r="K114" s="3">
        <v>254532.50011879308</v>
      </c>
      <c r="L114" s="2">
        <v>2</v>
      </c>
      <c r="M114" s="2">
        <v>4</v>
      </c>
    </row>
    <row r="115" spans="1:13" x14ac:dyDescent="0.25">
      <c r="A115" s="2">
        <f t="shared" si="1"/>
        <v>107</v>
      </c>
      <c r="B115" s="2">
        <v>167358</v>
      </c>
      <c r="C115" t="s">
        <v>240</v>
      </c>
      <c r="D115" t="s">
        <v>103</v>
      </c>
      <c r="E115" t="s">
        <v>5</v>
      </c>
      <c r="F115" t="s">
        <v>6</v>
      </c>
      <c r="G115" s="4">
        <v>27997</v>
      </c>
      <c r="H115" s="4">
        <v>1069470</v>
      </c>
      <c r="I115" s="4">
        <v>1055474</v>
      </c>
      <c r="J115" s="1">
        <v>1.3260392960887715</v>
      </c>
      <c r="K115" s="3">
        <v>38199.449941065111</v>
      </c>
      <c r="L115" s="2">
        <v>2</v>
      </c>
      <c r="M115" s="2">
        <v>4</v>
      </c>
    </row>
    <row r="116" spans="1:13" x14ac:dyDescent="0.25">
      <c r="A116" s="2">
        <f t="shared" si="1"/>
        <v>108</v>
      </c>
      <c r="B116" s="2">
        <v>130697</v>
      </c>
      <c r="C116" t="s">
        <v>241</v>
      </c>
      <c r="D116" t="s">
        <v>242</v>
      </c>
      <c r="E116" t="s">
        <v>13</v>
      </c>
      <c r="F116" t="s">
        <v>6</v>
      </c>
      <c r="G116" s="4">
        <v>3118.7</v>
      </c>
      <c r="H116" s="4">
        <v>1052631</v>
      </c>
      <c r="I116" s="4">
        <v>1004806</v>
      </c>
      <c r="J116" s="1">
        <v>4.7596252410913147</v>
      </c>
      <c r="K116" s="3">
        <v>337522.36508801748</v>
      </c>
      <c r="L116" s="2">
        <v>2</v>
      </c>
      <c r="M116" s="2">
        <v>2</v>
      </c>
    </row>
    <row r="117" spans="1:13" ht="17.25" x14ac:dyDescent="0.25">
      <c r="A117" s="2">
        <f t="shared" si="1"/>
        <v>109</v>
      </c>
      <c r="B117" s="2">
        <v>135726</v>
      </c>
      <c r="C117" t="s">
        <v>1326</v>
      </c>
      <c r="D117" t="s">
        <v>243</v>
      </c>
      <c r="E117" t="s">
        <v>141</v>
      </c>
      <c r="F117" t="s">
        <v>6</v>
      </c>
      <c r="G117" s="4">
        <v>17191.099999999999</v>
      </c>
      <c r="H117" s="4">
        <v>1050754.203</v>
      </c>
      <c r="I117" s="4">
        <v>997413.18799999997</v>
      </c>
      <c r="J117" s="1">
        <v>5.3479356039956434</v>
      </c>
      <c r="K117" s="3">
        <v>61121.987714573246</v>
      </c>
      <c r="L117" s="2">
        <v>2</v>
      </c>
      <c r="M117" s="2">
        <v>4</v>
      </c>
    </row>
    <row r="118" spans="1:13" x14ac:dyDescent="0.25">
      <c r="A118" s="2">
        <f t="shared" si="1"/>
        <v>110</v>
      </c>
      <c r="B118" s="2">
        <v>117636</v>
      </c>
      <c r="C118" t="s">
        <v>244</v>
      </c>
      <c r="D118" t="s">
        <v>245</v>
      </c>
      <c r="E118" t="s">
        <v>16</v>
      </c>
      <c r="F118" t="s">
        <v>6</v>
      </c>
      <c r="G118" s="4">
        <v>4800</v>
      </c>
      <c r="H118" s="4">
        <v>1037471.134</v>
      </c>
      <c r="I118" s="4">
        <v>1076898.1540000001</v>
      </c>
      <c r="J118" s="1">
        <v>-3.6611651578706299</v>
      </c>
      <c r="K118" s="3">
        <v>216139.81958333333</v>
      </c>
      <c r="L118" s="2">
        <v>2</v>
      </c>
      <c r="M118" s="2">
        <v>5</v>
      </c>
    </row>
    <row r="119" spans="1:13" x14ac:dyDescent="0.25">
      <c r="A119" s="2">
        <f t="shared" si="1"/>
        <v>111</v>
      </c>
      <c r="B119" s="2">
        <v>110653</v>
      </c>
      <c r="C119" t="s">
        <v>246</v>
      </c>
      <c r="D119" t="s">
        <v>247</v>
      </c>
      <c r="E119" t="s">
        <v>16</v>
      </c>
      <c r="F119" t="s">
        <v>82</v>
      </c>
      <c r="G119" s="4">
        <v>37629</v>
      </c>
      <c r="H119" s="4">
        <v>1036416.818</v>
      </c>
      <c r="I119" s="4">
        <v>1029019.812</v>
      </c>
      <c r="J119" s="1">
        <v>0.71883999838868018</v>
      </c>
      <c r="K119" s="3">
        <v>27543.033777139972</v>
      </c>
      <c r="L119" s="2">
        <v>2</v>
      </c>
      <c r="M119" s="2">
        <v>4</v>
      </c>
    </row>
    <row r="120" spans="1:13" x14ac:dyDescent="0.25">
      <c r="A120" s="2">
        <f t="shared" si="1"/>
        <v>112</v>
      </c>
      <c r="B120" s="2">
        <v>122931</v>
      </c>
      <c r="C120" t="s">
        <v>248</v>
      </c>
      <c r="D120" t="s">
        <v>249</v>
      </c>
      <c r="E120" t="s">
        <v>16</v>
      </c>
      <c r="F120" t="s">
        <v>6</v>
      </c>
      <c r="G120" s="4">
        <v>8256</v>
      </c>
      <c r="H120" s="4">
        <v>1034167</v>
      </c>
      <c r="I120" s="4">
        <v>1019760</v>
      </c>
      <c r="J120" s="1">
        <v>1.41278340001569</v>
      </c>
      <c r="K120" s="3">
        <v>125262.4757751938</v>
      </c>
      <c r="L120" s="2">
        <v>2</v>
      </c>
      <c r="M120" s="2">
        <v>4</v>
      </c>
    </row>
    <row r="121" spans="1:13" x14ac:dyDescent="0.25">
      <c r="A121" s="2">
        <f t="shared" si="1"/>
        <v>113</v>
      </c>
      <c r="B121" s="2">
        <v>191515</v>
      </c>
      <c r="C121" t="s">
        <v>250</v>
      </c>
      <c r="D121" t="s">
        <v>251</v>
      </c>
      <c r="E121" t="s">
        <v>34</v>
      </c>
      <c r="F121" t="s">
        <v>6</v>
      </c>
      <c r="G121" s="4">
        <v>1896</v>
      </c>
      <c r="H121" s="4">
        <v>1020321</v>
      </c>
      <c r="I121" s="4">
        <v>969362</v>
      </c>
      <c r="J121" s="1">
        <v>5.2569628270965856</v>
      </c>
      <c r="K121" s="3">
        <v>538143.98734177218</v>
      </c>
      <c r="L121" s="2">
        <v>2</v>
      </c>
      <c r="M121" s="2">
        <v>2</v>
      </c>
    </row>
    <row r="122" spans="1:13" x14ac:dyDescent="0.25">
      <c r="A122" s="2">
        <f t="shared" si="1"/>
        <v>114</v>
      </c>
      <c r="B122" s="2">
        <v>229407</v>
      </c>
      <c r="C122" t="s">
        <v>252</v>
      </c>
      <c r="D122" t="s">
        <v>61</v>
      </c>
      <c r="E122" t="s">
        <v>9</v>
      </c>
      <c r="F122" t="s">
        <v>10</v>
      </c>
      <c r="G122" s="4">
        <v>58792</v>
      </c>
      <c r="H122" s="4">
        <v>1013075.623</v>
      </c>
      <c r="I122" s="4">
        <v>959814.94200000004</v>
      </c>
      <c r="J122" s="1">
        <v>5.5490572890039465</v>
      </c>
      <c r="K122" s="3">
        <v>17231.52168662403</v>
      </c>
      <c r="L122" s="2">
        <v>2</v>
      </c>
      <c r="M122" s="2">
        <v>0</v>
      </c>
    </row>
    <row r="123" spans="1:13" x14ac:dyDescent="0.25">
      <c r="A123" s="2">
        <f t="shared" si="1"/>
        <v>115</v>
      </c>
      <c r="B123" s="2">
        <v>104179</v>
      </c>
      <c r="C123" t="s">
        <v>253</v>
      </c>
      <c r="D123" t="s">
        <v>254</v>
      </c>
      <c r="E123" t="s">
        <v>255</v>
      </c>
      <c r="F123" t="s">
        <v>95</v>
      </c>
      <c r="G123" s="4">
        <v>39319</v>
      </c>
      <c r="H123" s="4">
        <v>983848.32</v>
      </c>
      <c r="I123" s="4">
        <v>1038132.8689999999</v>
      </c>
      <c r="J123" s="1">
        <v>-5.2290559928316851</v>
      </c>
      <c r="K123" s="3">
        <v>25022.211144739184</v>
      </c>
      <c r="L123" s="2">
        <v>2</v>
      </c>
      <c r="M123" s="2">
        <v>4</v>
      </c>
    </row>
    <row r="124" spans="1:13" x14ac:dyDescent="0.25">
      <c r="A124" s="2">
        <f t="shared" si="1"/>
        <v>116</v>
      </c>
      <c r="B124" s="2">
        <v>139144</v>
      </c>
      <c r="C124" t="s">
        <v>256</v>
      </c>
      <c r="D124" t="s">
        <v>257</v>
      </c>
      <c r="E124" t="s">
        <v>48</v>
      </c>
      <c r="F124" t="s">
        <v>6</v>
      </c>
      <c r="G124" s="4">
        <v>1995</v>
      </c>
      <c r="H124" s="4">
        <v>981510.69200000004</v>
      </c>
      <c r="I124" s="4">
        <v>1058604.6950000001</v>
      </c>
      <c r="J124" s="1">
        <v>-7.282605429971194</v>
      </c>
      <c r="K124" s="3">
        <v>491985.30927318294</v>
      </c>
      <c r="L124" s="2">
        <v>2</v>
      </c>
      <c r="M124" s="2">
        <v>3</v>
      </c>
    </row>
    <row r="125" spans="1:13" x14ac:dyDescent="0.25">
      <c r="A125" s="2">
        <f t="shared" si="1"/>
        <v>117</v>
      </c>
      <c r="B125" s="2">
        <v>231624</v>
      </c>
      <c r="C125" t="s">
        <v>258</v>
      </c>
      <c r="D125" t="s">
        <v>259</v>
      </c>
      <c r="E125" t="s">
        <v>51</v>
      </c>
      <c r="F125" t="s">
        <v>95</v>
      </c>
      <c r="G125" s="4">
        <v>8143</v>
      </c>
      <c r="H125" s="4">
        <v>967685.23499999999</v>
      </c>
      <c r="I125" s="4">
        <v>995873.95799999998</v>
      </c>
      <c r="J125" s="1">
        <v>-2.8305512734373561</v>
      </c>
      <c r="K125" s="3">
        <v>118836.45278153016</v>
      </c>
      <c r="L125" s="2">
        <v>2</v>
      </c>
      <c r="M125" s="2">
        <v>4</v>
      </c>
    </row>
    <row r="126" spans="1:13" x14ac:dyDescent="0.25">
      <c r="A126" s="2">
        <f t="shared" si="1"/>
        <v>118</v>
      </c>
      <c r="B126" s="2">
        <v>190099</v>
      </c>
      <c r="C126" t="s">
        <v>260</v>
      </c>
      <c r="D126" t="s">
        <v>261</v>
      </c>
      <c r="E126" t="s">
        <v>34</v>
      </c>
      <c r="F126" t="s">
        <v>6</v>
      </c>
      <c r="G126" s="4">
        <v>2982</v>
      </c>
      <c r="H126" s="4">
        <v>959737</v>
      </c>
      <c r="I126" s="4">
        <v>950360.14800000004</v>
      </c>
      <c r="J126" s="1">
        <v>0.98666300557038922</v>
      </c>
      <c r="K126" s="3">
        <v>321843.39369550638</v>
      </c>
      <c r="L126" s="2">
        <v>2</v>
      </c>
      <c r="M126" s="2">
        <v>2</v>
      </c>
    </row>
    <row r="127" spans="1:13" x14ac:dyDescent="0.25">
      <c r="A127" s="2">
        <f t="shared" si="1"/>
        <v>119</v>
      </c>
      <c r="B127" s="2">
        <v>104151</v>
      </c>
      <c r="C127" t="s">
        <v>262</v>
      </c>
      <c r="D127" t="s">
        <v>263</v>
      </c>
      <c r="E127" t="s">
        <v>255</v>
      </c>
      <c r="F127" t="s">
        <v>95</v>
      </c>
      <c r="G127" s="4">
        <v>119951</v>
      </c>
      <c r="H127" s="4">
        <v>958682.38399999996</v>
      </c>
      <c r="I127" s="4">
        <v>922102.98499999999</v>
      </c>
      <c r="J127" s="1">
        <v>3.9669537562553274</v>
      </c>
      <c r="K127" s="3">
        <v>7992.2833823811388</v>
      </c>
      <c r="L127" s="2">
        <v>2</v>
      </c>
      <c r="M127" s="2">
        <v>4</v>
      </c>
    </row>
    <row r="128" spans="1:13" ht="17.25" x14ac:dyDescent="0.25">
      <c r="A128" s="2">
        <f t="shared" si="1"/>
        <v>120</v>
      </c>
      <c r="B128" s="2">
        <v>159638</v>
      </c>
      <c r="C128" t="s">
        <v>1327</v>
      </c>
      <c r="D128" t="s">
        <v>264</v>
      </c>
      <c r="E128" t="s">
        <v>174</v>
      </c>
      <c r="F128" t="s">
        <v>10</v>
      </c>
      <c r="G128" s="4">
        <v>41907</v>
      </c>
      <c r="H128" s="4">
        <v>955513.69099999999</v>
      </c>
      <c r="I128" s="4">
        <v>926246.81499999994</v>
      </c>
      <c r="J128" s="1">
        <v>3.1597275721806395</v>
      </c>
      <c r="K128" s="3">
        <v>22800.813491779416</v>
      </c>
      <c r="L128" s="21" t="s">
        <v>1275</v>
      </c>
      <c r="M128" s="2">
        <v>0</v>
      </c>
    </row>
    <row r="129" spans="1:13" x14ac:dyDescent="0.25">
      <c r="A129" s="2">
        <f t="shared" si="1"/>
        <v>121</v>
      </c>
      <c r="B129" s="2">
        <v>204501</v>
      </c>
      <c r="C129" t="s">
        <v>265</v>
      </c>
      <c r="D129" t="s">
        <v>266</v>
      </c>
      <c r="E129" t="s">
        <v>69</v>
      </c>
      <c r="F129" t="s">
        <v>6</v>
      </c>
      <c r="G129" s="4">
        <v>2846</v>
      </c>
      <c r="H129" s="4">
        <v>954934.34199999995</v>
      </c>
      <c r="I129" s="4">
        <v>943468.68200000003</v>
      </c>
      <c r="J129" s="1">
        <v>1.2152666239747001</v>
      </c>
      <c r="K129" s="3">
        <v>335535.60857343639</v>
      </c>
      <c r="L129" s="2">
        <v>2</v>
      </c>
      <c r="M129" s="2">
        <v>2</v>
      </c>
    </row>
    <row r="130" spans="1:13" x14ac:dyDescent="0.25">
      <c r="A130" s="2">
        <f t="shared" si="1"/>
        <v>122</v>
      </c>
      <c r="B130" s="2">
        <v>195003</v>
      </c>
      <c r="C130" t="s">
        <v>267</v>
      </c>
      <c r="D130" t="s">
        <v>110</v>
      </c>
      <c r="E130" t="s">
        <v>34</v>
      </c>
      <c r="F130" t="s">
        <v>6</v>
      </c>
      <c r="G130" s="4">
        <v>15147</v>
      </c>
      <c r="H130" s="4">
        <v>947141.38399999996</v>
      </c>
      <c r="I130" s="4">
        <v>944882.87600000005</v>
      </c>
      <c r="J130" s="1">
        <v>0.23902518051348406</v>
      </c>
      <c r="K130" s="3">
        <v>62529.965273651549</v>
      </c>
      <c r="L130" s="2">
        <v>2</v>
      </c>
      <c r="M130" s="2">
        <v>4</v>
      </c>
    </row>
    <row r="131" spans="1:13" x14ac:dyDescent="0.25">
      <c r="A131" s="2">
        <f t="shared" si="1"/>
        <v>123</v>
      </c>
      <c r="B131" s="26" t="s">
        <v>1275</v>
      </c>
      <c r="C131" t="s">
        <v>268</v>
      </c>
      <c r="D131" t="s">
        <v>135</v>
      </c>
      <c r="E131" t="s">
        <v>136</v>
      </c>
      <c r="F131" t="s">
        <v>95</v>
      </c>
      <c r="G131" s="23" t="s">
        <v>1275</v>
      </c>
      <c r="H131" s="4">
        <v>926879.65500000003</v>
      </c>
      <c r="I131" s="4">
        <v>966752.53799999994</v>
      </c>
      <c r="J131" s="1">
        <v>-4.1244146182939732</v>
      </c>
      <c r="K131" s="21" t="s">
        <v>1275</v>
      </c>
      <c r="L131" s="21" t="s">
        <v>1275</v>
      </c>
      <c r="M131" s="2">
        <v>0</v>
      </c>
    </row>
    <row r="132" spans="1:13" x14ac:dyDescent="0.25">
      <c r="A132" s="2">
        <f t="shared" si="1"/>
        <v>124</v>
      </c>
      <c r="B132" s="2">
        <v>209551</v>
      </c>
      <c r="C132" t="s">
        <v>269</v>
      </c>
      <c r="D132" t="s">
        <v>270</v>
      </c>
      <c r="E132" t="s">
        <v>271</v>
      </c>
      <c r="F132" t="s">
        <v>82</v>
      </c>
      <c r="G132" s="4">
        <v>22034</v>
      </c>
      <c r="H132" s="4">
        <v>912452.55799999996</v>
      </c>
      <c r="I132" s="4">
        <v>922672.03899999999</v>
      </c>
      <c r="J132" s="1">
        <v>-1.1075962604303002</v>
      </c>
      <c r="K132" s="3">
        <v>41411.117273304895</v>
      </c>
      <c r="L132" s="2">
        <v>2</v>
      </c>
      <c r="M132" s="2">
        <v>4</v>
      </c>
    </row>
    <row r="133" spans="1:13" x14ac:dyDescent="0.25">
      <c r="A133" s="2">
        <f t="shared" si="1"/>
        <v>125</v>
      </c>
      <c r="B133" s="2">
        <v>198385</v>
      </c>
      <c r="C133" t="s">
        <v>272</v>
      </c>
      <c r="D133" t="s">
        <v>273</v>
      </c>
      <c r="E133" t="s">
        <v>40</v>
      </c>
      <c r="F133" t="s">
        <v>6</v>
      </c>
      <c r="G133" s="4">
        <v>1837</v>
      </c>
      <c r="H133" s="4">
        <v>905857.94799999997</v>
      </c>
      <c r="I133" s="4">
        <v>881465.07499999995</v>
      </c>
      <c r="J133" s="1">
        <v>2.7673102079512337</v>
      </c>
      <c r="K133" s="3">
        <v>493118.09907457815</v>
      </c>
      <c r="L133" s="2">
        <v>2</v>
      </c>
      <c r="M133" s="2">
        <v>2</v>
      </c>
    </row>
    <row r="134" spans="1:13" x14ac:dyDescent="0.25">
      <c r="A134" s="2">
        <f t="shared" si="1"/>
        <v>126</v>
      </c>
      <c r="B134" s="2">
        <v>202523</v>
      </c>
      <c r="C134" t="s">
        <v>274</v>
      </c>
      <c r="D134" t="s">
        <v>275</v>
      </c>
      <c r="E134" t="s">
        <v>69</v>
      </c>
      <c r="F134" t="s">
        <v>6</v>
      </c>
      <c r="G134" s="4">
        <v>2273</v>
      </c>
      <c r="H134" s="4">
        <v>904771.52899999998</v>
      </c>
      <c r="I134" s="4">
        <v>877592.01199999999</v>
      </c>
      <c r="J134" s="1">
        <v>3.0970561067504341</v>
      </c>
      <c r="K134" s="3">
        <v>398051.70655521337</v>
      </c>
      <c r="L134" s="2">
        <v>2</v>
      </c>
      <c r="M134" s="2">
        <v>2</v>
      </c>
    </row>
    <row r="135" spans="1:13" x14ac:dyDescent="0.25">
      <c r="A135" s="2">
        <f t="shared" si="1"/>
        <v>127</v>
      </c>
      <c r="B135" s="2">
        <v>166665</v>
      </c>
      <c r="C135" t="s">
        <v>276</v>
      </c>
      <c r="D135" t="s">
        <v>103</v>
      </c>
      <c r="E135" t="s">
        <v>5</v>
      </c>
      <c r="F135" t="s">
        <v>82</v>
      </c>
      <c r="G135" s="23" t="s">
        <v>1275</v>
      </c>
      <c r="H135" s="4">
        <v>895819.16200000001</v>
      </c>
      <c r="I135" s="4">
        <v>881302.31299999997</v>
      </c>
      <c r="J135" s="1">
        <v>1.6472042324028258</v>
      </c>
      <c r="K135" s="21" t="s">
        <v>1275</v>
      </c>
      <c r="L135" s="2">
        <v>2</v>
      </c>
      <c r="M135" s="2">
        <v>0</v>
      </c>
    </row>
    <row r="136" spans="1:13" x14ac:dyDescent="0.25">
      <c r="A136" s="2">
        <f t="shared" si="1"/>
        <v>128</v>
      </c>
      <c r="B136" s="2">
        <v>110680</v>
      </c>
      <c r="C136" t="s">
        <v>277</v>
      </c>
      <c r="D136" t="s">
        <v>278</v>
      </c>
      <c r="E136" t="s">
        <v>16</v>
      </c>
      <c r="F136" t="s">
        <v>82</v>
      </c>
      <c r="G136" s="4">
        <v>37565</v>
      </c>
      <c r="H136" s="4">
        <v>893569.35199999996</v>
      </c>
      <c r="I136" s="4">
        <v>792363.82499999995</v>
      </c>
      <c r="J136" s="1">
        <v>12.772608214414635</v>
      </c>
      <c r="K136" s="3">
        <v>23787.284759749768</v>
      </c>
      <c r="L136" s="2">
        <v>2</v>
      </c>
      <c r="M136" s="2">
        <v>4</v>
      </c>
    </row>
    <row r="137" spans="1:13" x14ac:dyDescent="0.25">
      <c r="A137" s="2">
        <f t="shared" ref="A137:A200" si="2">RANK(H137,H$9:H$725,0)</f>
        <v>129</v>
      </c>
      <c r="B137" s="2">
        <v>211273</v>
      </c>
      <c r="C137" t="s">
        <v>279</v>
      </c>
      <c r="D137" t="s">
        <v>280</v>
      </c>
      <c r="E137" t="s">
        <v>23</v>
      </c>
      <c r="F137" t="s">
        <v>6</v>
      </c>
      <c r="G137" s="4">
        <v>1656</v>
      </c>
      <c r="H137" s="4">
        <v>887795.48199999996</v>
      </c>
      <c r="I137" s="4">
        <v>907976.43500000006</v>
      </c>
      <c r="J137" s="1">
        <v>-2.2226295994124561</v>
      </c>
      <c r="K137" s="3">
        <v>536108.3828502415</v>
      </c>
      <c r="L137" s="2">
        <v>2</v>
      </c>
      <c r="M137" s="2">
        <v>2</v>
      </c>
    </row>
    <row r="138" spans="1:13" x14ac:dyDescent="0.25">
      <c r="A138" s="2">
        <f t="shared" si="2"/>
        <v>130</v>
      </c>
      <c r="B138" s="2">
        <v>121150</v>
      </c>
      <c r="C138" t="s">
        <v>281</v>
      </c>
      <c r="D138" t="s">
        <v>282</v>
      </c>
      <c r="E138" t="s">
        <v>16</v>
      </c>
      <c r="F138" t="s">
        <v>6</v>
      </c>
      <c r="G138" s="4">
        <v>6842</v>
      </c>
      <c r="H138" s="4">
        <v>881140</v>
      </c>
      <c r="I138" s="4">
        <v>887461</v>
      </c>
      <c r="J138" s="1">
        <v>-0.71225665127819704</v>
      </c>
      <c r="K138" s="3">
        <v>128783.98129201987</v>
      </c>
      <c r="L138" s="2">
        <v>2</v>
      </c>
      <c r="M138" s="2">
        <v>4</v>
      </c>
    </row>
    <row r="139" spans="1:13" x14ac:dyDescent="0.25">
      <c r="A139" s="2">
        <f t="shared" si="2"/>
        <v>131</v>
      </c>
      <c r="B139" s="2">
        <v>161086</v>
      </c>
      <c r="C139" t="s">
        <v>283</v>
      </c>
      <c r="D139" t="s">
        <v>284</v>
      </c>
      <c r="E139" t="s">
        <v>148</v>
      </c>
      <c r="F139" t="s">
        <v>6</v>
      </c>
      <c r="G139" s="4">
        <v>2003</v>
      </c>
      <c r="H139" s="4">
        <v>878323</v>
      </c>
      <c r="I139" s="4">
        <v>869927</v>
      </c>
      <c r="J139" s="1">
        <v>0.96513845414615251</v>
      </c>
      <c r="K139" s="3">
        <v>438503.74438342487</v>
      </c>
      <c r="L139" s="2">
        <v>2</v>
      </c>
      <c r="M139" s="2">
        <v>2</v>
      </c>
    </row>
    <row r="140" spans="1:13" x14ac:dyDescent="0.25">
      <c r="A140" s="2">
        <f t="shared" si="2"/>
        <v>132</v>
      </c>
      <c r="B140" s="2">
        <v>173258</v>
      </c>
      <c r="C140" t="s">
        <v>285</v>
      </c>
      <c r="D140" t="s">
        <v>286</v>
      </c>
      <c r="E140" t="s">
        <v>101</v>
      </c>
      <c r="F140" t="s">
        <v>6</v>
      </c>
      <c r="G140" s="4">
        <v>2104</v>
      </c>
      <c r="H140" s="49">
        <v>868695</v>
      </c>
      <c r="I140" s="4">
        <v>892352.8</v>
      </c>
      <c r="J140" s="50">
        <v>-2.65</v>
      </c>
      <c r="K140" s="51">
        <v>412877.85</v>
      </c>
      <c r="L140" s="2">
        <v>2</v>
      </c>
      <c r="M140" s="2">
        <v>2</v>
      </c>
    </row>
    <row r="141" spans="1:13" x14ac:dyDescent="0.25">
      <c r="A141" s="2">
        <f t="shared" si="2"/>
        <v>133</v>
      </c>
      <c r="B141" s="2">
        <v>112260</v>
      </c>
      <c r="C141" t="s">
        <v>287</v>
      </c>
      <c r="D141" t="s">
        <v>115</v>
      </c>
      <c r="E141" t="s">
        <v>16</v>
      </c>
      <c r="F141" t="s">
        <v>6</v>
      </c>
      <c r="G141" s="4">
        <v>1346</v>
      </c>
      <c r="H141" s="4">
        <v>855451</v>
      </c>
      <c r="I141" s="4">
        <v>865475</v>
      </c>
      <c r="J141" s="1">
        <v>-1.1582079205060805</v>
      </c>
      <c r="K141" s="3">
        <v>635550.5200594354</v>
      </c>
      <c r="L141" s="2">
        <v>2</v>
      </c>
      <c r="M141" s="2">
        <v>2</v>
      </c>
    </row>
    <row r="142" spans="1:13" x14ac:dyDescent="0.25">
      <c r="A142" s="2">
        <f t="shared" si="2"/>
        <v>134</v>
      </c>
      <c r="B142" s="2">
        <v>211291</v>
      </c>
      <c r="C142" t="s">
        <v>288</v>
      </c>
      <c r="D142" t="s">
        <v>289</v>
      </c>
      <c r="E142" t="s">
        <v>23</v>
      </c>
      <c r="F142" t="s">
        <v>6</v>
      </c>
      <c r="G142" s="4">
        <v>3637</v>
      </c>
      <c r="H142" s="4">
        <v>844765</v>
      </c>
      <c r="I142" s="4">
        <v>866835</v>
      </c>
      <c r="J142" s="1">
        <v>-2.5460439414652156</v>
      </c>
      <c r="K142" s="3">
        <v>232269.72779763542</v>
      </c>
      <c r="L142" s="2">
        <v>2</v>
      </c>
      <c r="M142" s="2">
        <v>2</v>
      </c>
    </row>
    <row r="143" spans="1:13" x14ac:dyDescent="0.25">
      <c r="A143" s="2">
        <f t="shared" si="2"/>
        <v>135</v>
      </c>
      <c r="B143" s="2">
        <v>213385</v>
      </c>
      <c r="C143" t="s">
        <v>290</v>
      </c>
      <c r="D143" t="s">
        <v>291</v>
      </c>
      <c r="E143" t="s">
        <v>23</v>
      </c>
      <c r="F143" t="s">
        <v>6</v>
      </c>
      <c r="G143" s="4">
        <v>2643</v>
      </c>
      <c r="H143" s="4">
        <v>839402</v>
      </c>
      <c r="I143" s="4">
        <v>832067.897</v>
      </c>
      <c r="J143" s="1">
        <v>0.88143083352247165</v>
      </c>
      <c r="K143" s="3">
        <v>317594.40030268632</v>
      </c>
      <c r="L143" s="2">
        <v>2</v>
      </c>
      <c r="M143" s="2">
        <v>2</v>
      </c>
    </row>
    <row r="144" spans="1:13" x14ac:dyDescent="0.25">
      <c r="A144" s="11">
        <f t="shared" si="2"/>
        <v>136</v>
      </c>
      <c r="B144" s="27" t="s">
        <v>1275</v>
      </c>
      <c r="C144" s="12" t="s">
        <v>292</v>
      </c>
      <c r="D144" s="12" t="s">
        <v>293</v>
      </c>
      <c r="E144" s="12" t="s">
        <v>129</v>
      </c>
      <c r="F144" s="12" t="s">
        <v>10</v>
      </c>
      <c r="G144" s="13">
        <v>25260</v>
      </c>
      <c r="H144" s="13">
        <v>832821.35097959999</v>
      </c>
      <c r="I144" s="13">
        <v>887637.38271029992</v>
      </c>
      <c r="J144" s="14">
        <v>-6.1754983283067109</v>
      </c>
      <c r="K144" s="15">
        <v>32969.966388741093</v>
      </c>
      <c r="L144" s="22" t="s">
        <v>1275</v>
      </c>
      <c r="M144" s="11">
        <v>0</v>
      </c>
    </row>
    <row r="145" spans="1:13" ht="17.25" x14ac:dyDescent="0.25">
      <c r="A145" s="2">
        <f t="shared" si="2"/>
        <v>137</v>
      </c>
      <c r="B145" s="2">
        <v>209490</v>
      </c>
      <c r="C145" t="s">
        <v>1328</v>
      </c>
      <c r="D145" t="s">
        <v>294</v>
      </c>
      <c r="E145" t="s">
        <v>271</v>
      </c>
      <c r="F145" t="s">
        <v>95</v>
      </c>
      <c r="G145" s="4">
        <v>2682.44</v>
      </c>
      <c r="H145" s="4">
        <v>829697.005</v>
      </c>
      <c r="I145" s="4">
        <v>877757.82200000004</v>
      </c>
      <c r="J145" s="1">
        <v>-5.4754074296360988</v>
      </c>
      <c r="K145" s="3">
        <v>309306.8269933344</v>
      </c>
      <c r="L145" s="2">
        <v>2</v>
      </c>
      <c r="M145" s="2">
        <v>5</v>
      </c>
    </row>
    <row r="146" spans="1:13" x14ac:dyDescent="0.25">
      <c r="A146" s="2">
        <f t="shared" si="2"/>
        <v>138</v>
      </c>
      <c r="B146" s="2">
        <v>216597</v>
      </c>
      <c r="C146" t="s">
        <v>295</v>
      </c>
      <c r="D146" t="s">
        <v>296</v>
      </c>
      <c r="E146" t="s">
        <v>23</v>
      </c>
      <c r="F146" t="s">
        <v>6</v>
      </c>
      <c r="G146" s="4">
        <v>9546</v>
      </c>
      <c r="H146" s="4">
        <v>805425.22199999995</v>
      </c>
      <c r="I146" s="4">
        <v>766903.01800000004</v>
      </c>
      <c r="J146" s="1">
        <v>5.0230867653203051</v>
      </c>
      <c r="K146" s="3">
        <v>84373.05908233815</v>
      </c>
      <c r="L146" s="2">
        <v>2</v>
      </c>
      <c r="M146" s="2">
        <v>4</v>
      </c>
    </row>
    <row r="147" spans="1:13" ht="17.25" x14ac:dyDescent="0.25">
      <c r="A147" s="16">
        <f t="shared" si="2"/>
        <v>139</v>
      </c>
      <c r="B147" s="16">
        <v>183327</v>
      </c>
      <c r="C147" s="17" t="s">
        <v>1329</v>
      </c>
      <c r="D147" s="17" t="s">
        <v>297</v>
      </c>
      <c r="E147" s="17" t="s">
        <v>64</v>
      </c>
      <c r="F147" s="17" t="s">
        <v>95</v>
      </c>
      <c r="G147" s="18">
        <v>23877</v>
      </c>
      <c r="H147" s="18">
        <v>798694.60600000003</v>
      </c>
      <c r="I147" s="18">
        <v>803866.848</v>
      </c>
      <c r="J147" s="19">
        <v>-0.64342023966635831</v>
      </c>
      <c r="K147" s="20">
        <v>33450.375088997782</v>
      </c>
      <c r="L147" s="16">
        <v>2</v>
      </c>
      <c r="M147" s="16">
        <v>0</v>
      </c>
    </row>
    <row r="148" spans="1:13" x14ac:dyDescent="0.25">
      <c r="A148" s="2">
        <f t="shared" si="2"/>
        <v>140</v>
      </c>
      <c r="B148" s="2">
        <v>212054</v>
      </c>
      <c r="C148" t="s">
        <v>298</v>
      </c>
      <c r="D148" t="s">
        <v>22</v>
      </c>
      <c r="E148" t="s">
        <v>23</v>
      </c>
      <c r="F148" t="s">
        <v>6</v>
      </c>
      <c r="G148" s="4">
        <v>20213</v>
      </c>
      <c r="H148" s="4">
        <v>798335.02399999998</v>
      </c>
      <c r="I148" s="4">
        <v>813685.16799999995</v>
      </c>
      <c r="J148" s="1">
        <v>-1.8864967193306392</v>
      </c>
      <c r="K148" s="3">
        <v>39496.117548112597</v>
      </c>
      <c r="L148" s="2">
        <v>2</v>
      </c>
      <c r="M148" s="2">
        <v>4</v>
      </c>
    </row>
    <row r="149" spans="1:13" x14ac:dyDescent="0.25">
      <c r="A149" s="2">
        <f t="shared" si="2"/>
        <v>141</v>
      </c>
      <c r="B149" s="2">
        <v>166939</v>
      </c>
      <c r="C149" t="s">
        <v>299</v>
      </c>
      <c r="D149" t="s">
        <v>300</v>
      </c>
      <c r="E149" t="s">
        <v>5</v>
      </c>
      <c r="F149" t="s">
        <v>6</v>
      </c>
      <c r="G149" s="4">
        <v>2241</v>
      </c>
      <c r="H149" s="4">
        <v>789036.745</v>
      </c>
      <c r="I149" s="4">
        <v>794203.69299999997</v>
      </c>
      <c r="J149" s="1">
        <v>-0.65058221782909786</v>
      </c>
      <c r="K149" s="3">
        <v>352091.3632307006</v>
      </c>
      <c r="L149" s="2">
        <v>2</v>
      </c>
      <c r="M149" s="2">
        <v>2</v>
      </c>
    </row>
    <row r="150" spans="1:13" x14ac:dyDescent="0.25">
      <c r="A150" s="2">
        <f t="shared" si="2"/>
        <v>142</v>
      </c>
      <c r="B150" s="2">
        <v>196088</v>
      </c>
      <c r="C150" t="s">
        <v>301</v>
      </c>
      <c r="D150" t="s">
        <v>302</v>
      </c>
      <c r="E150" t="s">
        <v>34</v>
      </c>
      <c r="F150" t="s">
        <v>82</v>
      </c>
      <c r="G150" s="4">
        <v>28413</v>
      </c>
      <c r="H150" s="4">
        <v>788909.96299999999</v>
      </c>
      <c r="I150" s="49">
        <v>797895</v>
      </c>
      <c r="J150" s="50">
        <v>-1.1299999999999999</v>
      </c>
      <c r="K150" s="3">
        <v>27765.810122127194</v>
      </c>
      <c r="L150" s="2">
        <v>2</v>
      </c>
      <c r="M150" s="2">
        <v>4</v>
      </c>
    </row>
    <row r="151" spans="1:13" x14ac:dyDescent="0.25">
      <c r="A151" s="2">
        <f t="shared" si="2"/>
        <v>143</v>
      </c>
      <c r="B151" s="26" t="s">
        <v>1275</v>
      </c>
      <c r="C151" t="s">
        <v>303</v>
      </c>
      <c r="D151" t="s">
        <v>18</v>
      </c>
      <c r="E151" t="s">
        <v>19</v>
      </c>
      <c r="F151" t="s">
        <v>6</v>
      </c>
      <c r="G151" s="23" t="s">
        <v>1275</v>
      </c>
      <c r="H151" s="4">
        <v>784700</v>
      </c>
      <c r="I151" s="4">
        <v>795200</v>
      </c>
      <c r="J151" s="1">
        <v>-1.3204225352112675</v>
      </c>
      <c r="K151" s="24" t="s">
        <v>1275</v>
      </c>
      <c r="L151" s="24" t="s">
        <v>1275</v>
      </c>
      <c r="M151" s="2">
        <v>0</v>
      </c>
    </row>
    <row r="152" spans="1:13" x14ac:dyDescent="0.25">
      <c r="A152" s="2">
        <f t="shared" si="2"/>
        <v>144</v>
      </c>
      <c r="B152" s="2">
        <v>218663</v>
      </c>
      <c r="C152" t="s">
        <v>304</v>
      </c>
      <c r="D152" t="s">
        <v>153</v>
      </c>
      <c r="E152" t="s">
        <v>305</v>
      </c>
      <c r="F152" t="s">
        <v>95</v>
      </c>
      <c r="G152" s="4">
        <v>46470</v>
      </c>
      <c r="H152" s="4">
        <v>782784.16500000004</v>
      </c>
      <c r="I152" s="4">
        <v>788261.17500000005</v>
      </c>
      <c r="J152" s="1">
        <v>-0.6948217384929557</v>
      </c>
      <c r="K152" s="3">
        <v>16844.935765009683</v>
      </c>
      <c r="L152" s="2">
        <v>2</v>
      </c>
      <c r="M152" s="2">
        <v>4</v>
      </c>
    </row>
    <row r="153" spans="1:13" x14ac:dyDescent="0.25">
      <c r="A153" s="2">
        <f t="shared" si="2"/>
        <v>145</v>
      </c>
      <c r="B153" s="2">
        <v>100858</v>
      </c>
      <c r="C153" t="s">
        <v>306</v>
      </c>
      <c r="D153" t="s">
        <v>307</v>
      </c>
      <c r="E153" t="s">
        <v>177</v>
      </c>
      <c r="F153" t="s">
        <v>95</v>
      </c>
      <c r="G153" s="4">
        <v>27512</v>
      </c>
      <c r="H153" s="4">
        <v>780859.946</v>
      </c>
      <c r="I153" s="4">
        <v>792983.22900000005</v>
      </c>
      <c r="J153" s="1">
        <v>-1.528819596259078</v>
      </c>
      <c r="K153" s="3">
        <v>28382.522026751962</v>
      </c>
      <c r="L153" s="2">
        <v>2</v>
      </c>
      <c r="M153" s="2">
        <v>4</v>
      </c>
    </row>
    <row r="154" spans="1:13" x14ac:dyDescent="0.25">
      <c r="A154" s="2">
        <f t="shared" si="2"/>
        <v>146</v>
      </c>
      <c r="B154" s="26" t="s">
        <v>1275</v>
      </c>
      <c r="C154" t="s">
        <v>308</v>
      </c>
      <c r="D154" t="s">
        <v>33</v>
      </c>
      <c r="E154" t="s">
        <v>34</v>
      </c>
      <c r="F154" t="s">
        <v>6</v>
      </c>
      <c r="G154" s="4">
        <v>8879</v>
      </c>
      <c r="H154" s="4">
        <v>779285.33400000003</v>
      </c>
      <c r="I154" s="4">
        <v>768038.82400000002</v>
      </c>
      <c r="J154" s="1">
        <v>1.4643152987276591</v>
      </c>
      <c r="K154" s="3">
        <v>87767.241130757975</v>
      </c>
      <c r="L154" s="24" t="s">
        <v>1275</v>
      </c>
      <c r="M154" s="2">
        <v>0</v>
      </c>
    </row>
    <row r="155" spans="1:13" x14ac:dyDescent="0.25">
      <c r="A155" s="2">
        <f t="shared" si="2"/>
        <v>147</v>
      </c>
      <c r="B155" s="2">
        <v>127060</v>
      </c>
      <c r="C155" t="s">
        <v>309</v>
      </c>
      <c r="D155" t="s">
        <v>163</v>
      </c>
      <c r="E155" t="s">
        <v>164</v>
      </c>
      <c r="F155" t="s">
        <v>6</v>
      </c>
      <c r="G155" s="4">
        <v>10068</v>
      </c>
      <c r="H155" s="4">
        <v>772073.07900000003</v>
      </c>
      <c r="I155" s="4">
        <v>786425.33400000003</v>
      </c>
      <c r="J155" s="1">
        <v>-1.8249990659634574</v>
      </c>
      <c r="K155" s="3">
        <v>76685.844159713946</v>
      </c>
      <c r="L155" s="2">
        <v>2</v>
      </c>
      <c r="M155" s="2">
        <v>4</v>
      </c>
    </row>
    <row r="156" spans="1:13" x14ac:dyDescent="0.25">
      <c r="A156" s="2">
        <f t="shared" si="2"/>
        <v>148</v>
      </c>
      <c r="B156" s="2">
        <v>217882</v>
      </c>
      <c r="C156" t="s">
        <v>310</v>
      </c>
      <c r="D156" t="s">
        <v>311</v>
      </c>
      <c r="E156" t="s">
        <v>305</v>
      </c>
      <c r="F156" t="s">
        <v>82</v>
      </c>
      <c r="G156" s="4">
        <v>23684</v>
      </c>
      <c r="H156" s="4">
        <v>770924.09699999995</v>
      </c>
      <c r="I156" s="4">
        <v>774514.04700000002</v>
      </c>
      <c r="J156" s="1">
        <v>-0.46350999235008061</v>
      </c>
      <c r="K156" s="3">
        <v>32550.417877047796</v>
      </c>
      <c r="L156" s="2">
        <v>2</v>
      </c>
      <c r="M156" s="2">
        <v>4</v>
      </c>
    </row>
    <row r="157" spans="1:13" x14ac:dyDescent="0.25">
      <c r="A157" s="2">
        <f t="shared" si="2"/>
        <v>149</v>
      </c>
      <c r="B157" s="2">
        <v>126678</v>
      </c>
      <c r="C157" t="s">
        <v>312</v>
      </c>
      <c r="D157" t="s">
        <v>313</v>
      </c>
      <c r="E157" t="s">
        <v>164</v>
      </c>
      <c r="F157" t="s">
        <v>6</v>
      </c>
      <c r="G157" s="4">
        <v>2104</v>
      </c>
      <c r="H157" s="4">
        <v>768785.46100000001</v>
      </c>
      <c r="I157" s="4">
        <v>766909.73699999996</v>
      </c>
      <c r="J157" s="1">
        <v>0.24458210784198192</v>
      </c>
      <c r="K157" s="3">
        <v>365392.32937262359</v>
      </c>
      <c r="L157" s="2">
        <v>2</v>
      </c>
      <c r="M157" s="2">
        <v>2</v>
      </c>
    </row>
    <row r="158" spans="1:13" x14ac:dyDescent="0.25">
      <c r="A158" s="2">
        <f t="shared" si="2"/>
        <v>150</v>
      </c>
      <c r="B158" s="2">
        <v>166124</v>
      </c>
      <c r="C158" t="s">
        <v>314</v>
      </c>
      <c r="D158" t="s">
        <v>315</v>
      </c>
      <c r="E158" t="s">
        <v>5</v>
      </c>
      <c r="F158" t="s">
        <v>6</v>
      </c>
      <c r="G158" s="4">
        <v>3174</v>
      </c>
      <c r="H158" s="4">
        <v>767567</v>
      </c>
      <c r="I158" s="4">
        <v>793377</v>
      </c>
      <c r="J158" s="1">
        <v>-3.2531822828239285</v>
      </c>
      <c r="K158" s="3">
        <v>241829.55261499685</v>
      </c>
      <c r="L158" s="2">
        <v>2</v>
      </c>
      <c r="M158" s="2">
        <v>2</v>
      </c>
    </row>
    <row r="159" spans="1:13" x14ac:dyDescent="0.25">
      <c r="A159" s="2">
        <f t="shared" si="2"/>
        <v>151</v>
      </c>
      <c r="B159" s="2">
        <v>194824</v>
      </c>
      <c r="C159" t="s">
        <v>316</v>
      </c>
      <c r="D159" t="s">
        <v>317</v>
      </c>
      <c r="E159" t="s">
        <v>34</v>
      </c>
      <c r="F159" t="s">
        <v>6</v>
      </c>
      <c r="G159" s="4">
        <v>7617</v>
      </c>
      <c r="H159" s="4">
        <v>743164</v>
      </c>
      <c r="I159" s="4">
        <v>739648</v>
      </c>
      <c r="J159" s="1">
        <v>0.47536125292030806</v>
      </c>
      <c r="K159" s="3">
        <v>97566.495995798876</v>
      </c>
      <c r="L159" s="2">
        <v>2</v>
      </c>
      <c r="M159" s="2">
        <v>4</v>
      </c>
    </row>
    <row r="160" spans="1:13" x14ac:dyDescent="0.25">
      <c r="A160" s="2">
        <f t="shared" si="2"/>
        <v>152</v>
      </c>
      <c r="B160" s="2">
        <v>144740</v>
      </c>
      <c r="C160" t="s">
        <v>318</v>
      </c>
      <c r="D160" t="s">
        <v>45</v>
      </c>
      <c r="E160" t="s">
        <v>37</v>
      </c>
      <c r="F160" t="s">
        <v>6</v>
      </c>
      <c r="G160" s="4">
        <v>19470</v>
      </c>
      <c r="H160" s="4">
        <v>737037.24</v>
      </c>
      <c r="I160" s="4">
        <v>696452.19900000002</v>
      </c>
      <c r="J160" s="1">
        <v>5.8273979259845801</v>
      </c>
      <c r="K160" s="3">
        <v>37855.020030816639</v>
      </c>
      <c r="L160" s="2">
        <v>2</v>
      </c>
      <c r="M160" s="2">
        <v>4</v>
      </c>
    </row>
    <row r="161" spans="1:13" x14ac:dyDescent="0.25">
      <c r="A161" s="2">
        <f t="shared" si="2"/>
        <v>153</v>
      </c>
      <c r="B161" s="26" t="s">
        <v>1275</v>
      </c>
      <c r="C161" t="s">
        <v>319</v>
      </c>
      <c r="D161" t="s">
        <v>320</v>
      </c>
      <c r="E161" t="s">
        <v>214</v>
      </c>
      <c r="F161" t="s">
        <v>10</v>
      </c>
      <c r="G161" s="4">
        <v>62748</v>
      </c>
      <c r="H161" s="4">
        <v>727676.90700000001</v>
      </c>
      <c r="I161" s="4">
        <v>756512.89599999995</v>
      </c>
      <c r="J161" s="1">
        <v>-3.8116982740767447</v>
      </c>
      <c r="K161" s="3">
        <v>11596.814352648689</v>
      </c>
      <c r="L161" s="24" t="s">
        <v>1275</v>
      </c>
      <c r="M161" s="2">
        <v>0</v>
      </c>
    </row>
    <row r="162" spans="1:13" x14ac:dyDescent="0.25">
      <c r="A162" s="2">
        <f t="shared" si="2"/>
        <v>154</v>
      </c>
      <c r="B162" s="2">
        <v>131159</v>
      </c>
      <c r="C162" t="s">
        <v>321</v>
      </c>
      <c r="D162" t="s">
        <v>135</v>
      </c>
      <c r="E162" t="s">
        <v>136</v>
      </c>
      <c r="F162" t="s">
        <v>6</v>
      </c>
      <c r="G162" s="4">
        <v>12242</v>
      </c>
      <c r="H162" s="4">
        <v>720374.78599999996</v>
      </c>
      <c r="I162" s="4">
        <v>723368.77099999995</v>
      </c>
      <c r="J162" s="1">
        <v>-0.41389469936074968</v>
      </c>
      <c r="K162" s="3">
        <v>58844.53406306159</v>
      </c>
      <c r="L162" s="2">
        <v>2</v>
      </c>
      <c r="M162" s="2">
        <v>4</v>
      </c>
    </row>
    <row r="163" spans="1:13" ht="17.25" x14ac:dyDescent="0.25">
      <c r="A163" s="2">
        <f t="shared" si="2"/>
        <v>155</v>
      </c>
      <c r="B163" s="2">
        <v>195809</v>
      </c>
      <c r="C163" t="s">
        <v>1330</v>
      </c>
      <c r="D163" t="s">
        <v>322</v>
      </c>
      <c r="E163" t="s">
        <v>34</v>
      </c>
      <c r="F163" t="s">
        <v>6</v>
      </c>
      <c r="G163" s="4">
        <v>16040</v>
      </c>
      <c r="H163" s="4">
        <v>719681</v>
      </c>
      <c r="I163" s="4">
        <v>721454</v>
      </c>
      <c r="J163" s="1">
        <v>-0.24575371402750557</v>
      </c>
      <c r="K163" s="3">
        <v>44867.892768079801</v>
      </c>
      <c r="L163" s="2">
        <v>2</v>
      </c>
      <c r="M163" s="2">
        <v>4</v>
      </c>
    </row>
    <row r="164" spans="1:13" x14ac:dyDescent="0.25">
      <c r="A164" s="2">
        <f t="shared" si="2"/>
        <v>156</v>
      </c>
      <c r="B164" s="2">
        <v>157289</v>
      </c>
      <c r="C164" t="s">
        <v>323</v>
      </c>
      <c r="D164" t="s">
        <v>324</v>
      </c>
      <c r="E164" t="s">
        <v>197</v>
      </c>
      <c r="F164" t="s">
        <v>82</v>
      </c>
      <c r="G164" s="4">
        <v>18537</v>
      </c>
      <c r="H164" s="4">
        <v>715018.42200000002</v>
      </c>
      <c r="I164" s="4">
        <v>719815.96299999999</v>
      </c>
      <c r="J164" s="1">
        <v>-0.66649549976707023</v>
      </c>
      <c r="K164" s="3">
        <v>38572.499433565303</v>
      </c>
      <c r="L164" s="2">
        <v>2</v>
      </c>
      <c r="M164" s="2">
        <v>4</v>
      </c>
    </row>
    <row r="165" spans="1:13" x14ac:dyDescent="0.25">
      <c r="A165" s="2">
        <f t="shared" si="2"/>
        <v>157</v>
      </c>
      <c r="B165" s="2">
        <v>191241</v>
      </c>
      <c r="C165" t="s">
        <v>325</v>
      </c>
      <c r="D165" t="s">
        <v>326</v>
      </c>
      <c r="E165" t="s">
        <v>34</v>
      </c>
      <c r="F165" t="s">
        <v>6</v>
      </c>
      <c r="G165" s="4">
        <v>15400</v>
      </c>
      <c r="H165" s="4">
        <v>712775</v>
      </c>
      <c r="I165" s="4">
        <v>733516</v>
      </c>
      <c r="J165" s="1">
        <v>-2.8276138489139977</v>
      </c>
      <c r="K165" s="3">
        <v>46284.090909090912</v>
      </c>
      <c r="L165" s="2">
        <v>2</v>
      </c>
      <c r="M165" s="2">
        <v>4</v>
      </c>
    </row>
    <row r="166" spans="1:13" x14ac:dyDescent="0.25">
      <c r="A166" s="2">
        <f t="shared" si="2"/>
        <v>158</v>
      </c>
      <c r="B166" s="2">
        <v>131520</v>
      </c>
      <c r="C166" t="s">
        <v>327</v>
      </c>
      <c r="D166" t="s">
        <v>135</v>
      </c>
      <c r="E166" t="s">
        <v>136</v>
      </c>
      <c r="F166" t="s">
        <v>6</v>
      </c>
      <c r="G166" s="4">
        <v>8991</v>
      </c>
      <c r="H166" s="4">
        <v>712409.95200000005</v>
      </c>
      <c r="I166" s="4">
        <v>692832.48600000003</v>
      </c>
      <c r="J166" s="1">
        <v>2.8257142087878369</v>
      </c>
      <c r="K166" s="3">
        <v>79235.897230563904</v>
      </c>
      <c r="L166" s="2">
        <v>1</v>
      </c>
      <c r="M166" s="2">
        <v>4</v>
      </c>
    </row>
    <row r="167" spans="1:13" x14ac:dyDescent="0.25">
      <c r="A167" s="2">
        <f t="shared" si="2"/>
        <v>159</v>
      </c>
      <c r="B167" s="2">
        <v>146719</v>
      </c>
      <c r="C167" t="s">
        <v>328</v>
      </c>
      <c r="D167" t="s">
        <v>45</v>
      </c>
      <c r="E167" t="s">
        <v>37</v>
      </c>
      <c r="F167" t="s">
        <v>6</v>
      </c>
      <c r="G167" s="4">
        <v>16155</v>
      </c>
      <c r="H167" s="4">
        <v>710905</v>
      </c>
      <c r="I167" s="4">
        <v>692166</v>
      </c>
      <c r="J167" s="1">
        <v>2.7072985382119321</v>
      </c>
      <c r="K167" s="3">
        <v>44005.261528938412</v>
      </c>
      <c r="L167" s="2">
        <v>2</v>
      </c>
      <c r="M167" s="2">
        <v>4</v>
      </c>
    </row>
    <row r="168" spans="1:13" x14ac:dyDescent="0.25">
      <c r="A168" s="2">
        <f t="shared" si="2"/>
        <v>160</v>
      </c>
      <c r="B168" s="2">
        <v>134097</v>
      </c>
      <c r="C168" t="s">
        <v>329</v>
      </c>
      <c r="D168" t="s">
        <v>330</v>
      </c>
      <c r="E168" t="s">
        <v>141</v>
      </c>
      <c r="F168" t="s">
        <v>10</v>
      </c>
      <c r="G168" s="4">
        <v>38029</v>
      </c>
      <c r="H168" s="4">
        <v>699912.745</v>
      </c>
      <c r="I168" s="4">
        <v>704105.60900000005</v>
      </c>
      <c r="J168" s="1">
        <v>-0.59548794192321231</v>
      </c>
      <c r="K168" s="3">
        <v>18404.710747061454</v>
      </c>
      <c r="L168" s="2">
        <v>2</v>
      </c>
      <c r="M168" s="2">
        <v>4</v>
      </c>
    </row>
    <row r="169" spans="1:13" x14ac:dyDescent="0.25">
      <c r="A169" s="2">
        <f t="shared" si="2"/>
        <v>161</v>
      </c>
      <c r="B169" s="2">
        <v>173902</v>
      </c>
      <c r="C169" t="s">
        <v>331</v>
      </c>
      <c r="D169" t="s">
        <v>332</v>
      </c>
      <c r="E169" t="s">
        <v>101</v>
      </c>
      <c r="F169" t="s">
        <v>6</v>
      </c>
      <c r="G169" s="4">
        <v>2082</v>
      </c>
      <c r="H169" s="4">
        <v>697240.40899999999</v>
      </c>
      <c r="I169" s="4">
        <v>770781.70299999998</v>
      </c>
      <c r="J169" s="1">
        <v>-9.5411312585348167</v>
      </c>
      <c r="K169" s="3">
        <v>334889.72574447648</v>
      </c>
      <c r="L169" s="2">
        <v>2</v>
      </c>
      <c r="M169" s="2">
        <v>2</v>
      </c>
    </row>
    <row r="170" spans="1:13" x14ac:dyDescent="0.25">
      <c r="A170" s="2">
        <f t="shared" si="2"/>
        <v>162</v>
      </c>
      <c r="B170" s="2">
        <v>148016</v>
      </c>
      <c r="C170" t="s">
        <v>333</v>
      </c>
      <c r="D170" t="s">
        <v>334</v>
      </c>
      <c r="E170" t="s">
        <v>37</v>
      </c>
      <c r="F170" t="s">
        <v>6</v>
      </c>
      <c r="G170" s="4">
        <v>403</v>
      </c>
      <c r="H170" s="4">
        <v>696182.92</v>
      </c>
      <c r="I170" s="4">
        <v>707265.94900000002</v>
      </c>
      <c r="J170" s="1">
        <v>-1.5670242594981763</v>
      </c>
      <c r="K170" s="3">
        <v>1727501.0421836227</v>
      </c>
      <c r="L170" s="2">
        <v>2</v>
      </c>
      <c r="M170" s="2">
        <v>2</v>
      </c>
    </row>
    <row r="171" spans="1:13" x14ac:dyDescent="0.25">
      <c r="A171" s="2">
        <f t="shared" si="2"/>
        <v>163</v>
      </c>
      <c r="B171" s="2">
        <v>239105</v>
      </c>
      <c r="C171" t="s">
        <v>335</v>
      </c>
      <c r="D171" t="s">
        <v>208</v>
      </c>
      <c r="E171" t="s">
        <v>81</v>
      </c>
      <c r="F171" t="s">
        <v>6</v>
      </c>
      <c r="G171" s="4">
        <v>11819</v>
      </c>
      <c r="H171" s="4">
        <v>693730.56499999994</v>
      </c>
      <c r="I171" s="4">
        <v>698021.348</v>
      </c>
      <c r="J171" s="1">
        <v>-0.61470655765674376</v>
      </c>
      <c r="K171" s="3">
        <v>58696.214992808193</v>
      </c>
      <c r="L171" s="2">
        <v>2</v>
      </c>
      <c r="M171" s="2">
        <v>4</v>
      </c>
    </row>
    <row r="172" spans="1:13" x14ac:dyDescent="0.25">
      <c r="A172" s="2">
        <f t="shared" si="2"/>
        <v>164</v>
      </c>
      <c r="B172" s="2">
        <v>150400</v>
      </c>
      <c r="C172" t="s">
        <v>336</v>
      </c>
      <c r="D172" t="s">
        <v>337</v>
      </c>
      <c r="E172" t="s">
        <v>31</v>
      </c>
      <c r="F172" t="s">
        <v>6</v>
      </c>
      <c r="G172" s="4">
        <v>1729</v>
      </c>
      <c r="H172" s="4">
        <v>692896.38100000005</v>
      </c>
      <c r="I172" s="4">
        <v>730340.87800000003</v>
      </c>
      <c r="J172" s="1">
        <v>-5.1269890715332522</v>
      </c>
      <c r="K172" s="3">
        <v>400749.7865818392</v>
      </c>
      <c r="L172" s="2">
        <v>2</v>
      </c>
      <c r="M172" s="2">
        <v>2</v>
      </c>
    </row>
    <row r="173" spans="1:13" x14ac:dyDescent="0.25">
      <c r="A173" s="2">
        <f t="shared" si="2"/>
        <v>165</v>
      </c>
      <c r="B173" s="2">
        <v>176017</v>
      </c>
      <c r="C173" t="s">
        <v>338</v>
      </c>
      <c r="D173" t="s">
        <v>339</v>
      </c>
      <c r="E173" t="s">
        <v>340</v>
      </c>
      <c r="F173" t="s">
        <v>10</v>
      </c>
      <c r="G173" s="4">
        <v>19969</v>
      </c>
      <c r="H173" s="4">
        <v>674153.29</v>
      </c>
      <c r="I173" s="4">
        <v>736287.81200000003</v>
      </c>
      <c r="J173" s="1">
        <v>-8.4388904701847753</v>
      </c>
      <c r="K173" s="3">
        <v>33759.992488356955</v>
      </c>
      <c r="L173" s="2">
        <v>2</v>
      </c>
      <c r="M173" s="2">
        <v>4</v>
      </c>
    </row>
    <row r="174" spans="1:13" x14ac:dyDescent="0.25">
      <c r="A174" s="2">
        <f t="shared" si="2"/>
        <v>166</v>
      </c>
      <c r="B174" s="2">
        <v>218070</v>
      </c>
      <c r="C174" t="s">
        <v>341</v>
      </c>
      <c r="D174" t="s">
        <v>342</v>
      </c>
      <c r="E174" t="s">
        <v>305</v>
      </c>
      <c r="F174" t="s">
        <v>6</v>
      </c>
      <c r="G174" s="4">
        <v>2648</v>
      </c>
      <c r="H174" s="4">
        <v>670014.07700000005</v>
      </c>
      <c r="I174" s="4">
        <v>694271.73600000003</v>
      </c>
      <c r="J174" s="1">
        <v>-3.4939718473574728</v>
      </c>
      <c r="K174" s="3">
        <v>253026.46412386707</v>
      </c>
      <c r="L174" s="2">
        <v>2</v>
      </c>
      <c r="M174" s="2">
        <v>2</v>
      </c>
    </row>
    <row r="175" spans="1:13" x14ac:dyDescent="0.25">
      <c r="A175" s="2">
        <f t="shared" si="2"/>
        <v>167</v>
      </c>
      <c r="B175" s="2">
        <v>216339</v>
      </c>
      <c r="C175" t="s">
        <v>343</v>
      </c>
      <c r="D175" t="s">
        <v>22</v>
      </c>
      <c r="E175" t="s">
        <v>23</v>
      </c>
      <c r="F175" t="s">
        <v>10</v>
      </c>
      <c r="G175" s="4">
        <v>35385</v>
      </c>
      <c r="H175" s="4">
        <v>641053</v>
      </c>
      <c r="I175" s="4">
        <v>644089</v>
      </c>
      <c r="J175" s="1">
        <v>-0.47136342958814698</v>
      </c>
      <c r="K175" s="3">
        <v>18116.518298714145</v>
      </c>
      <c r="L175" s="2">
        <v>2</v>
      </c>
      <c r="M175" s="2">
        <v>4</v>
      </c>
    </row>
    <row r="176" spans="1:13" x14ac:dyDescent="0.25">
      <c r="A176" s="2">
        <f t="shared" si="2"/>
        <v>168</v>
      </c>
      <c r="B176" s="2">
        <v>191649</v>
      </c>
      <c r="C176" t="s">
        <v>344</v>
      </c>
      <c r="D176" t="s">
        <v>345</v>
      </c>
      <c r="E176" t="s">
        <v>34</v>
      </c>
      <c r="F176" t="s">
        <v>6</v>
      </c>
      <c r="G176" s="4">
        <v>9758</v>
      </c>
      <c r="H176" s="4">
        <v>637130.65800000005</v>
      </c>
      <c r="I176" s="4">
        <v>622235.19299999997</v>
      </c>
      <c r="J176" s="1">
        <v>2.3938641156222742</v>
      </c>
      <c r="K176" s="3">
        <v>65293.160278745643</v>
      </c>
      <c r="L176" s="2">
        <v>2</v>
      </c>
      <c r="M176" s="2">
        <v>4</v>
      </c>
    </row>
    <row r="177" spans="1:13" x14ac:dyDescent="0.25">
      <c r="A177" s="2">
        <f t="shared" si="2"/>
        <v>169</v>
      </c>
      <c r="B177" s="2">
        <v>209542</v>
      </c>
      <c r="C177" t="s">
        <v>346</v>
      </c>
      <c r="D177" t="s">
        <v>347</v>
      </c>
      <c r="E177" t="s">
        <v>271</v>
      </c>
      <c r="F177" t="s">
        <v>82</v>
      </c>
      <c r="G177" s="4">
        <v>25316</v>
      </c>
      <c r="H177" s="4">
        <v>628201.04200000002</v>
      </c>
      <c r="I177" s="4">
        <v>622472.58100000001</v>
      </c>
      <c r="J177" s="1">
        <v>0.9202752337777268</v>
      </c>
      <c r="K177" s="3">
        <v>24814.387817980725</v>
      </c>
      <c r="L177" s="2">
        <v>2</v>
      </c>
      <c r="M177" s="2">
        <v>4</v>
      </c>
    </row>
    <row r="178" spans="1:13" x14ac:dyDescent="0.25">
      <c r="A178" s="2">
        <f t="shared" si="2"/>
        <v>170</v>
      </c>
      <c r="B178" s="2">
        <v>197708</v>
      </c>
      <c r="C178" t="s">
        <v>348</v>
      </c>
      <c r="D178" t="s">
        <v>33</v>
      </c>
      <c r="E178" t="s">
        <v>34</v>
      </c>
      <c r="F178" t="s">
        <v>6</v>
      </c>
      <c r="G178" s="4">
        <v>6089</v>
      </c>
      <c r="H178" s="4">
        <v>615143.82400000002</v>
      </c>
      <c r="I178" s="4">
        <v>647863.01699999999</v>
      </c>
      <c r="J178" s="1">
        <v>-5.0503257851497336</v>
      </c>
      <c r="K178" s="3">
        <v>101025.42683527672</v>
      </c>
      <c r="L178" s="2">
        <v>2</v>
      </c>
      <c r="M178" s="2">
        <v>4</v>
      </c>
    </row>
    <row r="179" spans="1:13" x14ac:dyDescent="0.25">
      <c r="A179" s="2">
        <f t="shared" si="2"/>
        <v>171</v>
      </c>
      <c r="B179" s="2">
        <v>240435</v>
      </c>
      <c r="C179" t="s">
        <v>349</v>
      </c>
      <c r="D179" t="s">
        <v>80</v>
      </c>
      <c r="E179" t="s">
        <v>81</v>
      </c>
      <c r="F179" t="s">
        <v>10</v>
      </c>
      <c r="G179" s="4">
        <v>142912</v>
      </c>
      <c r="H179" s="4">
        <v>614239.04</v>
      </c>
      <c r="I179" s="4">
        <v>604171.28</v>
      </c>
      <c r="J179" s="1">
        <v>1.6663751378582576</v>
      </c>
      <c r="K179" s="3">
        <v>4298.0228392297358</v>
      </c>
      <c r="L179" s="2">
        <v>2</v>
      </c>
      <c r="M179" s="2">
        <v>0</v>
      </c>
    </row>
    <row r="180" spans="1:13" x14ac:dyDescent="0.25">
      <c r="A180" s="2">
        <f t="shared" si="2"/>
        <v>172</v>
      </c>
      <c r="B180" s="2">
        <v>238032</v>
      </c>
      <c r="C180" t="s">
        <v>350</v>
      </c>
      <c r="D180" t="s">
        <v>351</v>
      </c>
      <c r="E180" t="s">
        <v>352</v>
      </c>
      <c r="F180" t="s">
        <v>82</v>
      </c>
      <c r="G180" s="4">
        <v>27100</v>
      </c>
      <c r="H180" s="4">
        <v>611335.96799999999</v>
      </c>
      <c r="I180" s="4">
        <v>589835.179</v>
      </c>
      <c r="J180" s="1">
        <v>3.6452198453900628</v>
      </c>
      <c r="K180" s="3">
        <v>22558.522804428045</v>
      </c>
      <c r="L180" s="2">
        <v>2</v>
      </c>
      <c r="M180" s="2">
        <v>4</v>
      </c>
    </row>
    <row r="181" spans="1:13" x14ac:dyDescent="0.25">
      <c r="A181" s="2">
        <f t="shared" si="2"/>
        <v>173</v>
      </c>
      <c r="B181" s="2">
        <v>202480</v>
      </c>
      <c r="C181" t="s">
        <v>353</v>
      </c>
      <c r="D181" t="s">
        <v>354</v>
      </c>
      <c r="E181" t="s">
        <v>69</v>
      </c>
      <c r="F181" t="s">
        <v>6</v>
      </c>
      <c r="G181" s="4">
        <v>10616</v>
      </c>
      <c r="H181" s="4">
        <v>609712</v>
      </c>
      <c r="I181" s="4">
        <v>604176.17000000004</v>
      </c>
      <c r="J181" s="1">
        <v>0.91626089787685605</v>
      </c>
      <c r="K181" s="3">
        <v>57433.308214016579</v>
      </c>
      <c r="L181" s="2">
        <v>2</v>
      </c>
      <c r="M181" s="2">
        <v>4</v>
      </c>
    </row>
    <row r="182" spans="1:13" x14ac:dyDescent="0.25">
      <c r="A182" s="2">
        <f t="shared" si="2"/>
        <v>174</v>
      </c>
      <c r="B182" s="2">
        <v>130590</v>
      </c>
      <c r="C182" t="s">
        <v>355</v>
      </c>
      <c r="D182" t="s">
        <v>356</v>
      </c>
      <c r="E182" t="s">
        <v>13</v>
      </c>
      <c r="F182" t="s">
        <v>6</v>
      </c>
      <c r="G182" s="4">
        <v>2150</v>
      </c>
      <c r="H182" s="4">
        <v>605744.45600000001</v>
      </c>
      <c r="I182" s="4">
        <v>630152.16099999996</v>
      </c>
      <c r="J182" s="1">
        <v>-3.8733033877511369</v>
      </c>
      <c r="K182" s="3">
        <v>281741.60744186048</v>
      </c>
      <c r="L182" s="2">
        <v>2</v>
      </c>
      <c r="M182" s="2">
        <v>2</v>
      </c>
    </row>
    <row r="183" spans="1:13" x14ac:dyDescent="0.25">
      <c r="A183" s="2">
        <f t="shared" si="2"/>
        <v>175</v>
      </c>
      <c r="B183" s="2">
        <v>237057</v>
      </c>
      <c r="C183" t="s">
        <v>357</v>
      </c>
      <c r="D183" t="s">
        <v>358</v>
      </c>
      <c r="E183" t="s">
        <v>85</v>
      </c>
      <c r="F183" t="s">
        <v>6</v>
      </c>
      <c r="G183" s="4">
        <v>1546</v>
      </c>
      <c r="H183" s="4">
        <v>586334.71799999999</v>
      </c>
      <c r="I183" s="4">
        <v>565255.65500000003</v>
      </c>
      <c r="J183" s="1">
        <v>3.7291202332155349</v>
      </c>
      <c r="K183" s="3">
        <v>379259.19663648127</v>
      </c>
      <c r="L183" s="2">
        <v>2</v>
      </c>
      <c r="M183" s="2">
        <v>2</v>
      </c>
    </row>
    <row r="184" spans="1:13" x14ac:dyDescent="0.25">
      <c r="A184" s="11">
        <f t="shared" si="2"/>
        <v>176</v>
      </c>
      <c r="B184" s="27" t="s">
        <v>1275</v>
      </c>
      <c r="C184" s="12" t="s">
        <v>359</v>
      </c>
      <c r="D184" s="12" t="s">
        <v>360</v>
      </c>
      <c r="E184" s="12" t="s">
        <v>129</v>
      </c>
      <c r="F184" s="12" t="s">
        <v>95</v>
      </c>
      <c r="G184" s="13">
        <v>31814</v>
      </c>
      <c r="H184" s="13">
        <v>582652.90698899992</v>
      </c>
      <c r="I184" s="13">
        <v>591486.5946672</v>
      </c>
      <c r="J184" s="14">
        <v>-1.4934721695882698</v>
      </c>
      <c r="K184" s="15">
        <v>18314.355534953163</v>
      </c>
      <c r="L184" s="22" t="s">
        <v>1275</v>
      </c>
      <c r="M184" s="11">
        <v>0</v>
      </c>
    </row>
    <row r="185" spans="1:13" x14ac:dyDescent="0.25">
      <c r="A185" s="2">
        <f t="shared" si="2"/>
        <v>177</v>
      </c>
      <c r="B185" s="2">
        <v>148511</v>
      </c>
      <c r="C185" t="s">
        <v>361</v>
      </c>
      <c r="D185" t="s">
        <v>45</v>
      </c>
      <c r="E185" t="s">
        <v>37</v>
      </c>
      <c r="F185" t="s">
        <v>6</v>
      </c>
      <c r="G185" s="4">
        <v>2755</v>
      </c>
      <c r="H185" s="4">
        <v>581778.11300000001</v>
      </c>
      <c r="I185" s="4">
        <v>620253.17700000003</v>
      </c>
      <c r="J185" s="1">
        <v>-6.2031224388230743</v>
      </c>
      <c r="K185" s="3">
        <v>211171.72885662431</v>
      </c>
      <c r="L185" s="2">
        <v>2</v>
      </c>
      <c r="M185" s="2">
        <v>5</v>
      </c>
    </row>
    <row r="186" spans="1:13" x14ac:dyDescent="0.25">
      <c r="A186" s="2">
        <f t="shared" si="2"/>
        <v>178</v>
      </c>
      <c r="B186" s="2">
        <v>204857</v>
      </c>
      <c r="C186" t="s">
        <v>362</v>
      </c>
      <c r="D186" t="s">
        <v>189</v>
      </c>
      <c r="E186" t="s">
        <v>69</v>
      </c>
      <c r="F186" t="s">
        <v>95</v>
      </c>
      <c r="G186" s="4">
        <v>26309</v>
      </c>
      <c r="H186" s="4">
        <v>579349.84</v>
      </c>
      <c r="I186" s="4">
        <v>580656.63699999999</v>
      </c>
      <c r="J186" s="1">
        <v>-0.22505503540812882</v>
      </c>
      <c r="K186" s="3">
        <v>22020.975331635564</v>
      </c>
      <c r="L186" s="2">
        <v>2</v>
      </c>
      <c r="M186" s="2">
        <v>4</v>
      </c>
    </row>
    <row r="187" spans="1:13" x14ac:dyDescent="0.25">
      <c r="A187" s="2">
        <f t="shared" si="2"/>
        <v>179</v>
      </c>
      <c r="B187" s="2">
        <v>209922</v>
      </c>
      <c r="C187" t="s">
        <v>363</v>
      </c>
      <c r="D187" t="s">
        <v>294</v>
      </c>
      <c r="E187" t="s">
        <v>271</v>
      </c>
      <c r="F187" t="s">
        <v>6</v>
      </c>
      <c r="G187" s="4">
        <v>1440</v>
      </c>
      <c r="H187" s="4">
        <v>569284.46400000004</v>
      </c>
      <c r="I187" s="4">
        <v>579820.39399999997</v>
      </c>
      <c r="J187" s="1">
        <v>-1.8171023491112319</v>
      </c>
      <c r="K187" s="3">
        <v>395336.43333333335</v>
      </c>
      <c r="L187" s="2">
        <v>2</v>
      </c>
      <c r="M187" s="2">
        <v>2</v>
      </c>
    </row>
    <row r="188" spans="1:13" x14ac:dyDescent="0.25">
      <c r="A188" s="2">
        <f t="shared" si="2"/>
        <v>180</v>
      </c>
      <c r="B188" s="2">
        <v>181002</v>
      </c>
      <c r="C188" t="s">
        <v>364</v>
      </c>
      <c r="D188" t="s">
        <v>365</v>
      </c>
      <c r="E188" t="s">
        <v>151</v>
      </c>
      <c r="F188" t="s">
        <v>6</v>
      </c>
      <c r="G188" s="4">
        <v>8192</v>
      </c>
      <c r="H188" s="4">
        <v>565974.52800000005</v>
      </c>
      <c r="I188" s="4">
        <v>587024.34100000001</v>
      </c>
      <c r="J188" s="1">
        <v>-3.5858501138371022</v>
      </c>
      <c r="K188" s="3">
        <v>69088.6875</v>
      </c>
      <c r="L188" s="2">
        <v>2</v>
      </c>
      <c r="M188" s="2">
        <v>4</v>
      </c>
    </row>
    <row r="189" spans="1:13" x14ac:dyDescent="0.25">
      <c r="A189" s="2">
        <f t="shared" si="2"/>
        <v>181</v>
      </c>
      <c r="B189" s="2">
        <v>204024</v>
      </c>
      <c r="C189" t="s">
        <v>366</v>
      </c>
      <c r="D189" t="s">
        <v>367</v>
      </c>
      <c r="E189" t="s">
        <v>69</v>
      </c>
      <c r="F189" t="s">
        <v>10</v>
      </c>
      <c r="G189" s="4">
        <v>22094</v>
      </c>
      <c r="H189" s="4">
        <v>558401.679</v>
      </c>
      <c r="I189" s="4">
        <v>560964.63500000001</v>
      </c>
      <c r="J189" s="1">
        <v>-0.45688370355111602</v>
      </c>
      <c r="K189" s="3">
        <v>25273.905992577169</v>
      </c>
      <c r="L189" s="2">
        <v>2</v>
      </c>
      <c r="M189" s="2">
        <v>4</v>
      </c>
    </row>
    <row r="190" spans="1:13" x14ac:dyDescent="0.25">
      <c r="A190" s="2">
        <f t="shared" si="2"/>
        <v>182</v>
      </c>
      <c r="B190" s="2">
        <v>240727</v>
      </c>
      <c r="C190" t="s">
        <v>368</v>
      </c>
      <c r="D190" t="s">
        <v>369</v>
      </c>
      <c r="E190" t="s">
        <v>370</v>
      </c>
      <c r="F190" t="s">
        <v>82</v>
      </c>
      <c r="G190" s="4">
        <v>10688</v>
      </c>
      <c r="H190" s="4">
        <v>554948.97699999996</v>
      </c>
      <c r="I190" s="4">
        <v>515121.386</v>
      </c>
      <c r="J190" s="1">
        <v>7.7316904485887532</v>
      </c>
      <c r="K190" s="3">
        <v>51922.621351047907</v>
      </c>
      <c r="L190" s="2">
        <v>2</v>
      </c>
      <c r="M190" s="2">
        <v>4</v>
      </c>
    </row>
    <row r="191" spans="1:13" x14ac:dyDescent="0.25">
      <c r="A191" s="2">
        <f t="shared" si="2"/>
        <v>183</v>
      </c>
      <c r="B191" s="26" t="s">
        <v>1275</v>
      </c>
      <c r="C191" t="s">
        <v>371</v>
      </c>
      <c r="D191" t="s">
        <v>135</v>
      </c>
      <c r="E191" t="s">
        <v>136</v>
      </c>
      <c r="F191" t="s">
        <v>372</v>
      </c>
      <c r="G191" s="23" t="s">
        <v>1275</v>
      </c>
      <c r="H191" s="4">
        <v>553950.69700000004</v>
      </c>
      <c r="I191" s="4">
        <v>554127.054</v>
      </c>
      <c r="J191" s="1">
        <v>-3.1826094525967692E-2</v>
      </c>
      <c r="K191" s="24" t="s">
        <v>1275</v>
      </c>
      <c r="L191" s="24" t="s">
        <v>1275</v>
      </c>
      <c r="M191" s="2">
        <v>0</v>
      </c>
    </row>
    <row r="192" spans="1:13" x14ac:dyDescent="0.25">
      <c r="A192" s="2">
        <f t="shared" si="2"/>
        <v>184</v>
      </c>
      <c r="B192" s="2">
        <v>130226</v>
      </c>
      <c r="C192" t="s">
        <v>373</v>
      </c>
      <c r="D192" t="s">
        <v>374</v>
      </c>
      <c r="E192" t="s">
        <v>13</v>
      </c>
      <c r="F192" t="s">
        <v>6</v>
      </c>
      <c r="G192" s="4">
        <v>8701</v>
      </c>
      <c r="H192" s="4">
        <v>545134.31599999999</v>
      </c>
      <c r="I192" s="4">
        <v>556603.87</v>
      </c>
      <c r="J192" s="1">
        <v>-2.0606313786499544</v>
      </c>
      <c r="K192" s="3">
        <v>62651.915412021604</v>
      </c>
      <c r="L192" s="2">
        <v>2</v>
      </c>
      <c r="M192" s="2">
        <v>4</v>
      </c>
    </row>
    <row r="193" spans="1:13" x14ac:dyDescent="0.25">
      <c r="A193" s="2">
        <f t="shared" si="2"/>
        <v>185</v>
      </c>
      <c r="B193" s="2">
        <v>234085</v>
      </c>
      <c r="C193" t="s">
        <v>375</v>
      </c>
      <c r="D193" t="s">
        <v>161</v>
      </c>
      <c r="E193" t="s">
        <v>51</v>
      </c>
      <c r="F193" t="s">
        <v>82</v>
      </c>
      <c r="G193" s="4">
        <v>1705</v>
      </c>
      <c r="H193" s="4">
        <v>539642.64399999997</v>
      </c>
      <c r="I193" s="4">
        <v>530771.00600000005</v>
      </c>
      <c r="J193" s="1">
        <v>1.6714624385492527</v>
      </c>
      <c r="K193" s="3">
        <v>316505.94956011733</v>
      </c>
      <c r="L193" s="2">
        <v>2</v>
      </c>
      <c r="M193" s="2">
        <v>2</v>
      </c>
    </row>
    <row r="194" spans="1:13" x14ac:dyDescent="0.25">
      <c r="A194" s="2">
        <f t="shared" si="2"/>
        <v>186</v>
      </c>
      <c r="B194" s="26" t="s">
        <v>1275</v>
      </c>
      <c r="C194" t="s">
        <v>376</v>
      </c>
      <c r="D194" t="s">
        <v>33</v>
      </c>
      <c r="E194" t="s">
        <v>34</v>
      </c>
      <c r="F194" t="s">
        <v>6</v>
      </c>
      <c r="G194" s="4">
        <v>8109</v>
      </c>
      <c r="H194" s="4">
        <v>533738.77899999998</v>
      </c>
      <c r="I194" s="4">
        <v>543357.66500000004</v>
      </c>
      <c r="J194" s="1">
        <v>-1.7702678400607452</v>
      </c>
      <c r="K194" s="3">
        <v>65820.542483660131</v>
      </c>
      <c r="L194" s="24" t="s">
        <v>1275</v>
      </c>
      <c r="M194" s="2">
        <v>0</v>
      </c>
    </row>
    <row r="195" spans="1:13" x14ac:dyDescent="0.25">
      <c r="A195" s="2">
        <f t="shared" si="2"/>
        <v>187</v>
      </c>
      <c r="B195" s="2">
        <v>122436</v>
      </c>
      <c r="C195" t="s">
        <v>377</v>
      </c>
      <c r="D195" t="s">
        <v>378</v>
      </c>
      <c r="E195" t="s">
        <v>16</v>
      </c>
      <c r="F195" t="s">
        <v>6</v>
      </c>
      <c r="G195" s="4">
        <v>8415</v>
      </c>
      <c r="H195" s="4">
        <v>532239.47499999998</v>
      </c>
      <c r="I195" s="4">
        <v>545551.67099999997</v>
      </c>
      <c r="J195" s="1">
        <v>-2.4401347677294529</v>
      </c>
      <c r="K195" s="3">
        <v>63248.897801544859</v>
      </c>
      <c r="L195" s="2">
        <v>2</v>
      </c>
      <c r="M195" s="2">
        <v>4</v>
      </c>
    </row>
    <row r="196" spans="1:13" x14ac:dyDescent="0.25">
      <c r="A196" s="2">
        <f t="shared" si="2"/>
        <v>188</v>
      </c>
      <c r="B196" s="2">
        <v>137351</v>
      </c>
      <c r="C196" t="s">
        <v>379</v>
      </c>
      <c r="D196" t="s">
        <v>380</v>
      </c>
      <c r="E196" t="s">
        <v>141</v>
      </c>
      <c r="F196" t="s">
        <v>82</v>
      </c>
      <c r="G196" s="4">
        <v>41073</v>
      </c>
      <c r="H196" s="4">
        <v>532155.86300000001</v>
      </c>
      <c r="I196" s="4">
        <v>513544.652</v>
      </c>
      <c r="J196" s="1">
        <v>3.6240687012353501</v>
      </c>
      <c r="K196" s="3">
        <v>12956.342682540842</v>
      </c>
      <c r="L196" s="2">
        <v>2</v>
      </c>
      <c r="M196" s="2">
        <v>4</v>
      </c>
    </row>
    <row r="197" spans="1:13" x14ac:dyDescent="0.25">
      <c r="A197" s="2">
        <f t="shared" si="2"/>
        <v>189</v>
      </c>
      <c r="B197" s="2">
        <v>174844</v>
      </c>
      <c r="C197" t="s">
        <v>381</v>
      </c>
      <c r="D197" t="s">
        <v>286</v>
      </c>
      <c r="E197" t="s">
        <v>101</v>
      </c>
      <c r="F197" t="s">
        <v>6</v>
      </c>
      <c r="G197" s="4">
        <v>3054</v>
      </c>
      <c r="H197" s="4">
        <v>527239.25300000003</v>
      </c>
      <c r="I197" s="4">
        <v>544840.47100000002</v>
      </c>
      <c r="J197" s="1">
        <v>-3.2305269040852873</v>
      </c>
      <c r="K197" s="3">
        <v>172638.91715782581</v>
      </c>
      <c r="L197" s="2">
        <v>2</v>
      </c>
      <c r="M197" s="2">
        <v>2</v>
      </c>
    </row>
    <row r="198" spans="1:13" x14ac:dyDescent="0.25">
      <c r="A198" s="2">
        <f t="shared" si="2"/>
        <v>190</v>
      </c>
      <c r="B198" s="2">
        <v>155399</v>
      </c>
      <c r="C198" t="s">
        <v>382</v>
      </c>
      <c r="D198" t="s">
        <v>383</v>
      </c>
      <c r="E198" t="s">
        <v>144</v>
      </c>
      <c r="F198" t="s">
        <v>82</v>
      </c>
      <c r="G198" s="23" t="s">
        <v>1275</v>
      </c>
      <c r="H198" s="4">
        <v>524200</v>
      </c>
      <c r="I198" s="4">
        <v>510300</v>
      </c>
      <c r="J198" s="1">
        <v>2.7238879090730945</v>
      </c>
      <c r="K198" s="23" t="s">
        <v>1275</v>
      </c>
      <c r="L198" s="2">
        <v>2</v>
      </c>
      <c r="M198" s="2">
        <v>4</v>
      </c>
    </row>
    <row r="199" spans="1:13" x14ac:dyDescent="0.25">
      <c r="A199" s="2">
        <f t="shared" si="2"/>
        <v>191</v>
      </c>
      <c r="B199" s="26" t="s">
        <v>1275</v>
      </c>
      <c r="C199" t="s">
        <v>384</v>
      </c>
      <c r="D199" t="s">
        <v>4</v>
      </c>
      <c r="E199" t="s">
        <v>5</v>
      </c>
      <c r="F199" t="s">
        <v>372</v>
      </c>
      <c r="G199" s="23" t="s">
        <v>1275</v>
      </c>
      <c r="H199" s="4">
        <v>521317.09600000002</v>
      </c>
      <c r="I199" s="4">
        <v>527896.16</v>
      </c>
      <c r="J199" s="1">
        <v>-1.2462799502083894</v>
      </c>
      <c r="K199" s="23" t="s">
        <v>1275</v>
      </c>
      <c r="L199" s="24" t="s">
        <v>1275</v>
      </c>
      <c r="M199" s="2">
        <v>0</v>
      </c>
    </row>
    <row r="200" spans="1:13" x14ac:dyDescent="0.25">
      <c r="A200" s="2">
        <f t="shared" si="2"/>
        <v>192</v>
      </c>
      <c r="B200" s="2">
        <v>176080</v>
      </c>
      <c r="C200" t="s">
        <v>385</v>
      </c>
      <c r="D200" t="s">
        <v>386</v>
      </c>
      <c r="E200" t="s">
        <v>340</v>
      </c>
      <c r="F200" t="s">
        <v>10</v>
      </c>
      <c r="G200" s="4">
        <v>20476.900000000001</v>
      </c>
      <c r="H200" s="4">
        <v>520549</v>
      </c>
      <c r="I200" s="4">
        <v>528679</v>
      </c>
      <c r="J200" s="1">
        <v>-1.5377951460148787</v>
      </c>
      <c r="K200" s="3">
        <v>25421.279588218917</v>
      </c>
      <c r="L200" s="2">
        <v>2</v>
      </c>
      <c r="M200" s="2">
        <v>4</v>
      </c>
    </row>
    <row r="201" spans="1:13" x14ac:dyDescent="0.25">
      <c r="A201" s="2">
        <f t="shared" ref="A201:A264" si="3">RANK(H201,H$9:H$725,0)</f>
        <v>193</v>
      </c>
      <c r="B201" s="26" t="s">
        <v>1275</v>
      </c>
      <c r="C201" t="s">
        <v>387</v>
      </c>
      <c r="D201" t="s">
        <v>107</v>
      </c>
      <c r="E201" t="s">
        <v>51</v>
      </c>
      <c r="F201" t="s">
        <v>82</v>
      </c>
      <c r="G201" s="4">
        <v>26742</v>
      </c>
      <c r="H201" s="4">
        <v>514488</v>
      </c>
      <c r="I201" s="4">
        <v>496005</v>
      </c>
      <c r="J201" s="1">
        <v>3.7263737260713095</v>
      </c>
      <c r="K201" s="3">
        <v>19238.949966345077</v>
      </c>
      <c r="L201" s="24" t="s">
        <v>1275</v>
      </c>
      <c r="M201" s="2">
        <v>0</v>
      </c>
    </row>
    <row r="202" spans="1:13" x14ac:dyDescent="0.25">
      <c r="A202" s="2">
        <f t="shared" si="3"/>
        <v>194</v>
      </c>
      <c r="B202" s="2">
        <v>212911</v>
      </c>
      <c r="C202" t="s">
        <v>388</v>
      </c>
      <c r="D202" t="s">
        <v>389</v>
      </c>
      <c r="E202" t="s">
        <v>23</v>
      </c>
      <c r="F202" t="s">
        <v>6</v>
      </c>
      <c r="G202" s="4">
        <v>1315</v>
      </c>
      <c r="H202" s="4">
        <v>510740</v>
      </c>
      <c r="I202" s="4">
        <v>535011</v>
      </c>
      <c r="J202" s="1">
        <v>-4.536542239318444</v>
      </c>
      <c r="K202" s="3">
        <v>388395.43726235739</v>
      </c>
      <c r="L202" s="2">
        <v>2</v>
      </c>
      <c r="M202" s="2">
        <v>2</v>
      </c>
    </row>
    <row r="203" spans="1:13" x14ac:dyDescent="0.25">
      <c r="A203" s="2">
        <f t="shared" si="3"/>
        <v>195</v>
      </c>
      <c r="B203" s="2">
        <v>168421</v>
      </c>
      <c r="C203" t="s">
        <v>390</v>
      </c>
      <c r="D203" t="s">
        <v>315</v>
      </c>
      <c r="E203" t="s">
        <v>5</v>
      </c>
      <c r="F203" t="s">
        <v>6</v>
      </c>
      <c r="G203" s="4">
        <v>6122</v>
      </c>
      <c r="H203" s="4">
        <v>505506</v>
      </c>
      <c r="I203" s="4">
        <v>528287</v>
      </c>
      <c r="J203" s="1">
        <v>-4.3122393698879584</v>
      </c>
      <c r="K203" s="3">
        <v>82572.035282587385</v>
      </c>
      <c r="L203" s="2">
        <v>2</v>
      </c>
      <c r="M203" s="2">
        <v>4</v>
      </c>
    </row>
    <row r="204" spans="1:13" x14ac:dyDescent="0.25">
      <c r="A204" s="2">
        <f t="shared" si="3"/>
        <v>196</v>
      </c>
      <c r="B204" s="2">
        <v>149781</v>
      </c>
      <c r="C204" t="s">
        <v>391</v>
      </c>
      <c r="D204" t="s">
        <v>392</v>
      </c>
      <c r="E204" t="s">
        <v>37</v>
      </c>
      <c r="F204" t="s">
        <v>6</v>
      </c>
      <c r="G204" s="4">
        <v>2724</v>
      </c>
      <c r="H204" s="4">
        <v>502044</v>
      </c>
      <c r="I204" s="4">
        <v>503366</v>
      </c>
      <c r="J204" s="1">
        <v>-0.26263196163427804</v>
      </c>
      <c r="K204" s="3">
        <v>184303.96475770924</v>
      </c>
      <c r="L204" s="2">
        <v>2</v>
      </c>
      <c r="M204" s="2">
        <v>2</v>
      </c>
    </row>
    <row r="205" spans="1:13" x14ac:dyDescent="0.25">
      <c r="A205" s="2">
        <f t="shared" si="3"/>
        <v>197</v>
      </c>
      <c r="B205" s="2">
        <v>164580</v>
      </c>
      <c r="C205" t="s">
        <v>393</v>
      </c>
      <c r="D205" t="s">
        <v>113</v>
      </c>
      <c r="E205" t="s">
        <v>5</v>
      </c>
      <c r="F205" t="s">
        <v>6</v>
      </c>
      <c r="G205" s="4">
        <v>2985</v>
      </c>
      <c r="H205" s="4">
        <v>488073.9</v>
      </c>
      <c r="I205" s="4">
        <v>457669.8</v>
      </c>
      <c r="J205" s="1">
        <v>6.6432392961038724</v>
      </c>
      <c r="K205" s="3">
        <v>163508.84422110554</v>
      </c>
      <c r="L205" s="2">
        <v>2</v>
      </c>
      <c r="M205" s="2">
        <v>5</v>
      </c>
    </row>
    <row r="206" spans="1:13" x14ac:dyDescent="0.25">
      <c r="A206" s="11">
        <f t="shared" si="3"/>
        <v>198</v>
      </c>
      <c r="B206" s="27" t="s">
        <v>1275</v>
      </c>
      <c r="C206" s="12" t="s">
        <v>394</v>
      </c>
      <c r="D206" s="12" t="s">
        <v>395</v>
      </c>
      <c r="E206" s="12" t="s">
        <v>396</v>
      </c>
      <c r="F206" s="12" t="s">
        <v>10</v>
      </c>
      <c r="G206" s="13">
        <v>17983</v>
      </c>
      <c r="H206" s="13">
        <v>486633.41219999996</v>
      </c>
      <c r="I206" s="13">
        <v>507427.34850000002</v>
      </c>
      <c r="J206" s="14">
        <v>-4.0979139893560568</v>
      </c>
      <c r="K206" s="15">
        <v>27060.746938775508</v>
      </c>
      <c r="L206" s="25" t="s">
        <v>1275</v>
      </c>
      <c r="M206" s="11">
        <v>0</v>
      </c>
    </row>
    <row r="207" spans="1:13" x14ac:dyDescent="0.25">
      <c r="A207" s="2">
        <f t="shared" si="3"/>
        <v>199</v>
      </c>
      <c r="B207" s="2">
        <v>110644</v>
      </c>
      <c r="C207" t="s">
        <v>397</v>
      </c>
      <c r="D207" t="s">
        <v>398</v>
      </c>
      <c r="E207" t="s">
        <v>16</v>
      </c>
      <c r="F207" t="s">
        <v>82</v>
      </c>
      <c r="G207" s="4">
        <v>37039</v>
      </c>
      <c r="H207" s="4">
        <v>483940.91399999999</v>
      </c>
      <c r="I207" s="4">
        <v>477554.82799999998</v>
      </c>
      <c r="J207" s="1">
        <v>1.3372466627015234</v>
      </c>
      <c r="K207" s="3">
        <v>13065.712195253651</v>
      </c>
      <c r="L207" s="2">
        <v>2</v>
      </c>
      <c r="M207" s="2">
        <v>4</v>
      </c>
    </row>
    <row r="208" spans="1:13" x14ac:dyDescent="0.25">
      <c r="A208" s="2">
        <f t="shared" si="3"/>
        <v>200</v>
      </c>
      <c r="B208" s="2">
        <v>117946</v>
      </c>
      <c r="C208" t="s">
        <v>399</v>
      </c>
      <c r="D208" t="s">
        <v>66</v>
      </c>
      <c r="E208" t="s">
        <v>16</v>
      </c>
      <c r="F208" t="s">
        <v>6</v>
      </c>
      <c r="G208" s="4">
        <v>9349</v>
      </c>
      <c r="H208" s="4">
        <v>482817</v>
      </c>
      <c r="I208" s="4">
        <v>488706</v>
      </c>
      <c r="J208" s="1">
        <v>-1.2050189684595647</v>
      </c>
      <c r="K208" s="3">
        <v>51643.705209113272</v>
      </c>
      <c r="L208" s="2">
        <v>2</v>
      </c>
      <c r="M208" s="2">
        <v>4</v>
      </c>
    </row>
    <row r="209" spans="1:13" x14ac:dyDescent="0.25">
      <c r="A209" s="2">
        <f t="shared" si="3"/>
        <v>201</v>
      </c>
      <c r="B209" s="2">
        <v>178697</v>
      </c>
      <c r="C209" t="s">
        <v>400</v>
      </c>
      <c r="D209" t="s">
        <v>401</v>
      </c>
      <c r="E209" t="s">
        <v>43</v>
      </c>
      <c r="F209" t="s">
        <v>6</v>
      </c>
      <c r="G209" s="4">
        <v>1480</v>
      </c>
      <c r="H209" s="4">
        <v>480520.34399999998</v>
      </c>
      <c r="I209" s="4">
        <v>476624.24099999998</v>
      </c>
      <c r="J209" s="1">
        <v>0.81743702163063081</v>
      </c>
      <c r="K209" s="3">
        <v>324675.90810810809</v>
      </c>
      <c r="L209" s="2">
        <v>2</v>
      </c>
      <c r="M209" s="2">
        <v>2</v>
      </c>
    </row>
    <row r="210" spans="1:13" x14ac:dyDescent="0.25">
      <c r="A210" s="2">
        <f t="shared" si="3"/>
        <v>202</v>
      </c>
      <c r="B210" s="2">
        <v>129020</v>
      </c>
      <c r="C210" t="s">
        <v>402</v>
      </c>
      <c r="D210" t="s">
        <v>403</v>
      </c>
      <c r="E210" t="s">
        <v>13</v>
      </c>
      <c r="F210" t="s">
        <v>10</v>
      </c>
      <c r="G210" s="4">
        <v>28966</v>
      </c>
      <c r="H210" s="4">
        <v>476181</v>
      </c>
      <c r="I210" s="4">
        <v>462375</v>
      </c>
      <c r="J210" s="1">
        <v>2.9858880778588808</v>
      </c>
      <c r="K210" s="3">
        <v>16439.308154387902</v>
      </c>
      <c r="L210" s="2">
        <v>2</v>
      </c>
      <c r="M210" s="2">
        <v>4</v>
      </c>
    </row>
    <row r="211" spans="1:13" x14ac:dyDescent="0.25">
      <c r="A211" s="2">
        <f t="shared" si="3"/>
        <v>203</v>
      </c>
      <c r="B211" s="2">
        <v>196866</v>
      </c>
      <c r="C211" t="s">
        <v>404</v>
      </c>
      <c r="D211" t="s">
        <v>405</v>
      </c>
      <c r="E211" t="s">
        <v>34</v>
      </c>
      <c r="F211" t="s">
        <v>6</v>
      </c>
      <c r="G211" s="4">
        <v>2179</v>
      </c>
      <c r="H211" s="4">
        <v>474537.54700000002</v>
      </c>
      <c r="I211" s="4">
        <v>466371.96399999998</v>
      </c>
      <c r="J211" s="1">
        <v>1.7508734723170452</v>
      </c>
      <c r="K211" s="3">
        <v>217777.67186782928</v>
      </c>
      <c r="L211" s="2">
        <v>2</v>
      </c>
      <c r="M211" s="2">
        <v>2</v>
      </c>
    </row>
    <row r="212" spans="1:13" x14ac:dyDescent="0.25">
      <c r="A212" s="2">
        <f t="shared" si="3"/>
        <v>204</v>
      </c>
      <c r="B212" s="2">
        <v>212106</v>
      </c>
      <c r="C212" t="s">
        <v>406</v>
      </c>
      <c r="D212" t="s">
        <v>74</v>
      </c>
      <c r="E212" t="s">
        <v>23</v>
      </c>
      <c r="F212" t="s">
        <v>6</v>
      </c>
      <c r="G212" s="4">
        <v>8892</v>
      </c>
      <c r="H212" s="4">
        <v>472072.359</v>
      </c>
      <c r="I212" s="4">
        <v>488350.76699999999</v>
      </c>
      <c r="J212" s="1">
        <v>-3.3333433875819019</v>
      </c>
      <c r="K212" s="3">
        <v>53089.55904183536</v>
      </c>
      <c r="L212" s="2">
        <v>2</v>
      </c>
      <c r="M212" s="2">
        <v>4</v>
      </c>
    </row>
    <row r="213" spans="1:13" ht="17.25" x14ac:dyDescent="0.25">
      <c r="A213" s="2">
        <f t="shared" si="3"/>
        <v>205</v>
      </c>
      <c r="B213" s="2">
        <v>222178</v>
      </c>
      <c r="C213" t="s">
        <v>1331</v>
      </c>
      <c r="D213" t="s">
        <v>407</v>
      </c>
      <c r="E213" t="s">
        <v>9</v>
      </c>
      <c r="F213" t="s">
        <v>6</v>
      </c>
      <c r="G213" s="4">
        <v>4701</v>
      </c>
      <c r="H213" s="4">
        <v>456266.07500000001</v>
      </c>
      <c r="I213" s="4">
        <v>451731.25099999999</v>
      </c>
      <c r="J213" s="1">
        <v>1.0038765283476037</v>
      </c>
      <c r="K213" s="3">
        <v>97057.237821740055</v>
      </c>
      <c r="L213" s="2">
        <v>2</v>
      </c>
      <c r="M213" s="2">
        <v>3</v>
      </c>
    </row>
    <row r="214" spans="1:13" x14ac:dyDescent="0.25">
      <c r="A214" s="2">
        <f t="shared" si="3"/>
        <v>206</v>
      </c>
      <c r="B214" s="2">
        <v>212009</v>
      </c>
      <c r="C214" t="s">
        <v>408</v>
      </c>
      <c r="D214" t="s">
        <v>409</v>
      </c>
      <c r="E214" t="s">
        <v>23</v>
      </c>
      <c r="F214" t="s">
        <v>6</v>
      </c>
      <c r="G214" s="4">
        <v>2119</v>
      </c>
      <c r="H214" s="4">
        <v>452877.13099999999</v>
      </c>
      <c r="I214" s="4">
        <v>455442.348</v>
      </c>
      <c r="J214" s="1">
        <v>-0.5632363813476563</v>
      </c>
      <c r="K214" s="3">
        <v>213722.10051911278</v>
      </c>
      <c r="L214" s="2">
        <v>2</v>
      </c>
      <c r="M214" s="2">
        <v>2</v>
      </c>
    </row>
    <row r="215" spans="1:13" x14ac:dyDescent="0.25">
      <c r="A215" s="2">
        <f t="shared" si="3"/>
        <v>207</v>
      </c>
      <c r="B215" s="2">
        <v>120883</v>
      </c>
      <c r="C215" t="s">
        <v>410</v>
      </c>
      <c r="D215" t="s">
        <v>411</v>
      </c>
      <c r="E215" t="s">
        <v>16</v>
      </c>
      <c r="F215" t="s">
        <v>6</v>
      </c>
      <c r="G215" s="4">
        <v>5933.7</v>
      </c>
      <c r="H215" s="4">
        <v>446356.80200000003</v>
      </c>
      <c r="I215" s="4">
        <v>463312.94199999998</v>
      </c>
      <c r="J215" s="1">
        <v>-3.6597596274355748</v>
      </c>
      <c r="K215" s="3">
        <v>75224.02581862919</v>
      </c>
      <c r="L215" s="2">
        <v>2</v>
      </c>
      <c r="M215" s="2">
        <v>4</v>
      </c>
    </row>
    <row r="216" spans="1:13" x14ac:dyDescent="0.25">
      <c r="A216" s="2">
        <f t="shared" si="3"/>
        <v>208</v>
      </c>
      <c r="B216" s="2">
        <v>187985</v>
      </c>
      <c r="C216" t="s">
        <v>412</v>
      </c>
      <c r="D216" t="s">
        <v>413</v>
      </c>
      <c r="E216" t="s">
        <v>414</v>
      </c>
      <c r="F216" t="s">
        <v>95</v>
      </c>
      <c r="G216" s="4">
        <v>18833</v>
      </c>
      <c r="H216" s="4">
        <v>442483.17</v>
      </c>
      <c r="I216" s="4">
        <v>457313.10800000001</v>
      </c>
      <c r="J216" s="1">
        <v>-3.2428412264098059</v>
      </c>
      <c r="K216" s="3">
        <v>23495.097435352836</v>
      </c>
      <c r="L216" s="2">
        <v>2</v>
      </c>
      <c r="M216" s="2">
        <v>4</v>
      </c>
    </row>
    <row r="217" spans="1:13" x14ac:dyDescent="0.25">
      <c r="A217" s="2">
        <f t="shared" si="3"/>
        <v>209</v>
      </c>
      <c r="B217" s="2">
        <v>120254</v>
      </c>
      <c r="C217" t="s">
        <v>415</v>
      </c>
      <c r="D217" t="s">
        <v>66</v>
      </c>
      <c r="E217" t="s">
        <v>16</v>
      </c>
      <c r="F217" t="s">
        <v>6</v>
      </c>
      <c r="G217" s="4">
        <v>2066</v>
      </c>
      <c r="H217" s="4">
        <v>439089.40899999999</v>
      </c>
      <c r="I217" s="4">
        <v>448094.636</v>
      </c>
      <c r="J217" s="1">
        <v>-2.009670787489632</v>
      </c>
      <c r="K217" s="3">
        <v>212531.1757018393</v>
      </c>
      <c r="L217" s="2">
        <v>2</v>
      </c>
      <c r="M217" s="2">
        <v>2</v>
      </c>
    </row>
    <row r="218" spans="1:13" x14ac:dyDescent="0.25">
      <c r="A218" s="2">
        <f t="shared" si="3"/>
        <v>210</v>
      </c>
      <c r="B218" s="2">
        <v>206084</v>
      </c>
      <c r="C218" t="s">
        <v>416</v>
      </c>
      <c r="D218" t="s">
        <v>417</v>
      </c>
      <c r="E218" t="s">
        <v>69</v>
      </c>
      <c r="F218" t="s">
        <v>82</v>
      </c>
      <c r="G218" s="4">
        <v>16970</v>
      </c>
      <c r="H218" s="4">
        <v>433659.25300000003</v>
      </c>
      <c r="I218" s="4">
        <v>454113.92499999999</v>
      </c>
      <c r="J218" s="1">
        <v>-4.5043040686321163</v>
      </c>
      <c r="K218" s="3">
        <v>25554.463936358279</v>
      </c>
      <c r="L218" s="2">
        <v>2</v>
      </c>
      <c r="M218" s="2">
        <v>4</v>
      </c>
    </row>
    <row r="219" spans="1:13" x14ac:dyDescent="0.25">
      <c r="A219" s="2">
        <f t="shared" si="3"/>
        <v>211</v>
      </c>
      <c r="B219" s="2">
        <v>122612</v>
      </c>
      <c r="C219" t="s">
        <v>418</v>
      </c>
      <c r="D219" t="s">
        <v>125</v>
      </c>
      <c r="E219" t="s">
        <v>16</v>
      </c>
      <c r="F219" t="s">
        <v>6</v>
      </c>
      <c r="G219" s="4">
        <v>10298</v>
      </c>
      <c r="H219" s="4">
        <v>430100.76299999998</v>
      </c>
      <c r="I219" s="4">
        <v>399473.65100000001</v>
      </c>
      <c r="J219" s="1">
        <v>7.6668666189450381</v>
      </c>
      <c r="K219" s="3">
        <v>41765.465430180615</v>
      </c>
      <c r="L219" s="2">
        <v>2</v>
      </c>
      <c r="M219" s="2">
        <v>4</v>
      </c>
    </row>
    <row r="220" spans="1:13" x14ac:dyDescent="0.25">
      <c r="A220" s="2">
        <f t="shared" si="3"/>
        <v>212</v>
      </c>
      <c r="B220" s="2">
        <v>230728</v>
      </c>
      <c r="C220" t="s">
        <v>419</v>
      </c>
      <c r="D220" t="s">
        <v>420</v>
      </c>
      <c r="E220" t="s">
        <v>237</v>
      </c>
      <c r="F220" t="s">
        <v>10</v>
      </c>
      <c r="G220" s="4">
        <v>22065</v>
      </c>
      <c r="H220" s="4">
        <v>427442.34399999998</v>
      </c>
      <c r="I220" s="4">
        <v>402862.47499999998</v>
      </c>
      <c r="J220" s="1">
        <v>6.101305166235699</v>
      </c>
      <c r="K220" s="3">
        <v>19371.96211194199</v>
      </c>
      <c r="L220" s="2">
        <v>2</v>
      </c>
      <c r="M220" s="2">
        <v>4</v>
      </c>
    </row>
    <row r="221" spans="1:13" x14ac:dyDescent="0.25">
      <c r="A221" s="2">
        <f t="shared" si="3"/>
        <v>213</v>
      </c>
      <c r="B221" s="2">
        <v>165334</v>
      </c>
      <c r="C221" t="s">
        <v>421</v>
      </c>
      <c r="D221" t="s">
        <v>315</v>
      </c>
      <c r="E221" t="s">
        <v>5</v>
      </c>
      <c r="F221" t="s">
        <v>6</v>
      </c>
      <c r="G221" s="4">
        <v>3273</v>
      </c>
      <c r="H221" s="4">
        <v>420631.41499999998</v>
      </c>
      <c r="I221" s="4">
        <v>438767.06300000002</v>
      </c>
      <c r="J221" s="1">
        <v>-4.1333202806975509</v>
      </c>
      <c r="K221" s="3">
        <v>128515.55606477238</v>
      </c>
      <c r="L221" s="2">
        <v>2</v>
      </c>
      <c r="M221" s="2">
        <v>4</v>
      </c>
    </row>
    <row r="222" spans="1:13" x14ac:dyDescent="0.25">
      <c r="A222" s="2">
        <f t="shared" si="3"/>
        <v>214</v>
      </c>
      <c r="B222" s="2">
        <v>221519</v>
      </c>
      <c r="C222" t="s">
        <v>422</v>
      </c>
      <c r="D222" t="s">
        <v>423</v>
      </c>
      <c r="E222" t="s">
        <v>56</v>
      </c>
      <c r="F222" t="s">
        <v>6</v>
      </c>
      <c r="G222" s="4">
        <v>1691</v>
      </c>
      <c r="H222" s="4">
        <v>419515.04</v>
      </c>
      <c r="I222" s="4">
        <v>408769.26299999998</v>
      </c>
      <c r="J222" s="1">
        <v>2.6288123821090728</v>
      </c>
      <c r="K222" s="3">
        <v>248086.95446481372</v>
      </c>
      <c r="L222" s="2">
        <v>2</v>
      </c>
      <c r="M222" s="2">
        <v>2</v>
      </c>
    </row>
    <row r="223" spans="1:13" x14ac:dyDescent="0.25">
      <c r="A223" s="2">
        <f t="shared" si="3"/>
        <v>215</v>
      </c>
      <c r="B223" s="2">
        <v>215123</v>
      </c>
      <c r="C223" t="s">
        <v>424</v>
      </c>
      <c r="D223" t="s">
        <v>22</v>
      </c>
      <c r="E223" t="s">
        <v>23</v>
      </c>
      <c r="F223" t="s">
        <v>6</v>
      </c>
      <c r="G223" s="4">
        <v>2899</v>
      </c>
      <c r="H223" s="4">
        <v>419418.61700000003</v>
      </c>
      <c r="I223" s="4">
        <v>417899.04499999998</v>
      </c>
      <c r="J223" s="1">
        <v>0.36362179291412355</v>
      </c>
      <c r="K223" s="3">
        <v>144676.99793032079</v>
      </c>
      <c r="L223" s="2">
        <v>2</v>
      </c>
      <c r="M223" s="2">
        <v>5</v>
      </c>
    </row>
    <row r="224" spans="1:13" x14ac:dyDescent="0.25">
      <c r="A224" s="2">
        <f t="shared" si="3"/>
        <v>216</v>
      </c>
      <c r="B224" s="2">
        <v>203535</v>
      </c>
      <c r="C224" t="s">
        <v>425</v>
      </c>
      <c r="D224" t="s">
        <v>426</v>
      </c>
      <c r="E224" t="s">
        <v>69</v>
      </c>
      <c r="F224" t="s">
        <v>6</v>
      </c>
      <c r="G224" s="4">
        <v>1738</v>
      </c>
      <c r="H224" s="4">
        <v>419099.29499999998</v>
      </c>
      <c r="I224" s="4">
        <v>422019.04100000003</v>
      </c>
      <c r="J224" s="1">
        <v>-0.69185172144874862</v>
      </c>
      <c r="K224" s="3">
        <v>241138.83486766397</v>
      </c>
      <c r="L224" s="2">
        <v>2</v>
      </c>
      <c r="M224" s="2">
        <v>2</v>
      </c>
    </row>
    <row r="225" spans="1:13" ht="17.25" x14ac:dyDescent="0.25">
      <c r="A225" s="2">
        <f t="shared" si="3"/>
        <v>217</v>
      </c>
      <c r="B225" s="2">
        <v>111948</v>
      </c>
      <c r="C225" t="s">
        <v>1333</v>
      </c>
      <c r="D225" t="s">
        <v>427</v>
      </c>
      <c r="E225" t="s">
        <v>16</v>
      </c>
      <c r="F225" t="s">
        <v>6</v>
      </c>
      <c r="G225" s="4">
        <v>8934.67</v>
      </c>
      <c r="H225" s="4">
        <v>416599.95600000001</v>
      </c>
      <c r="I225" s="4">
        <v>417705.06800000003</v>
      </c>
      <c r="J225" s="1">
        <v>-0.26456753452653825</v>
      </c>
      <c r="K225" s="3">
        <v>46627.346729090161</v>
      </c>
      <c r="L225" s="2">
        <v>2</v>
      </c>
      <c r="M225" s="2">
        <v>4</v>
      </c>
    </row>
    <row r="226" spans="1:13" x14ac:dyDescent="0.25">
      <c r="A226" s="2">
        <f t="shared" si="3"/>
        <v>218</v>
      </c>
      <c r="B226" s="2">
        <v>172644</v>
      </c>
      <c r="C226" t="s">
        <v>428</v>
      </c>
      <c r="D226" t="s">
        <v>429</v>
      </c>
      <c r="E226" t="s">
        <v>27</v>
      </c>
      <c r="F226" t="s">
        <v>10</v>
      </c>
      <c r="G226" s="4">
        <v>21795</v>
      </c>
      <c r="H226" s="4">
        <v>401553.38</v>
      </c>
      <c r="I226" s="4">
        <v>394509.18599999999</v>
      </c>
      <c r="J226" s="1">
        <v>1.785558929925652</v>
      </c>
      <c r="K226" s="3">
        <v>18424.105528791006</v>
      </c>
      <c r="L226" s="2">
        <v>2</v>
      </c>
      <c r="M226" s="2">
        <v>4</v>
      </c>
    </row>
    <row r="227" spans="1:13" x14ac:dyDescent="0.25">
      <c r="A227" s="11">
        <f t="shared" si="3"/>
        <v>219</v>
      </c>
      <c r="B227" s="27" t="s">
        <v>1275</v>
      </c>
      <c r="C227" s="12" t="s">
        <v>1315</v>
      </c>
      <c r="D227" s="12" t="s">
        <v>1316</v>
      </c>
      <c r="E227" s="12" t="s">
        <v>204</v>
      </c>
      <c r="F227" s="12" t="s">
        <v>6</v>
      </c>
      <c r="G227" s="47" t="s">
        <v>1275</v>
      </c>
      <c r="H227" s="13">
        <v>398984</v>
      </c>
      <c r="I227" s="13">
        <v>403965</v>
      </c>
      <c r="J227" s="14">
        <v>-1.23</v>
      </c>
      <c r="K227" s="25" t="s">
        <v>1275</v>
      </c>
      <c r="L227" s="27" t="s">
        <v>1275</v>
      </c>
      <c r="M227" s="27">
        <v>0</v>
      </c>
    </row>
    <row r="228" spans="1:13" x14ac:dyDescent="0.25">
      <c r="A228" s="2">
        <f t="shared" si="3"/>
        <v>220</v>
      </c>
      <c r="B228" s="2">
        <v>172699</v>
      </c>
      <c r="C228" t="s">
        <v>430</v>
      </c>
      <c r="D228" t="s">
        <v>431</v>
      </c>
      <c r="E228" t="s">
        <v>27</v>
      </c>
      <c r="F228" t="s">
        <v>10</v>
      </c>
      <c r="G228" s="4">
        <v>18589</v>
      </c>
      <c r="H228" s="4">
        <v>396926.27799999999</v>
      </c>
      <c r="I228" s="4">
        <v>404653.05200000003</v>
      </c>
      <c r="J228" s="1">
        <v>-1.9094812115738102</v>
      </c>
      <c r="K228" s="3">
        <v>21352.750443810855</v>
      </c>
      <c r="L228" s="2">
        <v>2</v>
      </c>
      <c r="M228" s="2">
        <v>4</v>
      </c>
    </row>
    <row r="229" spans="1:13" x14ac:dyDescent="0.25">
      <c r="A229" s="2">
        <f t="shared" si="3"/>
        <v>221</v>
      </c>
      <c r="B229" s="2">
        <v>193654</v>
      </c>
      <c r="C229" t="s">
        <v>432</v>
      </c>
      <c r="D229" t="s">
        <v>33</v>
      </c>
      <c r="E229" t="s">
        <v>34</v>
      </c>
      <c r="F229" t="s">
        <v>6</v>
      </c>
      <c r="G229" s="4">
        <v>9966</v>
      </c>
      <c r="H229" s="4">
        <v>393477.87800000003</v>
      </c>
      <c r="I229" s="4">
        <v>399257.38699999999</v>
      </c>
      <c r="J229" s="1">
        <v>-1.4475647009130981</v>
      </c>
      <c r="K229" s="3">
        <v>39482.026690748542</v>
      </c>
      <c r="L229" s="2">
        <v>2</v>
      </c>
      <c r="M229" s="2">
        <v>4</v>
      </c>
    </row>
    <row r="230" spans="1:13" x14ac:dyDescent="0.25">
      <c r="A230" s="2">
        <f t="shared" si="3"/>
        <v>222</v>
      </c>
      <c r="B230" s="2">
        <v>126818</v>
      </c>
      <c r="C230" t="s">
        <v>433</v>
      </c>
      <c r="D230" t="s">
        <v>434</v>
      </c>
      <c r="E230" t="s">
        <v>164</v>
      </c>
      <c r="F230" t="s">
        <v>82</v>
      </c>
      <c r="G230" s="4">
        <v>28033.3</v>
      </c>
      <c r="H230" s="4">
        <v>393123.484</v>
      </c>
      <c r="I230" s="4">
        <v>376063.06800000003</v>
      </c>
      <c r="J230" s="1">
        <v>4.5365837413207508</v>
      </c>
      <c r="K230" s="3">
        <v>14023.446543931681</v>
      </c>
      <c r="L230" s="2">
        <v>2</v>
      </c>
      <c r="M230" s="2">
        <v>4</v>
      </c>
    </row>
    <row r="231" spans="1:13" x14ac:dyDescent="0.25">
      <c r="A231" s="2">
        <f t="shared" si="3"/>
        <v>223</v>
      </c>
      <c r="B231" s="26" t="s">
        <v>1275</v>
      </c>
      <c r="C231" t="s">
        <v>435</v>
      </c>
      <c r="D231" t="s">
        <v>436</v>
      </c>
      <c r="E231" t="s">
        <v>177</v>
      </c>
      <c r="F231" t="s">
        <v>95</v>
      </c>
      <c r="G231" s="4">
        <v>12674</v>
      </c>
      <c r="H231" s="4">
        <v>387123</v>
      </c>
      <c r="I231" s="4">
        <v>383512</v>
      </c>
      <c r="J231" s="1">
        <v>0.9415611506289242</v>
      </c>
      <c r="K231" s="3">
        <v>30544.658355688811</v>
      </c>
      <c r="L231" s="21" t="s">
        <v>1275</v>
      </c>
      <c r="M231" s="2">
        <v>0</v>
      </c>
    </row>
    <row r="232" spans="1:13" x14ac:dyDescent="0.25">
      <c r="A232" s="2">
        <f t="shared" si="3"/>
        <v>224</v>
      </c>
      <c r="B232" s="2">
        <v>150455</v>
      </c>
      <c r="C232" t="s">
        <v>437</v>
      </c>
      <c r="D232" t="s">
        <v>107</v>
      </c>
      <c r="E232" t="s">
        <v>31</v>
      </c>
      <c r="F232" t="s">
        <v>6</v>
      </c>
      <c r="G232" s="4">
        <v>1005</v>
      </c>
      <c r="H232" s="4">
        <v>380029.04800000001</v>
      </c>
      <c r="I232" s="4">
        <v>418844.92800000001</v>
      </c>
      <c r="J232" s="1">
        <v>-9.2673630274925998</v>
      </c>
      <c r="K232" s="3">
        <v>378138.35621890548</v>
      </c>
      <c r="L232" s="2">
        <v>2</v>
      </c>
      <c r="M232" s="2">
        <v>2</v>
      </c>
    </row>
    <row r="233" spans="1:13" x14ac:dyDescent="0.25">
      <c r="A233" s="2">
        <f t="shared" si="3"/>
        <v>225</v>
      </c>
      <c r="B233" s="2">
        <v>236328</v>
      </c>
      <c r="C233" t="s">
        <v>438</v>
      </c>
      <c r="D233" t="s">
        <v>439</v>
      </c>
      <c r="E233" t="s">
        <v>85</v>
      </c>
      <c r="F233" t="s">
        <v>6</v>
      </c>
      <c r="G233" s="4">
        <v>2559</v>
      </c>
      <c r="H233" s="4">
        <v>378613.57199999999</v>
      </c>
      <c r="I233" s="4">
        <v>380507.489</v>
      </c>
      <c r="J233" s="1">
        <v>-0.4977344874281831</v>
      </c>
      <c r="K233" s="3">
        <v>147953.72098475968</v>
      </c>
      <c r="L233" s="2">
        <v>2</v>
      </c>
      <c r="M233" s="2">
        <v>2</v>
      </c>
    </row>
    <row r="234" spans="1:13" x14ac:dyDescent="0.25">
      <c r="A234" s="2">
        <f t="shared" si="3"/>
        <v>226</v>
      </c>
      <c r="B234" s="2">
        <v>141060</v>
      </c>
      <c r="C234" t="s">
        <v>440</v>
      </c>
      <c r="D234" t="s">
        <v>47</v>
      </c>
      <c r="E234" t="s">
        <v>48</v>
      </c>
      <c r="F234" t="s">
        <v>6</v>
      </c>
      <c r="G234" s="4">
        <v>2120</v>
      </c>
      <c r="H234" s="4">
        <v>377941.50900000002</v>
      </c>
      <c r="I234" s="4">
        <v>390461.99599999998</v>
      </c>
      <c r="J234" s="1">
        <v>-3.2065827476843611</v>
      </c>
      <c r="K234" s="3">
        <v>178274.2966981132</v>
      </c>
      <c r="L234" s="2">
        <v>1</v>
      </c>
      <c r="M234" s="2">
        <v>2</v>
      </c>
    </row>
    <row r="235" spans="1:13" x14ac:dyDescent="0.25">
      <c r="A235" s="2">
        <f t="shared" si="3"/>
        <v>227</v>
      </c>
      <c r="B235" s="2">
        <v>123165</v>
      </c>
      <c r="C235" t="s">
        <v>441</v>
      </c>
      <c r="D235" t="s">
        <v>115</v>
      </c>
      <c r="E235" t="s">
        <v>16</v>
      </c>
      <c r="F235" t="s">
        <v>6</v>
      </c>
      <c r="G235" s="4">
        <v>1102</v>
      </c>
      <c r="H235" s="4">
        <v>374862.26899999997</v>
      </c>
      <c r="I235" s="4">
        <v>375584.84</v>
      </c>
      <c r="J235" s="1">
        <v>-0.19238556060995432</v>
      </c>
      <c r="K235" s="3">
        <v>340165.39836660615</v>
      </c>
      <c r="L235" s="2">
        <v>2</v>
      </c>
      <c r="M235" s="2">
        <v>2</v>
      </c>
    </row>
    <row r="236" spans="1:13" x14ac:dyDescent="0.25">
      <c r="A236" s="2">
        <f t="shared" si="3"/>
        <v>228</v>
      </c>
      <c r="B236" s="2">
        <v>441982</v>
      </c>
      <c r="C236" t="s">
        <v>442</v>
      </c>
      <c r="D236" t="s">
        <v>443</v>
      </c>
      <c r="E236" t="s">
        <v>5</v>
      </c>
      <c r="F236" t="s">
        <v>6</v>
      </c>
      <c r="G236" s="4">
        <v>360</v>
      </c>
      <c r="H236" s="4">
        <v>369736.88400000002</v>
      </c>
      <c r="I236" s="4">
        <v>383956.11900000001</v>
      </c>
      <c r="J236" s="1">
        <v>-3.703348975667712</v>
      </c>
      <c r="K236" s="3">
        <v>1027046.9</v>
      </c>
      <c r="L236" s="2">
        <v>2</v>
      </c>
      <c r="M236" s="2">
        <v>5</v>
      </c>
    </row>
    <row r="237" spans="1:13" ht="17.25" x14ac:dyDescent="0.25">
      <c r="A237" s="2">
        <f t="shared" si="3"/>
        <v>229</v>
      </c>
      <c r="B237" s="2">
        <v>182290</v>
      </c>
      <c r="C237" t="s">
        <v>1339</v>
      </c>
      <c r="D237" t="s">
        <v>444</v>
      </c>
      <c r="E237" t="s">
        <v>445</v>
      </c>
      <c r="F237" t="s">
        <v>10</v>
      </c>
      <c r="G237" s="4">
        <v>17952.330000000002</v>
      </c>
      <c r="H237" s="4">
        <v>367473.49200000003</v>
      </c>
      <c r="I237" s="4">
        <v>377446.38199999998</v>
      </c>
      <c r="J237" s="1">
        <v>-2.6422004490163586</v>
      </c>
      <c r="K237" s="3">
        <v>20469.403804408674</v>
      </c>
      <c r="L237" s="2">
        <v>2</v>
      </c>
      <c r="M237" s="2">
        <v>4</v>
      </c>
    </row>
    <row r="238" spans="1:13" x14ac:dyDescent="0.25">
      <c r="A238" s="2">
        <f t="shared" si="3"/>
        <v>230</v>
      </c>
      <c r="B238" s="2">
        <v>136950</v>
      </c>
      <c r="C238" t="s">
        <v>446</v>
      </c>
      <c r="D238" t="s">
        <v>447</v>
      </c>
      <c r="E238" t="s">
        <v>141</v>
      </c>
      <c r="F238" t="s">
        <v>6</v>
      </c>
      <c r="G238" s="4">
        <v>2882</v>
      </c>
      <c r="H238" s="4">
        <v>365287</v>
      </c>
      <c r="I238" s="4">
        <v>379841</v>
      </c>
      <c r="J238" s="1">
        <v>-3.831603223454024</v>
      </c>
      <c r="K238" s="3">
        <v>126747.74462179042</v>
      </c>
      <c r="L238" s="2">
        <v>2</v>
      </c>
      <c r="M238" s="2">
        <v>3</v>
      </c>
    </row>
    <row r="239" spans="1:13" x14ac:dyDescent="0.25">
      <c r="A239" s="2">
        <f t="shared" si="3"/>
        <v>231</v>
      </c>
      <c r="B239" s="2">
        <v>218335</v>
      </c>
      <c r="C239" t="s">
        <v>448</v>
      </c>
      <c r="D239" t="s">
        <v>449</v>
      </c>
      <c r="E239" t="s">
        <v>305</v>
      </c>
      <c r="F239" t="s">
        <v>82</v>
      </c>
      <c r="G239" s="4">
        <v>2500</v>
      </c>
      <c r="H239" s="4">
        <v>364553.09299999999</v>
      </c>
      <c r="I239" s="4">
        <v>375592.69099999999</v>
      </c>
      <c r="J239" s="1">
        <v>-2.9392472922216686</v>
      </c>
      <c r="K239" s="3">
        <v>145821.2372</v>
      </c>
      <c r="L239" s="2">
        <v>2</v>
      </c>
      <c r="M239" s="2">
        <v>5</v>
      </c>
    </row>
    <row r="240" spans="1:13" x14ac:dyDescent="0.25">
      <c r="A240" s="2">
        <f t="shared" si="3"/>
        <v>232</v>
      </c>
      <c r="B240" s="2">
        <v>195526</v>
      </c>
      <c r="C240" t="s">
        <v>450</v>
      </c>
      <c r="D240" t="s">
        <v>451</v>
      </c>
      <c r="E240" t="s">
        <v>34</v>
      </c>
      <c r="F240" t="s">
        <v>6</v>
      </c>
      <c r="G240" s="4">
        <v>2635</v>
      </c>
      <c r="H240" s="4">
        <v>364375.59899999999</v>
      </c>
      <c r="I240" s="4">
        <v>384279.94300000003</v>
      </c>
      <c r="J240" s="1">
        <v>-5.1796468596853096</v>
      </c>
      <c r="K240" s="3">
        <v>138282.95977229602</v>
      </c>
      <c r="L240" s="2">
        <v>2</v>
      </c>
      <c r="M240" s="2">
        <v>2</v>
      </c>
    </row>
    <row r="241" spans="1:13" x14ac:dyDescent="0.25">
      <c r="A241" s="2">
        <f t="shared" si="3"/>
        <v>233</v>
      </c>
      <c r="B241" s="2">
        <v>239017</v>
      </c>
      <c r="C241" t="s">
        <v>452</v>
      </c>
      <c r="D241" t="s">
        <v>453</v>
      </c>
      <c r="E241" t="s">
        <v>81</v>
      </c>
      <c r="F241" t="s">
        <v>6</v>
      </c>
      <c r="G241" s="4">
        <v>1415</v>
      </c>
      <c r="H241" s="4">
        <v>361079.90399999998</v>
      </c>
      <c r="I241" s="4">
        <v>356957.65399999998</v>
      </c>
      <c r="J241" s="1">
        <v>1.1548288582152102</v>
      </c>
      <c r="K241" s="3">
        <v>255180.1441696113</v>
      </c>
      <c r="L241" s="2">
        <v>2</v>
      </c>
      <c r="M241" s="2">
        <v>2</v>
      </c>
    </row>
    <row r="242" spans="1:13" x14ac:dyDescent="0.25">
      <c r="A242" s="2">
        <f t="shared" si="3"/>
        <v>234</v>
      </c>
      <c r="B242" s="2">
        <v>196097</v>
      </c>
      <c r="C242" t="s">
        <v>454</v>
      </c>
      <c r="D242" t="s">
        <v>455</v>
      </c>
      <c r="E242" t="s">
        <v>34</v>
      </c>
      <c r="F242" t="s">
        <v>82</v>
      </c>
      <c r="G242" s="4">
        <v>25230</v>
      </c>
      <c r="H242" s="4">
        <v>360186.67800000001</v>
      </c>
      <c r="I242" s="4">
        <v>341877.652</v>
      </c>
      <c r="J242" s="1">
        <v>5.355432241005329</v>
      </c>
      <c r="K242" s="3">
        <v>14276.126753864448</v>
      </c>
      <c r="L242" s="2">
        <v>2</v>
      </c>
      <c r="M242" s="2">
        <v>4</v>
      </c>
    </row>
    <row r="243" spans="1:13" x14ac:dyDescent="0.25">
      <c r="A243" s="2">
        <f t="shared" si="3"/>
        <v>235</v>
      </c>
      <c r="B243" s="2">
        <v>196468</v>
      </c>
      <c r="C243" t="s">
        <v>456</v>
      </c>
      <c r="D243" t="s">
        <v>33</v>
      </c>
      <c r="E243" t="s">
        <v>34</v>
      </c>
      <c r="F243" t="s">
        <v>6</v>
      </c>
      <c r="G243" s="4">
        <v>2803</v>
      </c>
      <c r="H243" s="4">
        <v>357687.43199999997</v>
      </c>
      <c r="I243" s="4">
        <v>345191.14600000001</v>
      </c>
      <c r="J243" s="1">
        <v>3.6201061773467389</v>
      </c>
      <c r="K243" s="3">
        <v>127608.78772743489</v>
      </c>
      <c r="L243" s="2">
        <v>2</v>
      </c>
      <c r="M243" s="2">
        <v>4</v>
      </c>
    </row>
    <row r="244" spans="1:13" x14ac:dyDescent="0.25">
      <c r="A244" s="2">
        <f t="shared" si="3"/>
        <v>236</v>
      </c>
      <c r="B244" s="2">
        <v>189097</v>
      </c>
      <c r="C244" t="s">
        <v>457</v>
      </c>
      <c r="D244" t="s">
        <v>33</v>
      </c>
      <c r="E244" t="s">
        <v>34</v>
      </c>
      <c r="F244" t="s">
        <v>6</v>
      </c>
      <c r="G244" s="4">
        <v>2620</v>
      </c>
      <c r="H244" s="4">
        <v>356579</v>
      </c>
      <c r="I244" s="4">
        <v>363623</v>
      </c>
      <c r="J244" s="1">
        <v>-1.9371711910412708</v>
      </c>
      <c r="K244" s="3">
        <v>136098.85496183205</v>
      </c>
      <c r="L244" s="2">
        <v>2</v>
      </c>
      <c r="M244" s="2">
        <v>2</v>
      </c>
    </row>
    <row r="245" spans="1:13" x14ac:dyDescent="0.25">
      <c r="A245" s="2">
        <f t="shared" si="3"/>
        <v>237</v>
      </c>
      <c r="B245" s="2">
        <v>103529</v>
      </c>
      <c r="C245" t="s">
        <v>458</v>
      </c>
      <c r="D245" t="s">
        <v>459</v>
      </c>
      <c r="E245" t="s">
        <v>460</v>
      </c>
      <c r="F245" t="s">
        <v>95</v>
      </c>
      <c r="G245" s="4">
        <v>13570</v>
      </c>
      <c r="H245" s="4">
        <v>356262.641</v>
      </c>
      <c r="I245" s="4">
        <v>364002.859</v>
      </c>
      <c r="J245" s="1">
        <v>-2.1264168147646334</v>
      </c>
      <c r="K245" s="3">
        <v>26253.694988946205</v>
      </c>
      <c r="L245" s="2">
        <v>2</v>
      </c>
      <c r="M245" s="2">
        <v>0</v>
      </c>
    </row>
    <row r="246" spans="1:13" x14ac:dyDescent="0.25">
      <c r="A246" s="2">
        <f t="shared" si="3"/>
        <v>238</v>
      </c>
      <c r="B246" s="26" t="s">
        <v>1275</v>
      </c>
      <c r="C246" t="s">
        <v>461</v>
      </c>
      <c r="D246" t="s">
        <v>135</v>
      </c>
      <c r="E246" t="s">
        <v>136</v>
      </c>
      <c r="F246" t="s">
        <v>95</v>
      </c>
      <c r="G246" s="23" t="s">
        <v>1275</v>
      </c>
      <c r="H246" s="4">
        <v>355188</v>
      </c>
      <c r="I246" s="4">
        <v>377235</v>
      </c>
      <c r="J246" s="1">
        <v>-5.8443675692870487</v>
      </c>
      <c r="K246" s="24" t="s">
        <v>1275</v>
      </c>
      <c r="L246" s="24" t="s">
        <v>1275</v>
      </c>
      <c r="M246" s="2">
        <v>0</v>
      </c>
    </row>
    <row r="247" spans="1:13" x14ac:dyDescent="0.25">
      <c r="A247" s="2">
        <f t="shared" si="3"/>
        <v>239</v>
      </c>
      <c r="B247" s="26" t="s">
        <v>1275</v>
      </c>
      <c r="C247" t="s">
        <v>462</v>
      </c>
      <c r="D247" t="s">
        <v>463</v>
      </c>
      <c r="E247" t="s">
        <v>27</v>
      </c>
      <c r="F247" t="s">
        <v>82</v>
      </c>
      <c r="G247" s="23" t="s">
        <v>1275</v>
      </c>
      <c r="H247" s="4">
        <v>353500</v>
      </c>
      <c r="I247" s="4">
        <v>371500</v>
      </c>
      <c r="J247" s="1">
        <v>-4.8452220726783315</v>
      </c>
      <c r="K247" s="24" t="s">
        <v>1275</v>
      </c>
      <c r="L247" s="24" t="s">
        <v>1275</v>
      </c>
      <c r="M247" s="2">
        <v>0</v>
      </c>
    </row>
    <row r="248" spans="1:13" x14ac:dyDescent="0.25">
      <c r="A248" s="2">
        <f t="shared" si="3"/>
        <v>240</v>
      </c>
      <c r="B248" s="2">
        <v>129242</v>
      </c>
      <c r="C248" t="s">
        <v>464</v>
      </c>
      <c r="D248" t="s">
        <v>465</v>
      </c>
      <c r="E248" t="s">
        <v>13</v>
      </c>
      <c r="F248" t="s">
        <v>6</v>
      </c>
      <c r="G248" s="4">
        <v>4853</v>
      </c>
      <c r="H248" s="4">
        <v>350774.94199999998</v>
      </c>
      <c r="I248" s="4">
        <v>374895.84</v>
      </c>
      <c r="J248" s="1">
        <v>-6.4340265818900528</v>
      </c>
      <c r="K248" s="3">
        <v>72280.021017927051</v>
      </c>
      <c r="L248" s="2">
        <v>2</v>
      </c>
      <c r="M248" s="2">
        <v>3</v>
      </c>
    </row>
    <row r="249" spans="1:13" x14ac:dyDescent="0.25">
      <c r="A249" s="2">
        <f t="shared" si="3"/>
        <v>241</v>
      </c>
      <c r="B249" s="2">
        <v>212577</v>
      </c>
      <c r="C249" t="s">
        <v>466</v>
      </c>
      <c r="D249" t="s">
        <v>467</v>
      </c>
      <c r="E249" t="s">
        <v>23</v>
      </c>
      <c r="F249" t="s">
        <v>6</v>
      </c>
      <c r="G249" s="4">
        <v>2428</v>
      </c>
      <c r="H249" s="4">
        <v>350445</v>
      </c>
      <c r="I249" s="4">
        <v>354783</v>
      </c>
      <c r="J249" s="1">
        <v>-1.2227192396478974</v>
      </c>
      <c r="K249" s="3">
        <v>144334.84349258649</v>
      </c>
      <c r="L249" s="2">
        <v>2</v>
      </c>
      <c r="M249" s="2">
        <v>2</v>
      </c>
    </row>
    <row r="250" spans="1:13" x14ac:dyDescent="0.25">
      <c r="A250" s="2">
        <f t="shared" si="3"/>
        <v>242</v>
      </c>
      <c r="B250" s="2">
        <v>217493</v>
      </c>
      <c r="C250" t="s">
        <v>468</v>
      </c>
      <c r="D250" t="s">
        <v>71</v>
      </c>
      <c r="E250" t="s">
        <v>72</v>
      </c>
      <c r="F250" t="s">
        <v>6</v>
      </c>
      <c r="G250" s="4">
        <v>2500</v>
      </c>
      <c r="H250" s="4">
        <v>347698.348</v>
      </c>
      <c r="I250" s="4">
        <v>349660.40899999999</v>
      </c>
      <c r="J250" s="1">
        <v>-0.56113330234078629</v>
      </c>
      <c r="K250" s="3">
        <v>139079.33919999999</v>
      </c>
      <c r="L250" s="2">
        <v>2</v>
      </c>
      <c r="M250" s="2">
        <v>5</v>
      </c>
    </row>
    <row r="251" spans="1:13" x14ac:dyDescent="0.25">
      <c r="A251" s="2">
        <f t="shared" si="3"/>
        <v>243</v>
      </c>
      <c r="B251" s="26" t="s">
        <v>1275</v>
      </c>
      <c r="C251" t="s">
        <v>469</v>
      </c>
      <c r="D251" t="s">
        <v>470</v>
      </c>
      <c r="E251" t="s">
        <v>34</v>
      </c>
      <c r="F251" t="s">
        <v>95</v>
      </c>
      <c r="G251" s="23" t="s">
        <v>1275</v>
      </c>
      <c r="H251" s="4">
        <v>342458.21</v>
      </c>
      <c r="I251" s="4">
        <v>335439.326</v>
      </c>
      <c r="J251" s="1">
        <v>2.0924451774029618</v>
      </c>
      <c r="K251" s="24" t="s">
        <v>1275</v>
      </c>
      <c r="L251" s="24" t="s">
        <v>1275</v>
      </c>
      <c r="M251" s="2">
        <v>0</v>
      </c>
    </row>
    <row r="252" spans="1:13" x14ac:dyDescent="0.25">
      <c r="A252" s="2">
        <f t="shared" si="3"/>
        <v>244</v>
      </c>
      <c r="B252" s="2">
        <v>141963</v>
      </c>
      <c r="C252" t="s">
        <v>471</v>
      </c>
      <c r="D252" t="s">
        <v>472</v>
      </c>
      <c r="E252" t="s">
        <v>473</v>
      </c>
      <c r="F252" t="s">
        <v>82</v>
      </c>
      <c r="G252" s="4">
        <v>49594</v>
      </c>
      <c r="H252" s="4">
        <v>341690.14399999997</v>
      </c>
      <c r="I252" s="4">
        <v>326993.43699999998</v>
      </c>
      <c r="J252" s="1">
        <v>4.494496016444514</v>
      </c>
      <c r="K252" s="3">
        <v>6889.7476307617853</v>
      </c>
      <c r="L252" s="2">
        <v>2</v>
      </c>
      <c r="M252" s="2">
        <v>0</v>
      </c>
    </row>
    <row r="253" spans="1:13" x14ac:dyDescent="0.25">
      <c r="A253" s="2">
        <f t="shared" si="3"/>
        <v>245</v>
      </c>
      <c r="B253" s="2">
        <v>160977</v>
      </c>
      <c r="C253" t="s">
        <v>474</v>
      </c>
      <c r="D253" t="s">
        <v>475</v>
      </c>
      <c r="E253" t="s">
        <v>148</v>
      </c>
      <c r="F253" t="s">
        <v>6</v>
      </c>
      <c r="G253" s="4">
        <v>1820</v>
      </c>
      <c r="H253" s="4">
        <v>341587.04599999997</v>
      </c>
      <c r="I253" s="4">
        <v>329722.788</v>
      </c>
      <c r="J253" s="1">
        <v>3.5982523597974674</v>
      </c>
      <c r="K253" s="3">
        <v>187685.1901098901</v>
      </c>
      <c r="L253" s="2">
        <v>2</v>
      </c>
      <c r="M253" s="2">
        <v>2</v>
      </c>
    </row>
    <row r="254" spans="1:13" x14ac:dyDescent="0.25">
      <c r="A254" s="2">
        <f t="shared" si="3"/>
        <v>246</v>
      </c>
      <c r="B254" s="2">
        <v>221351</v>
      </c>
      <c r="C254" t="s">
        <v>476</v>
      </c>
      <c r="D254" t="s">
        <v>477</v>
      </c>
      <c r="E254" t="s">
        <v>56</v>
      </c>
      <c r="F254" t="s">
        <v>6</v>
      </c>
      <c r="G254" s="4">
        <v>1952</v>
      </c>
      <c r="H254" s="4">
        <v>341178.02100000001</v>
      </c>
      <c r="I254" s="4">
        <v>352206.26699999999</v>
      </c>
      <c r="J254" s="1">
        <v>-3.1311895991901819</v>
      </c>
      <c r="K254" s="3">
        <v>174783.82223360657</v>
      </c>
      <c r="L254" s="2">
        <v>2</v>
      </c>
      <c r="M254" s="2">
        <v>2</v>
      </c>
    </row>
    <row r="255" spans="1:13" x14ac:dyDescent="0.25">
      <c r="A255" s="11">
        <f t="shared" si="3"/>
        <v>247</v>
      </c>
      <c r="B255" s="27" t="s">
        <v>1275</v>
      </c>
      <c r="C255" s="12" t="s">
        <v>478</v>
      </c>
      <c r="D255" s="12" t="s">
        <v>479</v>
      </c>
      <c r="E255" s="12" t="s">
        <v>204</v>
      </c>
      <c r="F255" s="12" t="s">
        <v>82</v>
      </c>
      <c r="G255" s="13">
        <v>22134</v>
      </c>
      <c r="H255" s="13">
        <v>340550.7096</v>
      </c>
      <c r="I255" s="13">
        <v>354053.37599999999</v>
      </c>
      <c r="J255" s="14">
        <v>-3.8137375083241616</v>
      </c>
      <c r="K255" s="15">
        <v>15385.863811330984</v>
      </c>
      <c r="L255" s="25" t="s">
        <v>1275</v>
      </c>
      <c r="M255" s="11">
        <v>0</v>
      </c>
    </row>
    <row r="256" spans="1:13" x14ac:dyDescent="0.25">
      <c r="A256" s="2">
        <f t="shared" si="3"/>
        <v>248</v>
      </c>
      <c r="B256" s="2">
        <v>164748</v>
      </c>
      <c r="C256" t="s">
        <v>480</v>
      </c>
      <c r="D256" t="s">
        <v>103</v>
      </c>
      <c r="E256" t="s">
        <v>5</v>
      </c>
      <c r="F256" t="s">
        <v>6</v>
      </c>
      <c r="G256" s="4">
        <v>6011</v>
      </c>
      <c r="H256" s="4">
        <v>338371.29700000002</v>
      </c>
      <c r="I256" s="4">
        <v>363026.37599999999</v>
      </c>
      <c r="J256" s="1">
        <v>-6.7915393012655372</v>
      </c>
      <c r="K256" s="3">
        <v>56292.014140741972</v>
      </c>
      <c r="L256" s="2">
        <v>2</v>
      </c>
      <c r="M256" s="2">
        <v>5</v>
      </c>
    </row>
    <row r="257" spans="1:13" x14ac:dyDescent="0.25">
      <c r="A257" s="2">
        <f t="shared" si="3"/>
        <v>249</v>
      </c>
      <c r="B257" s="2">
        <v>191968</v>
      </c>
      <c r="C257" t="s">
        <v>481</v>
      </c>
      <c r="D257" t="s">
        <v>53</v>
      </c>
      <c r="E257" t="s">
        <v>34</v>
      </c>
      <c r="F257" t="s">
        <v>6</v>
      </c>
      <c r="G257" s="4">
        <v>6147.3</v>
      </c>
      <c r="H257" s="4">
        <v>337239.43900000001</v>
      </c>
      <c r="I257" s="4">
        <v>347334.88699999999</v>
      </c>
      <c r="J257" s="1">
        <v>-2.9065459237902584</v>
      </c>
      <c r="K257" s="3">
        <v>54859.765913490475</v>
      </c>
      <c r="L257" s="2">
        <v>2</v>
      </c>
      <c r="M257" s="2">
        <v>3</v>
      </c>
    </row>
    <row r="258" spans="1:13" x14ac:dyDescent="0.25">
      <c r="A258" s="2">
        <f t="shared" si="3"/>
        <v>250</v>
      </c>
      <c r="B258" s="2">
        <v>152673</v>
      </c>
      <c r="C258" t="s">
        <v>482</v>
      </c>
      <c r="D258" t="s">
        <v>483</v>
      </c>
      <c r="E258" t="s">
        <v>31</v>
      </c>
      <c r="F258" t="s">
        <v>6</v>
      </c>
      <c r="G258" s="4">
        <v>866</v>
      </c>
      <c r="H258" s="4">
        <v>335881.77100000001</v>
      </c>
      <c r="I258" s="4">
        <v>344252.28600000002</v>
      </c>
      <c r="J258" s="1">
        <v>-2.4315060031293445</v>
      </c>
      <c r="K258" s="3">
        <v>387854.23903002311</v>
      </c>
      <c r="L258" s="2">
        <v>2</v>
      </c>
      <c r="M258" s="2">
        <v>2</v>
      </c>
    </row>
    <row r="259" spans="1:13" x14ac:dyDescent="0.25">
      <c r="A259" s="2">
        <f t="shared" si="3"/>
        <v>251</v>
      </c>
      <c r="B259" s="2">
        <v>206589</v>
      </c>
      <c r="C259" t="s">
        <v>484</v>
      </c>
      <c r="D259" t="s">
        <v>485</v>
      </c>
      <c r="E259" t="s">
        <v>69</v>
      </c>
      <c r="F259" t="s">
        <v>6</v>
      </c>
      <c r="G259" s="4">
        <v>1953</v>
      </c>
      <c r="H259" s="4">
        <v>331118.049</v>
      </c>
      <c r="I259" s="4">
        <v>328921.12300000002</v>
      </c>
      <c r="J259" s="1">
        <v>0.66791879462238124</v>
      </c>
      <c r="K259" s="3">
        <v>169543.29185867895</v>
      </c>
      <c r="L259" s="2">
        <v>2</v>
      </c>
      <c r="M259" s="2">
        <v>2</v>
      </c>
    </row>
    <row r="260" spans="1:13" x14ac:dyDescent="0.25">
      <c r="A260" s="2">
        <f t="shared" si="3"/>
        <v>252</v>
      </c>
      <c r="B260" s="2">
        <v>122409</v>
      </c>
      <c r="C260" t="s">
        <v>486</v>
      </c>
      <c r="D260" t="s">
        <v>378</v>
      </c>
      <c r="E260" t="s">
        <v>16</v>
      </c>
      <c r="F260" t="s">
        <v>10</v>
      </c>
      <c r="G260" s="4">
        <v>32304</v>
      </c>
      <c r="H260" s="4">
        <v>330278.50799999997</v>
      </c>
      <c r="I260" s="4">
        <v>310545.53100000002</v>
      </c>
      <c r="J260" s="1">
        <v>6.3542943079737952</v>
      </c>
      <c r="K260" s="3">
        <v>10224.074665676077</v>
      </c>
      <c r="L260" s="2">
        <v>2</v>
      </c>
      <c r="M260" s="2">
        <v>4</v>
      </c>
    </row>
    <row r="261" spans="1:13" x14ac:dyDescent="0.25">
      <c r="A261" s="2">
        <f t="shared" si="3"/>
        <v>253</v>
      </c>
      <c r="B261" s="2">
        <v>156408</v>
      </c>
      <c r="C261" t="s">
        <v>487</v>
      </c>
      <c r="D261" t="s">
        <v>488</v>
      </c>
      <c r="E261" t="s">
        <v>197</v>
      </c>
      <c r="F261" t="s">
        <v>6</v>
      </c>
      <c r="G261" s="4">
        <v>1410</v>
      </c>
      <c r="H261" s="4">
        <v>325715.13299999997</v>
      </c>
      <c r="I261" s="4">
        <v>329269.74699999997</v>
      </c>
      <c r="J261" s="1">
        <v>-1.0795446688881503</v>
      </c>
      <c r="K261" s="3">
        <v>231003.64042553192</v>
      </c>
      <c r="L261" s="2">
        <v>2</v>
      </c>
      <c r="M261" s="2">
        <v>2</v>
      </c>
    </row>
    <row r="262" spans="1:13" x14ac:dyDescent="0.25">
      <c r="A262" s="2">
        <f t="shared" si="3"/>
        <v>254</v>
      </c>
      <c r="B262" s="2">
        <v>143358</v>
      </c>
      <c r="C262" t="s">
        <v>489</v>
      </c>
      <c r="D262" t="s">
        <v>490</v>
      </c>
      <c r="E262" t="s">
        <v>37</v>
      </c>
      <c r="F262" t="s">
        <v>6</v>
      </c>
      <c r="G262" s="4">
        <v>5189</v>
      </c>
      <c r="H262" s="4">
        <v>324862.66800000001</v>
      </c>
      <c r="I262" s="4">
        <v>320215.51400000002</v>
      </c>
      <c r="J262" s="1">
        <v>1.4512582297933259</v>
      </c>
      <c r="K262" s="3">
        <v>62606.025823858159</v>
      </c>
      <c r="L262" s="2">
        <v>2</v>
      </c>
      <c r="M262" s="2">
        <v>3</v>
      </c>
    </row>
    <row r="263" spans="1:13" x14ac:dyDescent="0.25">
      <c r="A263" s="2">
        <f t="shared" si="3"/>
        <v>255</v>
      </c>
      <c r="B263" s="2">
        <v>212674</v>
      </c>
      <c r="C263" t="s">
        <v>491</v>
      </c>
      <c r="D263" t="s">
        <v>492</v>
      </c>
      <c r="E263" t="s">
        <v>23</v>
      </c>
      <c r="F263" t="s">
        <v>6</v>
      </c>
      <c r="G263" s="4">
        <v>2627</v>
      </c>
      <c r="H263" s="4">
        <v>320048.88699999999</v>
      </c>
      <c r="I263" s="4">
        <v>330713.89600000001</v>
      </c>
      <c r="J263" s="1">
        <v>-3.2248445345036245</v>
      </c>
      <c r="K263" s="3">
        <v>121830.56223829463</v>
      </c>
      <c r="L263" s="2">
        <v>2</v>
      </c>
      <c r="M263" s="2">
        <v>2</v>
      </c>
    </row>
    <row r="264" spans="1:13" x14ac:dyDescent="0.25">
      <c r="A264" s="2">
        <f t="shared" si="3"/>
        <v>256</v>
      </c>
      <c r="B264" s="2">
        <v>115409</v>
      </c>
      <c r="C264" t="s">
        <v>493</v>
      </c>
      <c r="D264" t="s">
        <v>115</v>
      </c>
      <c r="E264" t="s">
        <v>16</v>
      </c>
      <c r="F264" t="s">
        <v>6</v>
      </c>
      <c r="G264" s="4">
        <v>897</v>
      </c>
      <c r="H264" s="4">
        <v>319714</v>
      </c>
      <c r="I264" s="4">
        <v>328568</v>
      </c>
      <c r="J264" s="1">
        <v>-2.6947237710306542</v>
      </c>
      <c r="K264" s="3">
        <v>356425.86399108137</v>
      </c>
      <c r="L264" s="2">
        <v>2</v>
      </c>
      <c r="M264" s="2">
        <v>2</v>
      </c>
    </row>
    <row r="265" spans="1:13" x14ac:dyDescent="0.25">
      <c r="A265" s="2">
        <f t="shared" ref="A265:A328" si="4">RANK(H265,H$9:H$725,0)</f>
        <v>257</v>
      </c>
      <c r="B265" s="2">
        <v>128902</v>
      </c>
      <c r="C265" t="s">
        <v>494</v>
      </c>
      <c r="D265" t="s">
        <v>495</v>
      </c>
      <c r="E265" t="s">
        <v>13</v>
      </c>
      <c r="F265" t="s">
        <v>6</v>
      </c>
      <c r="G265" s="4">
        <v>1833</v>
      </c>
      <c r="H265" s="4">
        <v>316270</v>
      </c>
      <c r="I265" s="4">
        <v>313510</v>
      </c>
      <c r="J265" s="1">
        <v>0.88035469363018715</v>
      </c>
      <c r="K265" s="3">
        <v>172542.28041462085</v>
      </c>
      <c r="L265" s="2">
        <v>2</v>
      </c>
      <c r="M265" s="2">
        <v>2</v>
      </c>
    </row>
    <row r="266" spans="1:13" x14ac:dyDescent="0.25">
      <c r="A266" s="2">
        <f t="shared" si="4"/>
        <v>258</v>
      </c>
      <c r="B266" s="2">
        <v>199148</v>
      </c>
      <c r="C266" t="s">
        <v>496</v>
      </c>
      <c r="D266" t="s">
        <v>497</v>
      </c>
      <c r="E266" t="s">
        <v>40</v>
      </c>
      <c r="F266" t="s">
        <v>95</v>
      </c>
      <c r="G266" s="4">
        <v>17153</v>
      </c>
      <c r="H266" s="4">
        <v>310293.804</v>
      </c>
      <c r="I266" s="4">
        <v>307581.14899999998</v>
      </c>
      <c r="J266" s="1">
        <v>0.88193148663996968</v>
      </c>
      <c r="K266" s="3">
        <v>18089.768786801142</v>
      </c>
      <c r="L266" s="2">
        <v>2</v>
      </c>
      <c r="M266" s="2">
        <v>4</v>
      </c>
    </row>
    <row r="267" spans="1:13" x14ac:dyDescent="0.25">
      <c r="A267" s="2">
        <f t="shared" si="4"/>
        <v>259</v>
      </c>
      <c r="B267" s="2">
        <v>235316</v>
      </c>
      <c r="C267" t="s">
        <v>498</v>
      </c>
      <c r="D267" t="s">
        <v>499</v>
      </c>
      <c r="E267" t="s">
        <v>85</v>
      </c>
      <c r="F267" t="s">
        <v>6</v>
      </c>
      <c r="G267" s="4">
        <v>6354</v>
      </c>
      <c r="H267" s="4">
        <v>308172.30800000002</v>
      </c>
      <c r="I267" s="4">
        <v>294720.41399999999</v>
      </c>
      <c r="J267" s="1">
        <v>4.5642898696525309</v>
      </c>
      <c r="K267" s="3">
        <v>48500.520616934213</v>
      </c>
      <c r="L267" s="2">
        <v>2</v>
      </c>
      <c r="M267" s="2">
        <v>4</v>
      </c>
    </row>
    <row r="268" spans="1:13" x14ac:dyDescent="0.25">
      <c r="A268" s="2">
        <f t="shared" si="4"/>
        <v>260</v>
      </c>
      <c r="B268" s="2">
        <v>217864</v>
      </c>
      <c r="C268" t="s">
        <v>500</v>
      </c>
      <c r="D268" t="s">
        <v>449</v>
      </c>
      <c r="E268" t="s">
        <v>305</v>
      </c>
      <c r="F268" t="s">
        <v>10</v>
      </c>
      <c r="G268" s="4">
        <v>2944</v>
      </c>
      <c r="H268" s="4">
        <v>305823.90100000001</v>
      </c>
      <c r="I268" s="4">
        <v>314435.34600000002</v>
      </c>
      <c r="J268" s="1">
        <v>-2.7387013290802238</v>
      </c>
      <c r="K268" s="3">
        <v>103880.40115489131</v>
      </c>
      <c r="L268" s="2">
        <v>2</v>
      </c>
      <c r="M268" s="2">
        <v>3</v>
      </c>
    </row>
    <row r="269" spans="1:13" x14ac:dyDescent="0.25">
      <c r="A269" s="2">
        <f t="shared" si="4"/>
        <v>261</v>
      </c>
      <c r="B269" s="2">
        <v>182281</v>
      </c>
      <c r="C269" t="s">
        <v>501</v>
      </c>
      <c r="D269" t="s">
        <v>502</v>
      </c>
      <c r="E269" t="s">
        <v>445</v>
      </c>
      <c r="F269" t="s">
        <v>82</v>
      </c>
      <c r="G269" s="4">
        <v>25114</v>
      </c>
      <c r="H269" s="4">
        <v>305787.75900000002</v>
      </c>
      <c r="I269" s="4">
        <v>292336.005</v>
      </c>
      <c r="J269" s="1">
        <v>4.6014701473395316</v>
      </c>
      <c r="K269" s="3">
        <v>12175.98785537947</v>
      </c>
      <c r="L269" s="2">
        <v>2</v>
      </c>
      <c r="M269" s="2">
        <v>4</v>
      </c>
    </row>
    <row r="270" spans="1:13" x14ac:dyDescent="0.25">
      <c r="A270" s="2">
        <f t="shared" si="4"/>
        <v>262</v>
      </c>
      <c r="B270" s="2">
        <v>110705</v>
      </c>
      <c r="C270" t="s">
        <v>503</v>
      </c>
      <c r="D270" t="s">
        <v>504</v>
      </c>
      <c r="E270" t="s">
        <v>16</v>
      </c>
      <c r="F270" t="s">
        <v>10</v>
      </c>
      <c r="G270" s="4">
        <v>26314</v>
      </c>
      <c r="H270" s="4">
        <v>301381.77600000001</v>
      </c>
      <c r="I270" s="4">
        <v>263099.83399999997</v>
      </c>
      <c r="J270" s="1">
        <v>14.550348214966945</v>
      </c>
      <c r="K270" s="3">
        <v>11453.286311469179</v>
      </c>
      <c r="L270" s="2">
        <v>2</v>
      </c>
      <c r="M270" s="2">
        <v>4</v>
      </c>
    </row>
    <row r="271" spans="1:13" x14ac:dyDescent="0.25">
      <c r="A271" s="2">
        <f t="shared" si="4"/>
        <v>263</v>
      </c>
      <c r="B271" s="2">
        <v>137546</v>
      </c>
      <c r="C271" t="s">
        <v>505</v>
      </c>
      <c r="D271" t="s">
        <v>506</v>
      </c>
      <c r="E271" t="s">
        <v>141</v>
      </c>
      <c r="F271" t="s">
        <v>6</v>
      </c>
      <c r="G271" s="4">
        <v>4292</v>
      </c>
      <c r="H271" s="4">
        <v>298565.99099999998</v>
      </c>
      <c r="I271" s="4">
        <v>247618.48</v>
      </c>
      <c r="J271" s="1">
        <v>20.575003529623476</v>
      </c>
      <c r="K271" s="3">
        <v>69563.371621621627</v>
      </c>
      <c r="L271" s="2">
        <v>2</v>
      </c>
      <c r="M271" s="2">
        <v>3</v>
      </c>
    </row>
    <row r="272" spans="1:13" x14ac:dyDescent="0.25">
      <c r="A272" s="2">
        <f t="shared" si="4"/>
        <v>264</v>
      </c>
      <c r="B272" s="2">
        <v>215770</v>
      </c>
      <c r="C272" t="s">
        <v>507</v>
      </c>
      <c r="D272" t="s">
        <v>22</v>
      </c>
      <c r="E272" t="s">
        <v>23</v>
      </c>
      <c r="F272" t="s">
        <v>6</v>
      </c>
      <c r="G272" s="4">
        <v>5545</v>
      </c>
      <c r="H272" s="4">
        <v>293803.27299999999</v>
      </c>
      <c r="I272" s="4">
        <v>294286.96899999998</v>
      </c>
      <c r="J272" s="1">
        <v>-0.16436201767397998</v>
      </c>
      <c r="K272" s="3">
        <v>52985.261136158704</v>
      </c>
      <c r="L272" s="2">
        <v>2</v>
      </c>
      <c r="M272" s="2">
        <v>3</v>
      </c>
    </row>
    <row r="273" spans="1:13" x14ac:dyDescent="0.25">
      <c r="A273" s="2">
        <f t="shared" si="4"/>
        <v>265</v>
      </c>
      <c r="B273" s="2">
        <v>228343</v>
      </c>
      <c r="C273" t="s">
        <v>508</v>
      </c>
      <c r="D273" t="s">
        <v>509</v>
      </c>
      <c r="E273" t="s">
        <v>9</v>
      </c>
      <c r="F273" t="s">
        <v>6</v>
      </c>
      <c r="G273" s="4">
        <v>1499</v>
      </c>
      <c r="H273" s="4">
        <v>289412.37300000002</v>
      </c>
      <c r="I273" s="4">
        <v>296412.69900000002</v>
      </c>
      <c r="J273" s="1">
        <v>-2.3616822165908617</v>
      </c>
      <c r="K273" s="3">
        <v>193070.29553035356</v>
      </c>
      <c r="L273" s="2">
        <v>2</v>
      </c>
      <c r="M273" s="2">
        <v>2</v>
      </c>
    </row>
    <row r="274" spans="1:13" x14ac:dyDescent="0.25">
      <c r="A274" s="2">
        <f t="shared" si="4"/>
        <v>266</v>
      </c>
      <c r="B274" s="2">
        <v>142285</v>
      </c>
      <c r="C274" t="s">
        <v>510</v>
      </c>
      <c r="D274" t="s">
        <v>511</v>
      </c>
      <c r="E274" t="s">
        <v>512</v>
      </c>
      <c r="F274" t="s">
        <v>10</v>
      </c>
      <c r="G274" s="4">
        <v>9594</v>
      </c>
      <c r="H274" s="4">
        <v>286512.21500000003</v>
      </c>
      <c r="I274" s="4">
        <v>291868.17099999997</v>
      </c>
      <c r="J274" s="1">
        <v>-1.8350599798701586</v>
      </c>
      <c r="K274" s="3">
        <v>29863.687200333541</v>
      </c>
      <c r="L274" s="2">
        <v>2</v>
      </c>
      <c r="M274" s="2">
        <v>4</v>
      </c>
    </row>
    <row r="275" spans="1:13" x14ac:dyDescent="0.25">
      <c r="A275" s="2">
        <f t="shared" si="4"/>
        <v>267</v>
      </c>
      <c r="B275" s="2">
        <v>214175</v>
      </c>
      <c r="C275" t="s">
        <v>513</v>
      </c>
      <c r="D275" t="s">
        <v>514</v>
      </c>
      <c r="E275" t="s">
        <v>23</v>
      </c>
      <c r="F275" t="s">
        <v>6</v>
      </c>
      <c r="G275" s="4">
        <v>2223.63</v>
      </c>
      <c r="H275" s="4">
        <v>286188.84100000001</v>
      </c>
      <c r="I275" s="4">
        <v>288973.79100000003</v>
      </c>
      <c r="J275" s="1">
        <v>-0.96373791905578032</v>
      </c>
      <c r="K275" s="3">
        <v>128703.44481770798</v>
      </c>
      <c r="L275" s="2">
        <v>2</v>
      </c>
      <c r="M275" s="2">
        <v>2</v>
      </c>
    </row>
    <row r="276" spans="1:13" x14ac:dyDescent="0.25">
      <c r="A276" s="2">
        <f t="shared" si="4"/>
        <v>268</v>
      </c>
      <c r="B276" s="2">
        <v>126775</v>
      </c>
      <c r="C276" t="s">
        <v>515</v>
      </c>
      <c r="D276" t="s">
        <v>516</v>
      </c>
      <c r="E276" t="s">
        <v>164</v>
      </c>
      <c r="F276" t="s">
        <v>82</v>
      </c>
      <c r="G276" s="4">
        <v>6607</v>
      </c>
      <c r="H276" s="4">
        <v>285595.60800000001</v>
      </c>
      <c r="I276" s="4">
        <v>289011</v>
      </c>
      <c r="J276" s="1">
        <v>-1.1817515596292183</v>
      </c>
      <c r="K276" s="3">
        <v>43226.215831693655</v>
      </c>
      <c r="L276" s="2">
        <v>2</v>
      </c>
      <c r="M276" s="2">
        <v>4</v>
      </c>
    </row>
    <row r="277" spans="1:13" x14ac:dyDescent="0.25">
      <c r="A277" s="2">
        <f t="shared" si="4"/>
        <v>269</v>
      </c>
      <c r="B277" s="2">
        <v>232265</v>
      </c>
      <c r="C277" t="s">
        <v>517</v>
      </c>
      <c r="D277" t="s">
        <v>518</v>
      </c>
      <c r="E277" t="s">
        <v>51</v>
      </c>
      <c r="F277" t="s">
        <v>6</v>
      </c>
      <c r="G277" s="4">
        <v>4112</v>
      </c>
      <c r="H277" s="4">
        <v>280598.08899999998</v>
      </c>
      <c r="I277" s="4">
        <v>282542.989</v>
      </c>
      <c r="J277" s="1">
        <v>-0.68835542756999712</v>
      </c>
      <c r="K277" s="3">
        <v>68238.834873540851</v>
      </c>
      <c r="L277" s="2">
        <v>1</v>
      </c>
      <c r="M277" s="2">
        <v>4</v>
      </c>
    </row>
    <row r="278" spans="1:13" x14ac:dyDescent="0.25">
      <c r="A278" s="2">
        <f t="shared" si="4"/>
        <v>270</v>
      </c>
      <c r="B278" s="2">
        <v>200280</v>
      </c>
      <c r="C278" t="s">
        <v>519</v>
      </c>
      <c r="D278" t="s">
        <v>520</v>
      </c>
      <c r="E278" t="s">
        <v>521</v>
      </c>
      <c r="F278" t="s">
        <v>82</v>
      </c>
      <c r="G278" s="4">
        <v>15000</v>
      </c>
      <c r="H278" s="4">
        <v>278252.90999999997</v>
      </c>
      <c r="I278" s="4">
        <v>284804.391</v>
      </c>
      <c r="J278" s="1">
        <v>-2.3003440982762093</v>
      </c>
      <c r="K278" s="3">
        <v>18550.194</v>
      </c>
      <c r="L278" s="2">
        <v>2</v>
      </c>
      <c r="M278" s="2">
        <v>4</v>
      </c>
    </row>
    <row r="279" spans="1:13" x14ac:dyDescent="0.25">
      <c r="A279" s="2">
        <f t="shared" si="4"/>
        <v>271</v>
      </c>
      <c r="B279" s="2">
        <v>131283</v>
      </c>
      <c r="C279" t="s">
        <v>522</v>
      </c>
      <c r="D279" t="s">
        <v>135</v>
      </c>
      <c r="E279" t="s">
        <v>136</v>
      </c>
      <c r="F279" t="s">
        <v>6</v>
      </c>
      <c r="G279" s="4">
        <v>4409</v>
      </c>
      <c r="H279" s="4">
        <v>276096.61900000001</v>
      </c>
      <c r="I279" s="4">
        <v>273684.56900000002</v>
      </c>
      <c r="J279" s="1">
        <v>0.88132480717244976</v>
      </c>
      <c r="K279" s="3">
        <v>62621.142889544113</v>
      </c>
      <c r="L279" s="2">
        <v>2</v>
      </c>
      <c r="M279" s="2">
        <v>4</v>
      </c>
    </row>
    <row r="280" spans="1:13" x14ac:dyDescent="0.25">
      <c r="A280" s="2">
        <f t="shared" si="4"/>
        <v>272</v>
      </c>
      <c r="B280" s="2">
        <v>206695</v>
      </c>
      <c r="C280" t="s">
        <v>523</v>
      </c>
      <c r="D280" t="s">
        <v>524</v>
      </c>
      <c r="E280" t="s">
        <v>69</v>
      </c>
      <c r="F280" t="s">
        <v>95</v>
      </c>
      <c r="G280" s="4">
        <v>9739</v>
      </c>
      <c r="H280" s="4">
        <v>275869.96899999998</v>
      </c>
      <c r="I280" s="4">
        <v>279778.23599999998</v>
      </c>
      <c r="J280" s="1">
        <v>-1.3969160203011646</v>
      </c>
      <c r="K280" s="3">
        <v>28326.313687236881</v>
      </c>
      <c r="L280" s="2">
        <v>2</v>
      </c>
      <c r="M280" s="2">
        <v>3</v>
      </c>
    </row>
    <row r="281" spans="1:13" x14ac:dyDescent="0.25">
      <c r="A281" s="2">
        <f t="shared" si="4"/>
        <v>273</v>
      </c>
      <c r="B281" s="2">
        <v>156125</v>
      </c>
      <c r="C281" t="s">
        <v>525</v>
      </c>
      <c r="D281" t="s">
        <v>526</v>
      </c>
      <c r="E281" t="s">
        <v>144</v>
      </c>
      <c r="F281" t="s">
        <v>82</v>
      </c>
      <c r="G281" s="4">
        <v>14386</v>
      </c>
      <c r="H281" s="4">
        <v>270511</v>
      </c>
      <c r="I281" s="4">
        <v>276142</v>
      </c>
      <c r="J281" s="1">
        <v>-2.0391682540142391</v>
      </c>
      <c r="K281" s="3">
        <v>18803.767551786459</v>
      </c>
      <c r="L281" s="2">
        <v>2</v>
      </c>
      <c r="M281" s="2">
        <v>4</v>
      </c>
    </row>
    <row r="282" spans="1:13" x14ac:dyDescent="0.25">
      <c r="A282" s="2">
        <f t="shared" si="4"/>
        <v>274</v>
      </c>
      <c r="B282" s="26" t="s">
        <v>1275</v>
      </c>
      <c r="C282" t="s">
        <v>527</v>
      </c>
      <c r="D282" t="s">
        <v>528</v>
      </c>
      <c r="E282" t="s">
        <v>16</v>
      </c>
      <c r="F282" t="s">
        <v>372</v>
      </c>
      <c r="G282" s="23" t="s">
        <v>1275</v>
      </c>
      <c r="H282" s="4">
        <v>267695.473</v>
      </c>
      <c r="I282" s="4">
        <v>273358.23300000001</v>
      </c>
      <c r="J282" s="1">
        <v>-2.0715527525377295</v>
      </c>
      <c r="K282" s="24" t="s">
        <v>1275</v>
      </c>
      <c r="L282" s="24" t="s">
        <v>1275</v>
      </c>
      <c r="M282" s="2">
        <v>0</v>
      </c>
    </row>
    <row r="283" spans="1:13" ht="17.25" x14ac:dyDescent="0.25">
      <c r="A283" s="2">
        <f t="shared" si="4"/>
        <v>275</v>
      </c>
      <c r="B283" s="2">
        <v>232982</v>
      </c>
      <c r="C283" t="s">
        <v>1340</v>
      </c>
      <c r="D283" t="s">
        <v>529</v>
      </c>
      <c r="E283" t="s">
        <v>51</v>
      </c>
      <c r="F283" t="s">
        <v>95</v>
      </c>
      <c r="G283" s="4">
        <v>18705</v>
      </c>
      <c r="H283" s="4">
        <v>265836.19799999997</v>
      </c>
      <c r="I283" s="4">
        <v>261711.26699999999</v>
      </c>
      <c r="J283" s="1">
        <v>1.5761381033702306</v>
      </c>
      <c r="K283" s="3">
        <v>14212.039454691259</v>
      </c>
      <c r="L283" s="2">
        <v>2</v>
      </c>
      <c r="M283" s="2">
        <v>4</v>
      </c>
    </row>
    <row r="284" spans="1:13" x14ac:dyDescent="0.25">
      <c r="A284" s="2">
        <f t="shared" si="4"/>
        <v>276</v>
      </c>
      <c r="B284" s="2">
        <v>186584</v>
      </c>
      <c r="C284" t="s">
        <v>530</v>
      </c>
      <c r="D284" t="s">
        <v>531</v>
      </c>
      <c r="E284" t="s">
        <v>19</v>
      </c>
      <c r="F284" t="s">
        <v>6</v>
      </c>
      <c r="G284" s="4">
        <v>9373</v>
      </c>
      <c r="H284" s="4">
        <v>265193</v>
      </c>
      <c r="I284" s="4">
        <v>264514</v>
      </c>
      <c r="J284" s="1">
        <v>0.25669718805053793</v>
      </c>
      <c r="K284" s="3">
        <v>28293.289235036809</v>
      </c>
      <c r="L284" s="2">
        <v>2</v>
      </c>
      <c r="M284" s="2">
        <v>4</v>
      </c>
    </row>
    <row r="285" spans="1:13" x14ac:dyDescent="0.25">
      <c r="A285" s="2">
        <f t="shared" si="4"/>
        <v>277</v>
      </c>
      <c r="B285" s="2">
        <v>219471</v>
      </c>
      <c r="C285" t="s">
        <v>532</v>
      </c>
      <c r="D285" t="s">
        <v>533</v>
      </c>
      <c r="E285" t="s">
        <v>534</v>
      </c>
      <c r="F285" t="s">
        <v>82</v>
      </c>
      <c r="G285" s="4">
        <v>7344</v>
      </c>
      <c r="H285" s="4">
        <v>264082.26699999999</v>
      </c>
      <c r="I285" s="49">
        <v>244500</v>
      </c>
      <c r="J285" s="50">
        <v>8.01</v>
      </c>
      <c r="K285" s="3">
        <v>35958.914351851854</v>
      </c>
      <c r="L285" s="2">
        <v>2</v>
      </c>
      <c r="M285" s="2">
        <v>4</v>
      </c>
    </row>
    <row r="286" spans="1:13" x14ac:dyDescent="0.25">
      <c r="A286" s="11">
        <f t="shared" si="4"/>
        <v>278</v>
      </c>
      <c r="B286" s="27" t="s">
        <v>1275</v>
      </c>
      <c r="C286" s="12" t="s">
        <v>535</v>
      </c>
      <c r="D286" s="12" t="s">
        <v>536</v>
      </c>
      <c r="E286" s="12" t="s">
        <v>537</v>
      </c>
      <c r="F286" s="12" t="s">
        <v>10</v>
      </c>
      <c r="G286" s="13">
        <v>8658</v>
      </c>
      <c r="H286" s="13">
        <v>262825.8717282</v>
      </c>
      <c r="I286" s="13">
        <v>266433.08610060002</v>
      </c>
      <c r="J286" s="14">
        <v>-1.3538912997607215</v>
      </c>
      <c r="K286" s="15">
        <v>30356.41854102564</v>
      </c>
      <c r="L286" s="22" t="s">
        <v>1275</v>
      </c>
      <c r="M286" s="11">
        <v>0</v>
      </c>
    </row>
    <row r="287" spans="1:13" x14ac:dyDescent="0.25">
      <c r="A287" s="2">
        <f t="shared" si="4"/>
        <v>279</v>
      </c>
      <c r="B287" s="2">
        <v>198516</v>
      </c>
      <c r="C287" t="s">
        <v>538</v>
      </c>
      <c r="D287" t="s">
        <v>539</v>
      </c>
      <c r="E287" t="s">
        <v>40</v>
      </c>
      <c r="F287" t="s">
        <v>6</v>
      </c>
      <c r="G287" s="4">
        <v>6938</v>
      </c>
      <c r="H287" s="4">
        <v>261551.511</v>
      </c>
      <c r="I287" s="4">
        <v>273429.21899999998</v>
      </c>
      <c r="J287" s="1">
        <v>-4.3439790536797025</v>
      </c>
      <c r="K287" s="3">
        <v>37698.401700778326</v>
      </c>
      <c r="L287" s="2">
        <v>2</v>
      </c>
      <c r="M287" s="2">
        <v>4</v>
      </c>
    </row>
    <row r="288" spans="1:13" x14ac:dyDescent="0.25">
      <c r="A288" s="2">
        <f t="shared" si="4"/>
        <v>280</v>
      </c>
      <c r="B288" s="2">
        <v>219709</v>
      </c>
      <c r="C288" t="s">
        <v>540</v>
      </c>
      <c r="D288" t="s">
        <v>55</v>
      </c>
      <c r="E288" t="s">
        <v>56</v>
      </c>
      <c r="F288" t="s">
        <v>6</v>
      </c>
      <c r="G288" s="4">
        <v>8211</v>
      </c>
      <c r="H288" s="4">
        <v>260087.45199999999</v>
      </c>
      <c r="I288" s="4">
        <v>252090.709</v>
      </c>
      <c r="J288" s="1">
        <v>3.172168871959498</v>
      </c>
      <c r="K288" s="3">
        <v>31675.490439654124</v>
      </c>
      <c r="L288" s="2">
        <v>2</v>
      </c>
      <c r="M288" s="2">
        <v>4</v>
      </c>
    </row>
    <row r="289" spans="1:13" ht="17.25" x14ac:dyDescent="0.25">
      <c r="A289" s="2">
        <f t="shared" si="4"/>
        <v>281</v>
      </c>
      <c r="B289" s="2">
        <v>210401</v>
      </c>
      <c r="C289" t="s">
        <v>1341</v>
      </c>
      <c r="D289" t="s">
        <v>541</v>
      </c>
      <c r="E289" t="s">
        <v>271</v>
      </c>
      <c r="F289" t="s">
        <v>6</v>
      </c>
      <c r="G289" s="4">
        <v>2126</v>
      </c>
      <c r="H289" s="4">
        <v>256754.45300000001</v>
      </c>
      <c r="I289" s="4">
        <v>264015.864</v>
      </c>
      <c r="J289" s="1">
        <v>-2.7503691975115556</v>
      </c>
      <c r="K289" s="3">
        <v>120768.79256820319</v>
      </c>
      <c r="L289" s="2">
        <v>2</v>
      </c>
      <c r="M289" s="2">
        <v>2</v>
      </c>
    </row>
    <row r="290" spans="1:13" x14ac:dyDescent="0.25">
      <c r="A290" s="2">
        <f t="shared" si="4"/>
        <v>282</v>
      </c>
      <c r="B290" s="2">
        <v>152600</v>
      </c>
      <c r="C290" t="s">
        <v>542</v>
      </c>
      <c r="D290" t="s">
        <v>543</v>
      </c>
      <c r="E290" t="s">
        <v>31</v>
      </c>
      <c r="F290" t="s">
        <v>6</v>
      </c>
      <c r="G290" s="4">
        <v>3400</v>
      </c>
      <c r="H290" s="4">
        <v>254200</v>
      </c>
      <c r="I290" s="4">
        <v>259042</v>
      </c>
      <c r="J290" s="1">
        <v>-1.8691949568023718</v>
      </c>
      <c r="K290" s="3">
        <v>74764.705882352937</v>
      </c>
      <c r="L290" s="2">
        <v>2</v>
      </c>
      <c r="M290" s="2">
        <v>4</v>
      </c>
    </row>
    <row r="291" spans="1:13" x14ac:dyDescent="0.25">
      <c r="A291" s="2">
        <f t="shared" si="4"/>
        <v>283</v>
      </c>
      <c r="B291" s="2">
        <v>193016</v>
      </c>
      <c r="C291" t="s">
        <v>544</v>
      </c>
      <c r="D291" t="s">
        <v>545</v>
      </c>
      <c r="E291" t="s">
        <v>34</v>
      </c>
      <c r="F291" t="s">
        <v>6</v>
      </c>
      <c r="G291" s="4">
        <v>10557</v>
      </c>
      <c r="H291" s="4">
        <v>249360.14199999999</v>
      </c>
      <c r="I291" s="4">
        <v>255751.26300000001</v>
      </c>
      <c r="J291" s="1">
        <v>-2.4989597021071215</v>
      </c>
      <c r="K291" s="3">
        <v>23620.360140191344</v>
      </c>
      <c r="L291" s="2">
        <v>2</v>
      </c>
      <c r="M291" s="2">
        <v>3</v>
      </c>
    </row>
    <row r="292" spans="1:13" x14ac:dyDescent="0.25">
      <c r="A292" s="2">
        <f t="shared" si="4"/>
        <v>284</v>
      </c>
      <c r="B292" s="2">
        <v>200332</v>
      </c>
      <c r="C292" t="s">
        <v>546</v>
      </c>
      <c r="D292" t="s">
        <v>547</v>
      </c>
      <c r="E292" t="s">
        <v>521</v>
      </c>
      <c r="F292" t="s">
        <v>82</v>
      </c>
      <c r="G292" s="4">
        <v>13173</v>
      </c>
      <c r="H292" s="4">
        <v>247738.61199999999</v>
      </c>
      <c r="I292" s="4">
        <v>226625.715</v>
      </c>
      <c r="J292" s="1">
        <v>9.3161965313600881</v>
      </c>
      <c r="K292" s="3">
        <v>18806.544598800578</v>
      </c>
      <c r="L292" s="2">
        <v>2</v>
      </c>
      <c r="M292" s="2">
        <v>4</v>
      </c>
    </row>
    <row r="293" spans="1:13" x14ac:dyDescent="0.25">
      <c r="A293" s="2">
        <f t="shared" si="4"/>
        <v>285</v>
      </c>
      <c r="B293" s="2">
        <v>168005</v>
      </c>
      <c r="C293" t="s">
        <v>548</v>
      </c>
      <c r="D293" t="s">
        <v>103</v>
      </c>
      <c r="E293" t="s">
        <v>5</v>
      </c>
      <c r="F293" t="s">
        <v>6</v>
      </c>
      <c r="G293" s="4">
        <v>6786</v>
      </c>
      <c r="H293" s="4">
        <v>246207.46</v>
      </c>
      <c r="I293" s="4">
        <v>256299.96299999999</v>
      </c>
      <c r="J293" s="1">
        <v>-3.9377699793113119</v>
      </c>
      <c r="K293" s="3">
        <v>36281.676982021811</v>
      </c>
      <c r="L293" s="2">
        <v>2</v>
      </c>
      <c r="M293" s="2">
        <v>3</v>
      </c>
    </row>
    <row r="294" spans="1:13" x14ac:dyDescent="0.25">
      <c r="A294" s="2">
        <f t="shared" si="4"/>
        <v>286</v>
      </c>
      <c r="B294" s="2">
        <v>209056</v>
      </c>
      <c r="C294" t="s">
        <v>549</v>
      </c>
      <c r="D294" t="s">
        <v>294</v>
      </c>
      <c r="E294" t="s">
        <v>271</v>
      </c>
      <c r="F294" t="s">
        <v>6</v>
      </c>
      <c r="G294" s="4">
        <v>3000</v>
      </c>
      <c r="H294" s="4">
        <v>240773.93100000001</v>
      </c>
      <c r="I294" s="4">
        <v>246793.73</v>
      </c>
      <c r="J294" s="1">
        <v>-2.4392025680717255</v>
      </c>
      <c r="K294" s="3">
        <v>80257.976999999999</v>
      </c>
      <c r="L294" s="2">
        <v>2</v>
      </c>
      <c r="M294" s="2">
        <v>2</v>
      </c>
    </row>
    <row r="295" spans="1:13" x14ac:dyDescent="0.25">
      <c r="A295" s="2">
        <f t="shared" si="4"/>
        <v>287</v>
      </c>
      <c r="B295" s="2">
        <v>133669</v>
      </c>
      <c r="C295" t="s">
        <v>550</v>
      </c>
      <c r="D295" t="s">
        <v>551</v>
      </c>
      <c r="E295" t="s">
        <v>141</v>
      </c>
      <c r="F295" t="s">
        <v>82</v>
      </c>
      <c r="G295" s="4">
        <v>22603</v>
      </c>
      <c r="H295" s="4">
        <v>240694.16699999999</v>
      </c>
      <c r="I295" s="4">
        <v>245933.98199999999</v>
      </c>
      <c r="J295" s="1">
        <v>-2.130577871910357</v>
      </c>
      <c r="K295" s="3">
        <v>10648.770826881388</v>
      </c>
      <c r="L295" s="2">
        <v>2</v>
      </c>
      <c r="M295" s="2">
        <v>4</v>
      </c>
    </row>
    <row r="296" spans="1:13" x14ac:dyDescent="0.25">
      <c r="A296" s="2">
        <f t="shared" si="4"/>
        <v>288</v>
      </c>
      <c r="B296" s="2">
        <v>184782</v>
      </c>
      <c r="C296" t="s">
        <v>552</v>
      </c>
      <c r="D296" t="s">
        <v>553</v>
      </c>
      <c r="E296" t="s">
        <v>19</v>
      </c>
      <c r="F296" t="s">
        <v>95</v>
      </c>
      <c r="G296" s="4">
        <v>17115</v>
      </c>
      <c r="H296" s="4">
        <v>240008.342</v>
      </c>
      <c r="I296" s="4">
        <v>232093.929</v>
      </c>
      <c r="J296" s="1">
        <v>3.4100043176915671</v>
      </c>
      <c r="K296" s="3">
        <v>14023.274437627811</v>
      </c>
      <c r="L296" s="2">
        <v>2</v>
      </c>
      <c r="M296" s="2">
        <v>4</v>
      </c>
    </row>
    <row r="297" spans="1:13" x14ac:dyDescent="0.25">
      <c r="A297" s="2">
        <f t="shared" si="4"/>
        <v>289</v>
      </c>
      <c r="B297" s="2">
        <v>163046</v>
      </c>
      <c r="C297" t="s">
        <v>554</v>
      </c>
      <c r="D297" t="s">
        <v>58</v>
      </c>
      <c r="E297" t="s">
        <v>59</v>
      </c>
      <c r="F297" t="s">
        <v>6</v>
      </c>
      <c r="G297" s="4">
        <v>4695</v>
      </c>
      <c r="H297" s="4">
        <v>239208.66800000001</v>
      </c>
      <c r="I297" s="4">
        <v>232472.905</v>
      </c>
      <c r="J297" s="1">
        <v>2.897440026397915</v>
      </c>
      <c r="K297" s="3">
        <v>50949.663045793401</v>
      </c>
      <c r="L297" s="2">
        <v>2</v>
      </c>
      <c r="M297" s="2">
        <v>3</v>
      </c>
    </row>
    <row r="298" spans="1:13" x14ac:dyDescent="0.25">
      <c r="A298" s="2">
        <f t="shared" si="4"/>
        <v>290</v>
      </c>
      <c r="B298" s="2">
        <v>140401</v>
      </c>
      <c r="C298" t="s">
        <v>555</v>
      </c>
      <c r="D298" t="s">
        <v>556</v>
      </c>
      <c r="E298" t="s">
        <v>48</v>
      </c>
      <c r="F298" t="s">
        <v>82</v>
      </c>
      <c r="G298" s="4">
        <v>940</v>
      </c>
      <c r="H298" s="4">
        <v>238988.69</v>
      </c>
      <c r="I298" s="4">
        <v>243555.69200000001</v>
      </c>
      <c r="J298" s="1">
        <v>-1.8751366319946241</v>
      </c>
      <c r="K298" s="3">
        <v>254243.28723404257</v>
      </c>
      <c r="L298" s="21" t="s">
        <v>1275</v>
      </c>
      <c r="M298" s="2">
        <v>0</v>
      </c>
    </row>
    <row r="299" spans="1:13" x14ac:dyDescent="0.25">
      <c r="A299" s="2">
        <f t="shared" si="4"/>
        <v>291</v>
      </c>
      <c r="B299" s="2">
        <v>204909</v>
      </c>
      <c r="C299" t="s">
        <v>557</v>
      </c>
      <c r="D299" t="s">
        <v>558</v>
      </c>
      <c r="E299" t="s">
        <v>69</v>
      </c>
      <c r="F299" t="s">
        <v>6</v>
      </c>
      <c r="G299" s="4">
        <v>1493</v>
      </c>
      <c r="H299" s="4">
        <v>236259.742</v>
      </c>
      <c r="I299" s="4">
        <v>243083.20300000001</v>
      </c>
      <c r="J299" s="1">
        <v>-2.8070475112177951</v>
      </c>
      <c r="K299" s="3">
        <v>158244.97119892834</v>
      </c>
      <c r="L299" s="2">
        <v>2</v>
      </c>
      <c r="M299" s="2">
        <v>2</v>
      </c>
    </row>
    <row r="300" spans="1:13" x14ac:dyDescent="0.25">
      <c r="A300" s="2">
        <f t="shared" si="4"/>
        <v>292</v>
      </c>
      <c r="B300" s="2">
        <v>200800</v>
      </c>
      <c r="C300" t="s">
        <v>559</v>
      </c>
      <c r="D300" t="s">
        <v>560</v>
      </c>
      <c r="E300" t="s">
        <v>69</v>
      </c>
      <c r="F300" t="s">
        <v>95</v>
      </c>
      <c r="G300" s="4">
        <v>15128</v>
      </c>
      <c r="H300" s="4">
        <v>235257.68400000001</v>
      </c>
      <c r="I300" s="4">
        <v>235961.962</v>
      </c>
      <c r="J300" s="1">
        <v>-0.29847098830276719</v>
      </c>
      <c r="K300" s="3">
        <v>15551.142517186674</v>
      </c>
      <c r="L300" s="2">
        <v>2</v>
      </c>
      <c r="M300" s="2">
        <v>4</v>
      </c>
    </row>
    <row r="301" spans="1:13" x14ac:dyDescent="0.25">
      <c r="A301" s="2">
        <f t="shared" si="4"/>
        <v>293</v>
      </c>
      <c r="B301" s="2">
        <v>210669</v>
      </c>
      <c r="C301" t="s">
        <v>561</v>
      </c>
      <c r="D301" t="s">
        <v>562</v>
      </c>
      <c r="E301" t="s">
        <v>23</v>
      </c>
      <c r="F301" t="s">
        <v>6</v>
      </c>
      <c r="G301" s="4">
        <v>1734</v>
      </c>
      <c r="H301" s="4">
        <v>233661.481</v>
      </c>
      <c r="I301" s="4">
        <v>230452.902</v>
      </c>
      <c r="J301" s="1">
        <v>1.3922927297309537</v>
      </c>
      <c r="K301" s="3">
        <v>134752.87254901961</v>
      </c>
      <c r="L301" s="2">
        <v>2</v>
      </c>
      <c r="M301" s="2">
        <v>2</v>
      </c>
    </row>
    <row r="302" spans="1:13" x14ac:dyDescent="0.25">
      <c r="A302" s="2">
        <f t="shared" si="4"/>
        <v>294</v>
      </c>
      <c r="B302" s="2">
        <v>199139</v>
      </c>
      <c r="C302" t="s">
        <v>563</v>
      </c>
      <c r="D302" t="s">
        <v>564</v>
      </c>
      <c r="E302" t="s">
        <v>40</v>
      </c>
      <c r="F302" t="s">
        <v>10</v>
      </c>
      <c r="G302" s="4">
        <v>27133</v>
      </c>
      <c r="H302" s="4">
        <v>232169.288</v>
      </c>
      <c r="I302" s="4">
        <v>230352.21599999999</v>
      </c>
      <c r="J302" s="1">
        <v>0.78882332089221141</v>
      </c>
      <c r="K302" s="3">
        <v>8556.7127851693513</v>
      </c>
      <c r="L302" s="2">
        <v>2</v>
      </c>
      <c r="M302" s="2">
        <v>4</v>
      </c>
    </row>
    <row r="303" spans="1:13" x14ac:dyDescent="0.25">
      <c r="A303" s="11">
        <f t="shared" si="4"/>
        <v>295</v>
      </c>
      <c r="B303" s="27" t="s">
        <v>1275</v>
      </c>
      <c r="C303" s="12" t="s">
        <v>565</v>
      </c>
      <c r="D303" s="12" t="s">
        <v>566</v>
      </c>
      <c r="E303" s="12" t="s">
        <v>129</v>
      </c>
      <c r="F303" s="12" t="s">
        <v>10</v>
      </c>
      <c r="G303" s="13">
        <v>27907</v>
      </c>
      <c r="H303" s="13">
        <v>230904.60898260001</v>
      </c>
      <c r="I303" s="13">
        <v>228201.4862514</v>
      </c>
      <c r="J303" s="14">
        <v>1.1845333593586207</v>
      </c>
      <c r="K303" s="15">
        <v>8274.0749268140607</v>
      </c>
      <c r="L303" s="22" t="s">
        <v>1275</v>
      </c>
      <c r="M303" s="11">
        <v>0</v>
      </c>
    </row>
    <row r="304" spans="1:13" x14ac:dyDescent="0.25">
      <c r="A304" s="2">
        <f t="shared" si="4"/>
        <v>296</v>
      </c>
      <c r="B304" s="2">
        <v>170301</v>
      </c>
      <c r="C304" t="s">
        <v>567</v>
      </c>
      <c r="D304" t="s">
        <v>568</v>
      </c>
      <c r="E304" t="s">
        <v>27</v>
      </c>
      <c r="F304" t="s">
        <v>6</v>
      </c>
      <c r="G304" s="4">
        <v>2967</v>
      </c>
      <c r="H304" s="4">
        <v>229197.788</v>
      </c>
      <c r="I304" s="4">
        <v>232248.73699999999</v>
      </c>
      <c r="J304" s="1">
        <v>-1.3136557982659773</v>
      </c>
      <c r="K304" s="3">
        <v>77249.001685203912</v>
      </c>
      <c r="L304" s="2">
        <v>2</v>
      </c>
      <c r="M304" s="2">
        <v>2</v>
      </c>
    </row>
    <row r="305" spans="1:13" x14ac:dyDescent="0.25">
      <c r="A305" s="2">
        <f t="shared" si="4"/>
        <v>297</v>
      </c>
      <c r="B305" s="2">
        <v>161253</v>
      </c>
      <c r="C305" t="s">
        <v>569</v>
      </c>
      <c r="D305" t="s">
        <v>570</v>
      </c>
      <c r="E305" t="s">
        <v>148</v>
      </c>
      <c r="F305" t="s">
        <v>82</v>
      </c>
      <c r="G305" s="4">
        <v>9783</v>
      </c>
      <c r="H305" s="4">
        <v>228116.87899999999</v>
      </c>
      <c r="I305" s="4">
        <v>227085.17</v>
      </c>
      <c r="J305" s="1">
        <v>0.45432689417807426</v>
      </c>
      <c r="K305" s="3">
        <v>23317.681590514156</v>
      </c>
      <c r="L305" s="2">
        <v>2</v>
      </c>
      <c r="M305" s="2">
        <v>4</v>
      </c>
    </row>
    <row r="306" spans="1:13" x14ac:dyDescent="0.25">
      <c r="A306" s="2">
        <f t="shared" si="4"/>
        <v>298</v>
      </c>
      <c r="B306" s="2">
        <v>110422</v>
      </c>
      <c r="C306" t="s">
        <v>571</v>
      </c>
      <c r="D306" t="s">
        <v>572</v>
      </c>
      <c r="E306" t="s">
        <v>16</v>
      </c>
      <c r="F306" t="s">
        <v>10</v>
      </c>
      <c r="G306" s="4">
        <v>20577</v>
      </c>
      <c r="H306" s="4">
        <v>226105.39300000001</v>
      </c>
      <c r="I306" s="4">
        <v>227678.09400000001</v>
      </c>
      <c r="J306" s="1">
        <v>-0.69075639749514062</v>
      </c>
      <c r="K306" s="3">
        <v>10988.258395295719</v>
      </c>
      <c r="L306" s="2">
        <v>2</v>
      </c>
      <c r="M306" s="2">
        <v>3</v>
      </c>
    </row>
    <row r="307" spans="1:13" ht="17.25" x14ac:dyDescent="0.25">
      <c r="A307" s="2">
        <f t="shared" si="4"/>
        <v>299</v>
      </c>
      <c r="B307" s="2">
        <v>228459</v>
      </c>
      <c r="C307" t="s">
        <v>1338</v>
      </c>
      <c r="D307" t="s">
        <v>573</v>
      </c>
      <c r="E307" t="s">
        <v>9</v>
      </c>
      <c r="F307" t="s">
        <v>95</v>
      </c>
      <c r="G307" s="4">
        <v>32369</v>
      </c>
      <c r="H307" s="4">
        <v>225519.535</v>
      </c>
      <c r="I307" s="4">
        <v>208459.06700000001</v>
      </c>
      <c r="J307" s="1">
        <v>8.1840853677043466</v>
      </c>
      <c r="K307" s="3">
        <v>6967.1455713800242</v>
      </c>
      <c r="L307" s="2">
        <v>2</v>
      </c>
      <c r="M307" s="2">
        <v>4</v>
      </c>
    </row>
    <row r="308" spans="1:13" x14ac:dyDescent="0.25">
      <c r="A308" s="2">
        <f t="shared" si="4"/>
        <v>300</v>
      </c>
      <c r="B308" s="2">
        <v>186867</v>
      </c>
      <c r="C308" t="s">
        <v>574</v>
      </c>
      <c r="D308" t="s">
        <v>575</v>
      </c>
      <c r="E308" t="s">
        <v>19</v>
      </c>
      <c r="F308" t="s">
        <v>6</v>
      </c>
      <c r="G308" s="4">
        <v>6588</v>
      </c>
      <c r="H308" s="4">
        <v>225009.21299999999</v>
      </c>
      <c r="I308" s="4">
        <v>224304</v>
      </c>
      <c r="J308" s="1">
        <v>0.31440054568799486</v>
      </c>
      <c r="K308" s="3">
        <v>34154.403916211297</v>
      </c>
      <c r="L308" s="2">
        <v>2</v>
      </c>
      <c r="M308" s="2">
        <v>4</v>
      </c>
    </row>
    <row r="309" spans="1:13" x14ac:dyDescent="0.25">
      <c r="A309" s="2">
        <f t="shared" si="4"/>
        <v>301</v>
      </c>
      <c r="B309" s="2">
        <v>191630</v>
      </c>
      <c r="C309" t="s">
        <v>576</v>
      </c>
      <c r="D309" t="s">
        <v>577</v>
      </c>
      <c r="E309" t="s">
        <v>34</v>
      </c>
      <c r="F309" t="s">
        <v>6</v>
      </c>
      <c r="G309" s="4">
        <v>2059.33</v>
      </c>
      <c r="H309" s="4">
        <v>224865.649</v>
      </c>
      <c r="I309" s="4">
        <v>229106.829</v>
      </c>
      <c r="J309" s="1">
        <v>-1.8511800885690752</v>
      </c>
      <c r="K309" s="3">
        <v>109193.59646098489</v>
      </c>
      <c r="L309" s="2">
        <v>2</v>
      </c>
      <c r="M309" s="2">
        <v>2</v>
      </c>
    </row>
    <row r="310" spans="1:13" x14ac:dyDescent="0.25">
      <c r="A310" s="11">
        <f t="shared" si="4"/>
        <v>302</v>
      </c>
      <c r="B310" s="27" t="s">
        <v>1275</v>
      </c>
      <c r="C310" s="12" t="s">
        <v>578</v>
      </c>
      <c r="D310" s="12" t="s">
        <v>566</v>
      </c>
      <c r="E310" s="12" t="s">
        <v>129</v>
      </c>
      <c r="F310" s="12" t="s">
        <v>10</v>
      </c>
      <c r="G310" s="13">
        <v>43229</v>
      </c>
      <c r="H310" s="13">
        <v>224842.8346764</v>
      </c>
      <c r="I310" s="13">
        <v>225016.385832</v>
      </c>
      <c r="J310" s="14">
        <v>-7.7128229999017486E-2</v>
      </c>
      <c r="K310" s="15">
        <v>5201.2036983598973</v>
      </c>
      <c r="L310" s="22" t="s">
        <v>1275</v>
      </c>
      <c r="M310" s="11">
        <v>0</v>
      </c>
    </row>
    <row r="311" spans="1:13" x14ac:dyDescent="0.25">
      <c r="A311" s="2">
        <f t="shared" si="4"/>
        <v>303</v>
      </c>
      <c r="B311" s="2">
        <v>194578</v>
      </c>
      <c r="C311" t="s">
        <v>579</v>
      </c>
      <c r="D311" t="s">
        <v>580</v>
      </c>
      <c r="E311" t="s">
        <v>34</v>
      </c>
      <c r="F311" t="s">
        <v>6</v>
      </c>
      <c r="G311" s="4">
        <v>4698</v>
      </c>
      <c r="H311" s="4">
        <v>224469.41899999999</v>
      </c>
      <c r="I311" s="4">
        <v>215666.823</v>
      </c>
      <c r="J311" s="1">
        <v>4.0815716935747686</v>
      </c>
      <c r="K311" s="3">
        <v>47779.782673478076</v>
      </c>
      <c r="L311" s="2">
        <v>2</v>
      </c>
      <c r="M311" s="2">
        <v>5</v>
      </c>
    </row>
    <row r="312" spans="1:13" x14ac:dyDescent="0.25">
      <c r="A312" s="2">
        <f t="shared" si="4"/>
        <v>304</v>
      </c>
      <c r="B312" s="2">
        <v>192457</v>
      </c>
      <c r="C312" t="s">
        <v>581</v>
      </c>
      <c r="D312" t="s">
        <v>582</v>
      </c>
      <c r="E312" t="s">
        <v>34</v>
      </c>
      <c r="F312" t="s">
        <v>6</v>
      </c>
      <c r="G312" s="4">
        <v>10651</v>
      </c>
      <c r="H312" s="4">
        <v>224427</v>
      </c>
      <c r="I312" s="4">
        <v>238973</v>
      </c>
      <c r="J312" s="1">
        <v>-6.0868801077946042</v>
      </c>
      <c r="K312" s="3">
        <v>21070.979250774577</v>
      </c>
      <c r="L312" s="21" t="s">
        <v>1275</v>
      </c>
      <c r="M312" s="2">
        <v>0</v>
      </c>
    </row>
    <row r="313" spans="1:13" x14ac:dyDescent="0.25">
      <c r="A313" s="2">
        <f t="shared" si="4"/>
        <v>305</v>
      </c>
      <c r="B313" s="2">
        <v>139348</v>
      </c>
      <c r="C313" t="s">
        <v>583</v>
      </c>
      <c r="D313" t="s">
        <v>584</v>
      </c>
      <c r="E313" t="s">
        <v>48</v>
      </c>
      <c r="F313" t="s">
        <v>6</v>
      </c>
      <c r="G313" s="4">
        <v>178.5</v>
      </c>
      <c r="H313" s="4">
        <v>222197.44399999999</v>
      </c>
      <c r="I313" s="4">
        <v>224955.55600000001</v>
      </c>
      <c r="J313" s="1">
        <v>-1.2260697397489484</v>
      </c>
      <c r="K313" s="3">
        <v>1244803.6078431373</v>
      </c>
      <c r="L313" s="2">
        <v>2</v>
      </c>
      <c r="M313" s="2">
        <v>5</v>
      </c>
    </row>
    <row r="314" spans="1:13" x14ac:dyDescent="0.25">
      <c r="A314" s="2">
        <f t="shared" si="4"/>
        <v>306</v>
      </c>
      <c r="B314" s="2">
        <v>220862</v>
      </c>
      <c r="C314" t="s">
        <v>585</v>
      </c>
      <c r="D314" t="s">
        <v>477</v>
      </c>
      <c r="E314" t="s">
        <v>56</v>
      </c>
      <c r="F314" t="s">
        <v>95</v>
      </c>
      <c r="G314" s="4">
        <v>16564</v>
      </c>
      <c r="H314" s="4">
        <v>220771.45499999999</v>
      </c>
      <c r="I314" s="4">
        <v>223397.56099999999</v>
      </c>
      <c r="J314" s="1">
        <v>-1.1755302914878287</v>
      </c>
      <c r="K314" s="3">
        <v>13328.390183530548</v>
      </c>
      <c r="L314" s="2">
        <v>2</v>
      </c>
      <c r="M314" s="2">
        <v>4</v>
      </c>
    </row>
    <row r="315" spans="1:13" x14ac:dyDescent="0.25">
      <c r="A315" s="2">
        <f t="shared" si="4"/>
        <v>307</v>
      </c>
      <c r="B315" s="2">
        <v>153269</v>
      </c>
      <c r="C315" t="s">
        <v>586</v>
      </c>
      <c r="D315" t="s">
        <v>587</v>
      </c>
      <c r="E315" t="s">
        <v>123</v>
      </c>
      <c r="F315" t="s">
        <v>6</v>
      </c>
      <c r="G315" s="4">
        <v>4139</v>
      </c>
      <c r="H315" s="4">
        <v>219800.16800000001</v>
      </c>
      <c r="I315" s="4">
        <v>226154.90700000001</v>
      </c>
      <c r="J315" s="1">
        <v>-2.8099054246919346</v>
      </c>
      <c r="K315" s="3">
        <v>53104.65523073206</v>
      </c>
      <c r="L315" s="2">
        <v>2</v>
      </c>
      <c r="M315" s="2">
        <v>4</v>
      </c>
    </row>
    <row r="316" spans="1:13" x14ac:dyDescent="0.25">
      <c r="A316" s="2">
        <f t="shared" si="4"/>
        <v>308</v>
      </c>
      <c r="B316" s="2">
        <v>167996</v>
      </c>
      <c r="C316" t="s">
        <v>588</v>
      </c>
      <c r="D316" t="s">
        <v>291</v>
      </c>
      <c r="E316" t="s">
        <v>5</v>
      </c>
      <c r="F316" t="s">
        <v>6</v>
      </c>
      <c r="G316" s="4">
        <v>2488</v>
      </c>
      <c r="H316" s="4">
        <v>218832.717</v>
      </c>
      <c r="I316" s="4">
        <v>217240.01199999999</v>
      </c>
      <c r="J316" s="1">
        <v>0.73315453508628969</v>
      </c>
      <c r="K316" s="3">
        <v>87955.272106109318</v>
      </c>
      <c r="L316" s="2">
        <v>2</v>
      </c>
      <c r="M316" s="2">
        <v>2</v>
      </c>
    </row>
    <row r="317" spans="1:13" x14ac:dyDescent="0.25">
      <c r="A317" s="2">
        <f t="shared" si="4"/>
        <v>309</v>
      </c>
      <c r="B317" s="2">
        <v>133951</v>
      </c>
      <c r="C317" t="s">
        <v>589</v>
      </c>
      <c r="D317" t="s">
        <v>590</v>
      </c>
      <c r="E317" t="s">
        <v>141</v>
      </c>
      <c r="F317" t="s">
        <v>82</v>
      </c>
      <c r="G317" s="4">
        <v>39956</v>
      </c>
      <c r="H317" s="4">
        <v>218684.25099999999</v>
      </c>
      <c r="I317" s="4">
        <v>216382.258</v>
      </c>
      <c r="J317" s="1">
        <v>1.0638547824008751</v>
      </c>
      <c r="K317" s="3">
        <v>5473.126714385824</v>
      </c>
      <c r="L317" s="2">
        <v>2</v>
      </c>
      <c r="M317" s="2">
        <v>4</v>
      </c>
    </row>
    <row r="318" spans="1:13" x14ac:dyDescent="0.25">
      <c r="A318" s="2">
        <f t="shared" si="4"/>
        <v>310</v>
      </c>
      <c r="B318" s="2">
        <v>164216</v>
      </c>
      <c r="C318" t="s">
        <v>591</v>
      </c>
      <c r="D318" t="s">
        <v>592</v>
      </c>
      <c r="E318" t="s">
        <v>59</v>
      </c>
      <c r="F318" t="s">
        <v>6</v>
      </c>
      <c r="G318" s="4">
        <v>1272</v>
      </c>
      <c r="H318" s="4">
        <v>218534.06899999999</v>
      </c>
      <c r="I318" s="4">
        <v>236685.30900000001</v>
      </c>
      <c r="J318" s="1">
        <v>-7.668933943001929</v>
      </c>
      <c r="K318" s="3">
        <v>171803.51336477988</v>
      </c>
      <c r="L318" s="2">
        <v>2</v>
      </c>
      <c r="M318" s="2">
        <v>2</v>
      </c>
    </row>
    <row r="319" spans="1:13" x14ac:dyDescent="0.25">
      <c r="A319" s="2">
        <f t="shared" si="4"/>
        <v>311</v>
      </c>
      <c r="B319" s="2">
        <v>243133</v>
      </c>
      <c r="C319" t="s">
        <v>593</v>
      </c>
      <c r="D319" t="s">
        <v>594</v>
      </c>
      <c r="E319" t="s">
        <v>23</v>
      </c>
      <c r="F319" t="s">
        <v>6</v>
      </c>
      <c r="G319" s="4">
        <v>4520</v>
      </c>
      <c r="H319" s="4">
        <v>218068.16200000001</v>
      </c>
      <c r="I319" s="4">
        <v>209760.43599999999</v>
      </c>
      <c r="J319" s="1">
        <v>3.9605781521163506</v>
      </c>
      <c r="K319" s="3">
        <v>48245.168584070794</v>
      </c>
      <c r="L319" s="2">
        <v>2</v>
      </c>
      <c r="M319" s="2">
        <v>2</v>
      </c>
    </row>
    <row r="320" spans="1:13" x14ac:dyDescent="0.25">
      <c r="A320" s="2">
        <f t="shared" si="4"/>
        <v>312</v>
      </c>
      <c r="B320" s="2">
        <v>227216</v>
      </c>
      <c r="C320" t="s">
        <v>595</v>
      </c>
      <c r="D320" t="s">
        <v>596</v>
      </c>
      <c r="E320" t="s">
        <v>9</v>
      </c>
      <c r="F320" t="s">
        <v>82</v>
      </c>
      <c r="G320" s="4">
        <v>39330</v>
      </c>
      <c r="H320" s="4">
        <v>217833.36600000001</v>
      </c>
      <c r="I320" s="4">
        <v>210623.63099999999</v>
      </c>
      <c r="J320" s="1">
        <v>3.4230418333259101</v>
      </c>
      <c r="K320" s="3">
        <v>5538.6057971014488</v>
      </c>
      <c r="L320" s="2">
        <v>2</v>
      </c>
      <c r="M320" s="2">
        <v>4</v>
      </c>
    </row>
    <row r="321" spans="1:13" x14ac:dyDescent="0.25">
      <c r="A321" s="2">
        <f t="shared" si="4"/>
        <v>313</v>
      </c>
      <c r="B321" s="2">
        <v>121691</v>
      </c>
      <c r="C321" t="s">
        <v>597</v>
      </c>
      <c r="D321" t="s">
        <v>598</v>
      </c>
      <c r="E321" t="s">
        <v>16</v>
      </c>
      <c r="F321" t="s">
        <v>6</v>
      </c>
      <c r="G321" s="4">
        <v>4512</v>
      </c>
      <c r="H321" s="4">
        <v>212459.592</v>
      </c>
      <c r="I321" s="4">
        <v>182278.03</v>
      </c>
      <c r="J321" s="1">
        <v>16.557981233393843</v>
      </c>
      <c r="K321" s="3">
        <v>47087.675531914894</v>
      </c>
      <c r="L321" s="2">
        <v>2</v>
      </c>
      <c r="M321" s="2">
        <v>3</v>
      </c>
    </row>
    <row r="322" spans="1:13" x14ac:dyDescent="0.25">
      <c r="A322" s="2">
        <f t="shared" si="4"/>
        <v>314</v>
      </c>
      <c r="B322" s="2">
        <v>198464</v>
      </c>
      <c r="C322" t="s">
        <v>599</v>
      </c>
      <c r="D322" t="s">
        <v>342</v>
      </c>
      <c r="E322" t="s">
        <v>40</v>
      </c>
      <c r="F322" t="s">
        <v>10</v>
      </c>
      <c r="G322" s="4">
        <v>25459.25</v>
      </c>
      <c r="H322" s="4">
        <v>211970.842</v>
      </c>
      <c r="I322" s="4">
        <v>212565.87299999999</v>
      </c>
      <c r="J322" s="1">
        <v>-0.27992781324780197</v>
      </c>
      <c r="K322" s="3">
        <v>8325.8871333601728</v>
      </c>
      <c r="L322" s="2">
        <v>2</v>
      </c>
      <c r="M322" s="2">
        <v>4</v>
      </c>
    </row>
    <row r="323" spans="1:13" x14ac:dyDescent="0.25">
      <c r="A323" s="2">
        <f t="shared" si="4"/>
        <v>315</v>
      </c>
      <c r="B323" s="2">
        <v>150163</v>
      </c>
      <c r="C323" t="s">
        <v>600</v>
      </c>
      <c r="D323" t="s">
        <v>601</v>
      </c>
      <c r="E323" t="s">
        <v>31</v>
      </c>
      <c r="F323" t="s">
        <v>6</v>
      </c>
      <c r="G323" s="4">
        <v>5286</v>
      </c>
      <c r="H323" s="4">
        <v>211952.60399999999</v>
      </c>
      <c r="I323" s="4">
        <v>215024.04399999999</v>
      </c>
      <c r="J323" s="1">
        <v>-1.4284170006587729</v>
      </c>
      <c r="K323" s="3">
        <v>40096.973893303068</v>
      </c>
      <c r="L323" s="2">
        <v>2</v>
      </c>
      <c r="M323" s="2">
        <v>3</v>
      </c>
    </row>
    <row r="324" spans="1:13" x14ac:dyDescent="0.25">
      <c r="A324" s="2">
        <f t="shared" si="4"/>
        <v>316</v>
      </c>
      <c r="B324" s="2">
        <v>168281</v>
      </c>
      <c r="C324" t="s">
        <v>602</v>
      </c>
      <c r="D324" t="s">
        <v>603</v>
      </c>
      <c r="E324" t="s">
        <v>5</v>
      </c>
      <c r="F324" t="s">
        <v>6</v>
      </c>
      <c r="G324" s="4">
        <v>1767</v>
      </c>
      <c r="H324" s="4">
        <v>210646.508</v>
      </c>
      <c r="I324" s="4">
        <v>212982.44500000001</v>
      </c>
      <c r="J324" s="1">
        <v>-1.0967744313386956</v>
      </c>
      <c r="K324" s="3">
        <v>119211.37973967176</v>
      </c>
      <c r="L324" s="2">
        <v>2</v>
      </c>
      <c r="M324" s="2">
        <v>2</v>
      </c>
    </row>
    <row r="325" spans="1:13" x14ac:dyDescent="0.25">
      <c r="A325" s="2">
        <f t="shared" si="4"/>
        <v>317</v>
      </c>
      <c r="B325" s="2">
        <v>152318</v>
      </c>
      <c r="C325" t="s">
        <v>604</v>
      </c>
      <c r="D325" t="s">
        <v>605</v>
      </c>
      <c r="E325" t="s">
        <v>31</v>
      </c>
      <c r="F325" t="s">
        <v>6</v>
      </c>
      <c r="G325" s="4">
        <v>2162</v>
      </c>
      <c r="H325" s="4">
        <v>209759.06899999999</v>
      </c>
      <c r="I325" s="4">
        <v>205799.304</v>
      </c>
      <c r="J325" s="1">
        <v>1.9240905693247632</v>
      </c>
      <c r="K325" s="3">
        <v>97020.845975948192</v>
      </c>
      <c r="L325" s="2">
        <v>2</v>
      </c>
      <c r="M325" s="2">
        <v>5</v>
      </c>
    </row>
    <row r="326" spans="1:13" x14ac:dyDescent="0.25">
      <c r="A326" s="2">
        <f t="shared" si="4"/>
        <v>318</v>
      </c>
      <c r="B326" s="2">
        <v>218973</v>
      </c>
      <c r="C326" t="s">
        <v>606</v>
      </c>
      <c r="D326" t="s">
        <v>607</v>
      </c>
      <c r="E326" t="s">
        <v>305</v>
      </c>
      <c r="F326" t="s">
        <v>6</v>
      </c>
      <c r="G326" s="4">
        <v>1714</v>
      </c>
      <c r="H326" s="4">
        <v>208057.66</v>
      </c>
      <c r="I326" s="4">
        <v>211672.56200000001</v>
      </c>
      <c r="J326" s="1">
        <v>-1.7077801514964419</v>
      </c>
      <c r="K326" s="3">
        <v>121387.19953325554</v>
      </c>
      <c r="L326" s="2">
        <v>2</v>
      </c>
      <c r="M326" s="2">
        <v>2</v>
      </c>
    </row>
    <row r="327" spans="1:13" x14ac:dyDescent="0.25">
      <c r="A327" s="2">
        <f t="shared" si="4"/>
        <v>319</v>
      </c>
      <c r="B327" s="2">
        <v>180489</v>
      </c>
      <c r="C327" t="s">
        <v>608</v>
      </c>
      <c r="D327" t="s">
        <v>609</v>
      </c>
      <c r="E327" t="s">
        <v>610</v>
      </c>
      <c r="F327" t="s">
        <v>82</v>
      </c>
      <c r="G327" s="23" t="s">
        <v>1275</v>
      </c>
      <c r="H327" s="4">
        <v>207132.55300000001</v>
      </c>
      <c r="I327" s="4">
        <v>205045.83300000001</v>
      </c>
      <c r="J327" s="1">
        <v>1.0176846656522887</v>
      </c>
      <c r="K327" s="24" t="s">
        <v>1275</v>
      </c>
      <c r="L327" s="2">
        <v>2</v>
      </c>
      <c r="M327" s="2">
        <v>4</v>
      </c>
    </row>
    <row r="328" spans="1:13" x14ac:dyDescent="0.25">
      <c r="A328" s="2">
        <f t="shared" si="4"/>
        <v>320</v>
      </c>
      <c r="B328" s="2">
        <v>174792</v>
      </c>
      <c r="C328" t="s">
        <v>611</v>
      </c>
      <c r="D328" t="s">
        <v>612</v>
      </c>
      <c r="E328" t="s">
        <v>101</v>
      </c>
      <c r="F328" t="s">
        <v>6</v>
      </c>
      <c r="G328" s="4">
        <v>1679</v>
      </c>
      <c r="H328" s="4">
        <v>205997.33199999999</v>
      </c>
      <c r="I328" s="4">
        <v>208737.647</v>
      </c>
      <c r="J328" s="1">
        <v>-1.3128034350219535</v>
      </c>
      <c r="K328" s="3">
        <v>122690.48957712925</v>
      </c>
      <c r="L328" s="2">
        <v>2</v>
      </c>
      <c r="M328" s="2">
        <v>2</v>
      </c>
    </row>
    <row r="329" spans="1:13" x14ac:dyDescent="0.25">
      <c r="A329" s="2">
        <f t="shared" ref="A329:A392" si="5">RANK(H329,H$9:H$725,0)</f>
        <v>321</v>
      </c>
      <c r="B329" s="2">
        <v>173647</v>
      </c>
      <c r="C329" t="s">
        <v>613</v>
      </c>
      <c r="D329" t="s">
        <v>614</v>
      </c>
      <c r="E329" t="s">
        <v>101</v>
      </c>
      <c r="F329" t="s">
        <v>6</v>
      </c>
      <c r="G329" s="4">
        <v>2224</v>
      </c>
      <c r="H329" s="4">
        <v>205364.52499999999</v>
      </c>
      <c r="I329" s="4">
        <v>203365.103</v>
      </c>
      <c r="J329" s="1">
        <v>0.98316868061675255</v>
      </c>
      <c r="K329" s="3">
        <v>92340.164118705041</v>
      </c>
      <c r="L329" s="2">
        <v>2</v>
      </c>
      <c r="M329" s="2">
        <v>2</v>
      </c>
    </row>
    <row r="330" spans="1:13" x14ac:dyDescent="0.25">
      <c r="A330" s="2">
        <f t="shared" si="5"/>
        <v>322</v>
      </c>
      <c r="B330" s="2">
        <v>138600</v>
      </c>
      <c r="C330" t="s">
        <v>615</v>
      </c>
      <c r="D330" t="s">
        <v>584</v>
      </c>
      <c r="E330" t="s">
        <v>48</v>
      </c>
      <c r="F330" t="s">
        <v>6</v>
      </c>
      <c r="G330" s="4">
        <v>1027</v>
      </c>
      <c r="H330" s="4">
        <v>204799.429</v>
      </c>
      <c r="I330" s="4">
        <v>217142.44699999999</v>
      </c>
      <c r="J330" s="1">
        <v>-5.6842953418499516</v>
      </c>
      <c r="K330" s="3">
        <v>199415.21811100293</v>
      </c>
      <c r="L330" s="2">
        <v>2</v>
      </c>
      <c r="M330" s="2">
        <v>2</v>
      </c>
    </row>
    <row r="331" spans="1:13" x14ac:dyDescent="0.25">
      <c r="A331" s="2">
        <f t="shared" si="5"/>
        <v>323</v>
      </c>
      <c r="B331" s="2">
        <v>105330</v>
      </c>
      <c r="C331" t="s">
        <v>616</v>
      </c>
      <c r="D331" t="s">
        <v>617</v>
      </c>
      <c r="E331" t="s">
        <v>255</v>
      </c>
      <c r="F331" t="s">
        <v>82</v>
      </c>
      <c r="G331" s="23" t="s">
        <v>1275</v>
      </c>
      <c r="H331" s="4">
        <v>203670.622</v>
      </c>
      <c r="I331" s="4">
        <v>192621.24400000001</v>
      </c>
      <c r="J331" s="1">
        <v>5.7363236632403849</v>
      </c>
      <c r="K331" s="24" t="s">
        <v>1275</v>
      </c>
      <c r="L331" s="2">
        <v>2</v>
      </c>
      <c r="M331" s="2">
        <v>4</v>
      </c>
    </row>
    <row r="332" spans="1:13" x14ac:dyDescent="0.25">
      <c r="A332" s="2">
        <f t="shared" si="5"/>
        <v>324</v>
      </c>
      <c r="B332" s="2">
        <v>151801</v>
      </c>
      <c r="C332" t="s">
        <v>618</v>
      </c>
      <c r="D332" t="s">
        <v>619</v>
      </c>
      <c r="E332" t="s">
        <v>31</v>
      </c>
      <c r="F332" t="s">
        <v>6</v>
      </c>
      <c r="G332" s="4">
        <v>12473</v>
      </c>
      <c r="H332" s="4">
        <v>201367.94899999999</v>
      </c>
      <c r="I332" s="4">
        <v>204472.44200000001</v>
      </c>
      <c r="J332" s="1">
        <v>-1.5182940887457097</v>
      </c>
      <c r="K332" s="3">
        <v>16144.307624468853</v>
      </c>
      <c r="L332" s="2">
        <v>2</v>
      </c>
      <c r="M332" s="2">
        <v>3</v>
      </c>
    </row>
    <row r="333" spans="1:13" x14ac:dyDescent="0.25">
      <c r="A333" s="2">
        <f t="shared" si="5"/>
        <v>325</v>
      </c>
      <c r="B333" s="2">
        <v>228149</v>
      </c>
      <c r="C333" t="s">
        <v>620</v>
      </c>
      <c r="D333" t="s">
        <v>201</v>
      </c>
      <c r="E333" t="s">
        <v>9</v>
      </c>
      <c r="F333" t="s">
        <v>6</v>
      </c>
      <c r="G333" s="4">
        <v>3211</v>
      </c>
      <c r="H333" s="4">
        <v>200145.02600000001</v>
      </c>
      <c r="I333" s="4">
        <v>196462.64199999999</v>
      </c>
      <c r="J333" s="1">
        <v>1.8743431130280739</v>
      </c>
      <c r="K333" s="3">
        <v>62331.057614450328</v>
      </c>
      <c r="L333" s="2">
        <v>2</v>
      </c>
      <c r="M333" s="2">
        <v>3</v>
      </c>
    </row>
    <row r="334" spans="1:13" x14ac:dyDescent="0.25">
      <c r="A334" s="2">
        <f t="shared" si="5"/>
        <v>326</v>
      </c>
      <c r="B334" s="2">
        <v>145646</v>
      </c>
      <c r="C334" t="s">
        <v>621</v>
      </c>
      <c r="D334" t="s">
        <v>105</v>
      </c>
      <c r="E334" t="s">
        <v>37</v>
      </c>
      <c r="F334" t="s">
        <v>6</v>
      </c>
      <c r="G334" s="4">
        <v>1620</v>
      </c>
      <c r="H334" s="4">
        <v>198954.307</v>
      </c>
      <c r="I334" s="4">
        <v>206191.046</v>
      </c>
      <c r="J334" s="1">
        <v>-3.5097251507225971</v>
      </c>
      <c r="K334" s="3">
        <v>122811.30061728395</v>
      </c>
      <c r="L334" s="2">
        <v>2</v>
      </c>
      <c r="M334" s="2">
        <v>2</v>
      </c>
    </row>
    <row r="335" spans="1:13" x14ac:dyDescent="0.25">
      <c r="A335" s="2">
        <f t="shared" si="5"/>
        <v>327</v>
      </c>
      <c r="B335" s="2">
        <v>206622</v>
      </c>
      <c r="C335" t="s">
        <v>622</v>
      </c>
      <c r="D335" t="s">
        <v>181</v>
      </c>
      <c r="E335" t="s">
        <v>69</v>
      </c>
      <c r="F335" t="s">
        <v>6</v>
      </c>
      <c r="G335" s="4">
        <v>6455</v>
      </c>
      <c r="H335" s="4">
        <v>198613</v>
      </c>
      <c r="I335" s="4">
        <v>199275</v>
      </c>
      <c r="J335" s="1">
        <v>-0.33220424037134616</v>
      </c>
      <c r="K335" s="3">
        <v>30768.861347792408</v>
      </c>
      <c r="L335" s="2">
        <v>2</v>
      </c>
      <c r="M335" s="2">
        <v>3</v>
      </c>
    </row>
    <row r="336" spans="1:13" x14ac:dyDescent="0.25">
      <c r="A336" s="2">
        <f t="shared" si="5"/>
        <v>328</v>
      </c>
      <c r="B336" s="2">
        <v>190044</v>
      </c>
      <c r="C336" t="s">
        <v>623</v>
      </c>
      <c r="D336" t="s">
        <v>624</v>
      </c>
      <c r="E336" t="s">
        <v>34</v>
      </c>
      <c r="F336" t="s">
        <v>6</v>
      </c>
      <c r="G336" s="4">
        <v>4005</v>
      </c>
      <c r="H336" s="4">
        <v>197482.758</v>
      </c>
      <c r="I336" s="4">
        <v>201698.465</v>
      </c>
      <c r="J336" s="1">
        <v>-2.0901036604319225</v>
      </c>
      <c r="K336" s="3">
        <v>49309.053183520598</v>
      </c>
      <c r="L336" s="2">
        <v>2</v>
      </c>
      <c r="M336" s="2">
        <v>4</v>
      </c>
    </row>
    <row r="337" spans="1:13" x14ac:dyDescent="0.25">
      <c r="A337" s="2">
        <f t="shared" si="5"/>
        <v>329</v>
      </c>
      <c r="B337" s="2">
        <v>194310</v>
      </c>
      <c r="C337" t="s">
        <v>625</v>
      </c>
      <c r="D337" t="s">
        <v>33</v>
      </c>
      <c r="E337" t="s">
        <v>34</v>
      </c>
      <c r="F337" t="s">
        <v>6</v>
      </c>
      <c r="G337" s="4">
        <v>11382</v>
      </c>
      <c r="H337" s="4">
        <v>193827.052</v>
      </c>
      <c r="I337" s="4">
        <v>193048.64199999999</v>
      </c>
      <c r="J337" s="1">
        <v>0.40321961964384079</v>
      </c>
      <c r="K337" s="3">
        <v>17029.261289755756</v>
      </c>
      <c r="L337" s="2">
        <v>2</v>
      </c>
      <c r="M337" s="2">
        <v>4</v>
      </c>
    </row>
    <row r="338" spans="1:13" x14ac:dyDescent="0.25">
      <c r="A338" s="2">
        <f t="shared" si="5"/>
        <v>330</v>
      </c>
      <c r="B338" s="2">
        <v>143853</v>
      </c>
      <c r="C338" t="s">
        <v>626</v>
      </c>
      <c r="D338" t="s">
        <v>627</v>
      </c>
      <c r="E338" t="s">
        <v>37</v>
      </c>
      <c r="F338" t="s">
        <v>6</v>
      </c>
      <c r="G338" s="4">
        <v>7041</v>
      </c>
      <c r="H338" s="4">
        <v>193044.141</v>
      </c>
      <c r="I338" s="4">
        <v>170497.69099999999</v>
      </c>
      <c r="J338" s="1">
        <v>13.223903425178937</v>
      </c>
      <c r="K338" s="3">
        <v>27417.148274392843</v>
      </c>
      <c r="L338" s="2">
        <v>2</v>
      </c>
      <c r="M338" s="2">
        <v>5</v>
      </c>
    </row>
    <row r="339" spans="1:13" x14ac:dyDescent="0.25">
      <c r="A339" s="2">
        <f t="shared" si="5"/>
        <v>331</v>
      </c>
      <c r="B339" s="2">
        <v>162654</v>
      </c>
      <c r="C339" t="s">
        <v>628</v>
      </c>
      <c r="D339" t="s">
        <v>58</v>
      </c>
      <c r="E339" t="s">
        <v>59</v>
      </c>
      <c r="F339" t="s">
        <v>6</v>
      </c>
      <c r="G339" s="4">
        <v>1656</v>
      </c>
      <c r="H339" s="4">
        <v>191378</v>
      </c>
      <c r="I339" s="4">
        <v>203430</v>
      </c>
      <c r="J339" s="1">
        <v>-5.924396598338495</v>
      </c>
      <c r="K339" s="3">
        <v>115566.42512077295</v>
      </c>
      <c r="L339" s="2">
        <v>2</v>
      </c>
      <c r="M339" s="2">
        <v>2</v>
      </c>
    </row>
    <row r="340" spans="1:13" x14ac:dyDescent="0.25">
      <c r="A340" s="2">
        <f t="shared" si="5"/>
        <v>332</v>
      </c>
      <c r="B340" s="2">
        <v>167783</v>
      </c>
      <c r="C340" t="s">
        <v>629</v>
      </c>
      <c r="D340" t="s">
        <v>103</v>
      </c>
      <c r="E340" t="s">
        <v>5</v>
      </c>
      <c r="F340" t="s">
        <v>6</v>
      </c>
      <c r="G340" s="4">
        <v>6453</v>
      </c>
      <c r="H340" s="4">
        <v>190424.86799999999</v>
      </c>
      <c r="I340" s="4">
        <v>195839.71</v>
      </c>
      <c r="J340" s="1">
        <v>-2.7649356711159347</v>
      </c>
      <c r="K340" s="3">
        <v>29509.509995351</v>
      </c>
      <c r="L340" s="2">
        <v>2</v>
      </c>
      <c r="M340" s="2">
        <v>4</v>
      </c>
    </row>
    <row r="341" spans="1:13" x14ac:dyDescent="0.25">
      <c r="A341" s="2">
        <f t="shared" si="5"/>
        <v>333</v>
      </c>
      <c r="B341" s="2">
        <v>157818</v>
      </c>
      <c r="C341" t="s">
        <v>630</v>
      </c>
      <c r="D341" t="s">
        <v>161</v>
      </c>
      <c r="E341" t="s">
        <v>197</v>
      </c>
      <c r="F341" t="s">
        <v>6</v>
      </c>
      <c r="G341" s="4">
        <v>946</v>
      </c>
      <c r="H341" s="4">
        <v>190196.97899999999</v>
      </c>
      <c r="I341" s="4">
        <v>191238.17</v>
      </c>
      <c r="J341" s="1">
        <v>-0.54444727221558331</v>
      </c>
      <c r="K341" s="3">
        <v>201053.88900634251</v>
      </c>
      <c r="L341" s="2">
        <v>2</v>
      </c>
      <c r="M341" s="2">
        <v>2</v>
      </c>
    </row>
    <row r="342" spans="1:13" x14ac:dyDescent="0.25">
      <c r="A342" s="2">
        <f t="shared" si="5"/>
        <v>334</v>
      </c>
      <c r="B342" s="2">
        <v>130253</v>
      </c>
      <c r="C342" t="s">
        <v>631</v>
      </c>
      <c r="D342" t="s">
        <v>465</v>
      </c>
      <c r="E342" t="s">
        <v>13</v>
      </c>
      <c r="F342" t="s">
        <v>6</v>
      </c>
      <c r="G342" s="4">
        <v>7478</v>
      </c>
      <c r="H342" s="4">
        <v>189836.57</v>
      </c>
      <c r="I342" s="4">
        <v>177133.37400000001</v>
      </c>
      <c r="J342" s="1">
        <v>7.1715429527131347</v>
      </c>
      <c r="K342" s="3">
        <v>25386.008290986894</v>
      </c>
      <c r="L342" s="2">
        <v>2</v>
      </c>
      <c r="M342" s="2">
        <v>4</v>
      </c>
    </row>
    <row r="343" spans="1:13" x14ac:dyDescent="0.25">
      <c r="A343" s="2">
        <f t="shared" si="5"/>
        <v>335</v>
      </c>
      <c r="B343" s="2">
        <v>102094</v>
      </c>
      <c r="C343" t="s">
        <v>632</v>
      </c>
      <c r="D343" t="s">
        <v>436</v>
      </c>
      <c r="E343" t="s">
        <v>177</v>
      </c>
      <c r="F343" t="s">
        <v>10</v>
      </c>
      <c r="G343" s="4">
        <v>12674</v>
      </c>
      <c r="H343" s="4">
        <v>189080.728</v>
      </c>
      <c r="I343" s="4">
        <v>176346.459</v>
      </c>
      <c r="J343" s="1">
        <v>7.2211651269958308</v>
      </c>
      <c r="K343" s="3">
        <v>14918.788701278207</v>
      </c>
      <c r="L343" s="2">
        <v>2</v>
      </c>
      <c r="M343" s="2">
        <v>4</v>
      </c>
    </row>
    <row r="344" spans="1:13" x14ac:dyDescent="0.25">
      <c r="A344" s="2">
        <f t="shared" si="5"/>
        <v>336</v>
      </c>
      <c r="B344" s="2">
        <v>232256</v>
      </c>
      <c r="C344" t="s">
        <v>633</v>
      </c>
      <c r="D344" t="s">
        <v>634</v>
      </c>
      <c r="E344" t="s">
        <v>51</v>
      </c>
      <c r="F344" t="s">
        <v>6</v>
      </c>
      <c r="G344" s="4">
        <v>993</v>
      </c>
      <c r="H344" s="4">
        <v>188784.603</v>
      </c>
      <c r="I344" s="4">
        <v>177826.924</v>
      </c>
      <c r="J344" s="1">
        <v>6.1619909705011828</v>
      </c>
      <c r="K344" s="3">
        <v>190115.41087613293</v>
      </c>
      <c r="L344" s="2">
        <v>2</v>
      </c>
      <c r="M344" s="2">
        <v>2</v>
      </c>
    </row>
    <row r="345" spans="1:13" x14ac:dyDescent="0.25">
      <c r="A345" s="2">
        <f t="shared" si="5"/>
        <v>337</v>
      </c>
      <c r="B345" s="2">
        <v>169248</v>
      </c>
      <c r="C345" t="s">
        <v>635</v>
      </c>
      <c r="D345" t="s">
        <v>636</v>
      </c>
      <c r="E345" t="s">
        <v>27</v>
      </c>
      <c r="F345" t="s">
        <v>10</v>
      </c>
      <c r="G345" s="4">
        <v>22546</v>
      </c>
      <c r="H345" s="4">
        <v>187796.51</v>
      </c>
      <c r="I345" s="4">
        <v>189321.75599999999</v>
      </c>
      <c r="J345" s="1">
        <v>-0.80563693905311129</v>
      </c>
      <c r="K345" s="3">
        <v>8329.4823915550423</v>
      </c>
      <c r="L345" s="2">
        <v>2</v>
      </c>
      <c r="M345" s="2">
        <v>4</v>
      </c>
    </row>
    <row r="346" spans="1:13" x14ac:dyDescent="0.25">
      <c r="A346" s="2">
        <f t="shared" si="5"/>
        <v>338</v>
      </c>
      <c r="B346" s="2">
        <v>118888</v>
      </c>
      <c r="C346" t="s">
        <v>637</v>
      </c>
      <c r="D346" t="s">
        <v>28</v>
      </c>
      <c r="E346" t="s">
        <v>16</v>
      </c>
      <c r="F346" t="s">
        <v>6</v>
      </c>
      <c r="G346" s="4">
        <v>997</v>
      </c>
      <c r="H346" s="4">
        <v>187318.992</v>
      </c>
      <c r="I346" s="4">
        <v>196403.97500000001</v>
      </c>
      <c r="J346" s="1">
        <v>-4.6256614714646176</v>
      </c>
      <c r="K346" s="3">
        <v>187882.63991975927</v>
      </c>
      <c r="L346" s="2">
        <v>2</v>
      </c>
      <c r="M346" s="2">
        <v>3</v>
      </c>
    </row>
    <row r="347" spans="1:13" x14ac:dyDescent="0.25">
      <c r="A347" s="2">
        <f t="shared" si="5"/>
        <v>339</v>
      </c>
      <c r="B347" s="2">
        <v>166452</v>
      </c>
      <c r="C347" t="s">
        <v>638</v>
      </c>
      <c r="D347" t="s">
        <v>4</v>
      </c>
      <c r="E347" t="s">
        <v>5</v>
      </c>
      <c r="F347" t="s">
        <v>6</v>
      </c>
      <c r="G347" s="4">
        <v>3466</v>
      </c>
      <c r="H347" s="4">
        <v>186239.30600000001</v>
      </c>
      <c r="I347" s="4">
        <v>187972.39499999999</v>
      </c>
      <c r="J347" s="1">
        <v>-0.9219912317444271</v>
      </c>
      <c r="K347" s="3">
        <v>53733.210040392383</v>
      </c>
      <c r="L347" s="2">
        <v>2</v>
      </c>
      <c r="M347" s="2">
        <v>4</v>
      </c>
    </row>
    <row r="348" spans="1:13" x14ac:dyDescent="0.25">
      <c r="A348" s="2">
        <f t="shared" si="5"/>
        <v>340</v>
      </c>
      <c r="B348" s="2">
        <v>217165</v>
      </c>
      <c r="C348" t="s">
        <v>639</v>
      </c>
      <c r="D348" t="s">
        <v>640</v>
      </c>
      <c r="E348" t="s">
        <v>72</v>
      </c>
      <c r="F348" t="s">
        <v>6</v>
      </c>
      <c r="G348" s="4">
        <v>3630</v>
      </c>
      <c r="H348" s="4">
        <v>183836.497</v>
      </c>
      <c r="I348" s="4">
        <v>184752.56599999999</v>
      </c>
      <c r="J348" s="1">
        <v>-0.49583560317100006</v>
      </c>
      <c r="K348" s="3">
        <v>50643.66308539945</v>
      </c>
      <c r="L348" s="2">
        <v>2</v>
      </c>
      <c r="M348" s="2">
        <v>3</v>
      </c>
    </row>
    <row r="349" spans="1:13" x14ac:dyDescent="0.25">
      <c r="A349" s="2">
        <f t="shared" si="5"/>
        <v>341</v>
      </c>
      <c r="B349" s="2">
        <v>157951</v>
      </c>
      <c r="C349" t="s">
        <v>641</v>
      </c>
      <c r="D349" t="s">
        <v>642</v>
      </c>
      <c r="E349" t="s">
        <v>197</v>
      </c>
      <c r="F349" t="s">
        <v>82</v>
      </c>
      <c r="G349" s="4">
        <v>14455</v>
      </c>
      <c r="H349" s="4">
        <v>181744.56099999999</v>
      </c>
      <c r="I349" s="4">
        <v>175186.052</v>
      </c>
      <c r="J349" s="1">
        <v>3.7437392561366702</v>
      </c>
      <c r="K349" s="3">
        <v>12573.12770667589</v>
      </c>
      <c r="L349" s="2">
        <v>2</v>
      </c>
      <c r="M349" s="2">
        <v>4</v>
      </c>
    </row>
    <row r="350" spans="1:13" x14ac:dyDescent="0.25">
      <c r="A350" s="2">
        <f t="shared" si="5"/>
        <v>342</v>
      </c>
      <c r="B350" s="2">
        <v>111081</v>
      </c>
      <c r="C350" t="s">
        <v>643</v>
      </c>
      <c r="D350" t="s">
        <v>644</v>
      </c>
      <c r="E350" t="s">
        <v>16</v>
      </c>
      <c r="F350" t="s">
        <v>6</v>
      </c>
      <c r="G350" s="4">
        <v>1515</v>
      </c>
      <c r="H350" s="4">
        <v>179402.321</v>
      </c>
      <c r="I350" s="4">
        <v>178839.34400000001</v>
      </c>
      <c r="J350" s="1">
        <v>0.31479482501344891</v>
      </c>
      <c r="K350" s="3">
        <v>118417.37359735974</v>
      </c>
      <c r="L350" s="2">
        <v>2</v>
      </c>
      <c r="M350" s="2">
        <v>5</v>
      </c>
    </row>
    <row r="351" spans="1:13" x14ac:dyDescent="0.25">
      <c r="A351" s="2">
        <f t="shared" si="5"/>
        <v>343</v>
      </c>
      <c r="B351" s="2">
        <v>153278</v>
      </c>
      <c r="C351" t="s">
        <v>645</v>
      </c>
      <c r="D351" t="s">
        <v>646</v>
      </c>
      <c r="E351" t="s">
        <v>123</v>
      </c>
      <c r="F351" t="s">
        <v>6</v>
      </c>
      <c r="G351" s="4">
        <v>1872</v>
      </c>
      <c r="H351" s="4">
        <v>179009.23499999999</v>
      </c>
      <c r="I351" s="4">
        <v>160530.49400000001</v>
      </c>
      <c r="J351" s="1">
        <v>11.511047240656968</v>
      </c>
      <c r="K351" s="3">
        <v>95624.591346153844</v>
      </c>
      <c r="L351" s="2">
        <v>2</v>
      </c>
      <c r="M351" s="2">
        <v>3</v>
      </c>
    </row>
    <row r="352" spans="1:13" x14ac:dyDescent="0.25">
      <c r="A352" s="2">
        <f t="shared" si="5"/>
        <v>344</v>
      </c>
      <c r="B352" s="2">
        <v>123554</v>
      </c>
      <c r="C352" t="s">
        <v>647</v>
      </c>
      <c r="D352" t="s">
        <v>648</v>
      </c>
      <c r="E352" t="s">
        <v>16</v>
      </c>
      <c r="F352" t="s">
        <v>6</v>
      </c>
      <c r="G352" s="4">
        <v>3303</v>
      </c>
      <c r="H352" s="4">
        <v>178002.33</v>
      </c>
      <c r="I352" s="4">
        <v>181312.57800000001</v>
      </c>
      <c r="J352" s="1">
        <v>-1.8257133821129607</v>
      </c>
      <c r="K352" s="3">
        <v>53891.108083560401</v>
      </c>
      <c r="L352" s="2">
        <v>2</v>
      </c>
      <c r="M352" s="2">
        <v>3</v>
      </c>
    </row>
    <row r="353" spans="1:13" x14ac:dyDescent="0.25">
      <c r="A353" s="2">
        <f t="shared" si="5"/>
        <v>345</v>
      </c>
      <c r="B353" s="2">
        <v>201195</v>
      </c>
      <c r="C353" t="s">
        <v>649</v>
      </c>
      <c r="D353" t="s">
        <v>206</v>
      </c>
      <c r="E353" t="s">
        <v>69</v>
      </c>
      <c r="F353" t="s">
        <v>6</v>
      </c>
      <c r="G353" s="4">
        <v>3233</v>
      </c>
      <c r="H353" s="4">
        <v>177999.174</v>
      </c>
      <c r="I353" s="4">
        <v>179533.31899999999</v>
      </c>
      <c r="J353" s="1">
        <v>-0.85451826354304738</v>
      </c>
      <c r="K353" s="3">
        <v>55056.966903804518</v>
      </c>
      <c r="L353" s="2">
        <v>2</v>
      </c>
      <c r="M353" s="2">
        <v>3</v>
      </c>
    </row>
    <row r="354" spans="1:13" x14ac:dyDescent="0.25">
      <c r="A354" s="2">
        <f t="shared" si="5"/>
        <v>346</v>
      </c>
      <c r="B354" s="2">
        <v>180461</v>
      </c>
      <c r="C354" t="s">
        <v>650</v>
      </c>
      <c r="D354" t="s">
        <v>651</v>
      </c>
      <c r="E354" t="s">
        <v>610</v>
      </c>
      <c r="F354" t="s">
        <v>82</v>
      </c>
      <c r="G354" s="4">
        <v>14152</v>
      </c>
      <c r="H354" s="4">
        <v>177564.71400000001</v>
      </c>
      <c r="I354" s="4">
        <v>180167.891</v>
      </c>
      <c r="J354" s="1">
        <v>-1.4448617817255796</v>
      </c>
      <c r="K354" s="3">
        <v>12546.969615602035</v>
      </c>
      <c r="L354" s="2">
        <v>2</v>
      </c>
      <c r="M354" s="2">
        <v>4</v>
      </c>
    </row>
    <row r="355" spans="1:13" x14ac:dyDescent="0.25">
      <c r="A355" s="2">
        <f t="shared" si="5"/>
        <v>347</v>
      </c>
      <c r="B355" s="2">
        <v>188030</v>
      </c>
      <c r="C355" t="s">
        <v>652</v>
      </c>
      <c r="D355" t="s">
        <v>653</v>
      </c>
      <c r="E355" t="s">
        <v>414</v>
      </c>
      <c r="F355" t="s">
        <v>10</v>
      </c>
      <c r="G355" s="4">
        <v>18685</v>
      </c>
      <c r="H355" s="4">
        <v>176266.36199999999</v>
      </c>
      <c r="I355" s="4">
        <v>182676.31200000001</v>
      </c>
      <c r="J355" s="1">
        <v>-3.5089114345597259</v>
      </c>
      <c r="K355" s="3">
        <v>9433.5757024351078</v>
      </c>
      <c r="L355" s="2">
        <v>2</v>
      </c>
      <c r="M355" s="2">
        <v>4</v>
      </c>
    </row>
    <row r="356" spans="1:13" x14ac:dyDescent="0.25">
      <c r="A356" s="2">
        <f t="shared" si="5"/>
        <v>348</v>
      </c>
      <c r="B356" s="2">
        <v>129525</v>
      </c>
      <c r="C356" t="s">
        <v>654</v>
      </c>
      <c r="D356" t="s">
        <v>655</v>
      </c>
      <c r="E356" t="s">
        <v>13</v>
      </c>
      <c r="F356" t="s">
        <v>6</v>
      </c>
      <c r="G356" s="4">
        <v>5674</v>
      </c>
      <c r="H356" s="49">
        <v>176055</v>
      </c>
      <c r="I356" s="4">
        <v>182812</v>
      </c>
      <c r="J356" s="50">
        <v>-3.7</v>
      </c>
      <c r="K356" s="51">
        <v>31028.38</v>
      </c>
      <c r="L356" s="2">
        <v>2</v>
      </c>
      <c r="M356" s="2">
        <v>4</v>
      </c>
    </row>
    <row r="357" spans="1:13" x14ac:dyDescent="0.25">
      <c r="A357" s="2">
        <f t="shared" si="5"/>
        <v>349</v>
      </c>
      <c r="B357" s="2">
        <v>232308</v>
      </c>
      <c r="C357" t="s">
        <v>656</v>
      </c>
      <c r="D357" t="s">
        <v>657</v>
      </c>
      <c r="E357" t="s">
        <v>51</v>
      </c>
      <c r="F357" t="s">
        <v>6</v>
      </c>
      <c r="G357" s="4">
        <v>795</v>
      </c>
      <c r="H357" s="4">
        <v>174608.03700000001</v>
      </c>
      <c r="I357" s="4">
        <v>182729.24100000001</v>
      </c>
      <c r="J357" s="1">
        <v>-4.4443921266000332</v>
      </c>
      <c r="K357" s="3">
        <v>219632.75094339624</v>
      </c>
      <c r="L357" s="2">
        <v>2</v>
      </c>
      <c r="M357" s="2">
        <v>2</v>
      </c>
    </row>
    <row r="358" spans="1:13" x14ac:dyDescent="0.25">
      <c r="A358" s="2">
        <f t="shared" si="5"/>
        <v>350</v>
      </c>
      <c r="B358" s="2">
        <v>112251</v>
      </c>
      <c r="C358" t="s">
        <v>658</v>
      </c>
      <c r="D358" t="s">
        <v>115</v>
      </c>
      <c r="E358" t="s">
        <v>16</v>
      </c>
      <c r="F358" t="s">
        <v>6</v>
      </c>
      <c r="G358" s="4">
        <v>1454</v>
      </c>
      <c r="H358" s="4">
        <v>174235.42499999999</v>
      </c>
      <c r="I358" s="4">
        <v>186766.435</v>
      </c>
      <c r="J358" s="1">
        <v>-6.7094550474232699</v>
      </c>
      <c r="K358" s="3">
        <v>119831.7916093535</v>
      </c>
      <c r="L358" s="2">
        <v>2</v>
      </c>
      <c r="M358" s="2">
        <v>4</v>
      </c>
    </row>
    <row r="359" spans="1:13" x14ac:dyDescent="0.25">
      <c r="A359" s="2">
        <f t="shared" si="5"/>
        <v>351</v>
      </c>
      <c r="B359" s="2">
        <v>133553</v>
      </c>
      <c r="C359" t="s">
        <v>659</v>
      </c>
      <c r="D359" t="s">
        <v>660</v>
      </c>
      <c r="E359" t="s">
        <v>141</v>
      </c>
      <c r="F359" t="s">
        <v>6</v>
      </c>
      <c r="G359" s="4">
        <v>17074</v>
      </c>
      <c r="H359" s="4">
        <v>172374</v>
      </c>
      <c r="I359" s="4">
        <v>161405</v>
      </c>
      <c r="J359" s="1">
        <v>6.7959480809144699</v>
      </c>
      <c r="K359" s="3">
        <v>10095.701065948226</v>
      </c>
      <c r="L359" s="2">
        <v>2</v>
      </c>
      <c r="M359" s="2">
        <v>3</v>
      </c>
    </row>
    <row r="360" spans="1:13" x14ac:dyDescent="0.25">
      <c r="A360" s="2">
        <f t="shared" si="5"/>
        <v>352</v>
      </c>
      <c r="B360" s="2">
        <v>216278</v>
      </c>
      <c r="C360" t="s">
        <v>661</v>
      </c>
      <c r="D360" t="s">
        <v>662</v>
      </c>
      <c r="E360" t="s">
        <v>23</v>
      </c>
      <c r="F360" t="s">
        <v>6</v>
      </c>
      <c r="G360" s="4">
        <v>2238</v>
      </c>
      <c r="H360" s="4">
        <v>171165.28899999999</v>
      </c>
      <c r="I360" s="4">
        <v>173196.58</v>
      </c>
      <c r="J360" s="1">
        <v>-1.1728239668473823</v>
      </c>
      <c r="K360" s="3">
        <v>76481.362377122437</v>
      </c>
      <c r="L360" s="2">
        <v>2</v>
      </c>
      <c r="M360" s="2">
        <v>2</v>
      </c>
    </row>
    <row r="361" spans="1:13" x14ac:dyDescent="0.25">
      <c r="A361" s="2">
        <f t="shared" si="5"/>
        <v>353</v>
      </c>
      <c r="B361" s="2">
        <v>139940</v>
      </c>
      <c r="C361" t="s">
        <v>663</v>
      </c>
      <c r="D361" t="s">
        <v>47</v>
      </c>
      <c r="E361" t="s">
        <v>48</v>
      </c>
      <c r="F361" t="s">
        <v>95</v>
      </c>
      <c r="G361" s="4">
        <v>46015</v>
      </c>
      <c r="H361" s="4">
        <v>170780.389</v>
      </c>
      <c r="I361" s="4">
        <v>178774.236</v>
      </c>
      <c r="J361" s="1">
        <v>-4.4714759681590808</v>
      </c>
      <c r="K361" s="3">
        <v>3711.40691078996</v>
      </c>
      <c r="L361" s="2">
        <v>2</v>
      </c>
      <c r="M361" s="2">
        <v>4</v>
      </c>
    </row>
    <row r="362" spans="1:13" x14ac:dyDescent="0.25">
      <c r="A362" s="2">
        <f t="shared" si="5"/>
        <v>354</v>
      </c>
      <c r="B362" s="2">
        <v>110556</v>
      </c>
      <c r="C362" t="s">
        <v>664</v>
      </c>
      <c r="D362" t="s">
        <v>665</v>
      </c>
      <c r="E362" t="s">
        <v>16</v>
      </c>
      <c r="F362" t="s">
        <v>95</v>
      </c>
      <c r="G362" s="4">
        <v>22773</v>
      </c>
      <c r="H362" s="4">
        <v>170750.351</v>
      </c>
      <c r="I362" s="4">
        <v>170314.606</v>
      </c>
      <c r="J362" s="1">
        <v>0.25584711155072631</v>
      </c>
      <c r="K362" s="3">
        <v>7497.9296096254338</v>
      </c>
      <c r="L362" s="2">
        <v>2</v>
      </c>
      <c r="M362" s="2">
        <v>4</v>
      </c>
    </row>
    <row r="363" spans="1:13" x14ac:dyDescent="0.25">
      <c r="A363" s="2">
        <f t="shared" si="5"/>
        <v>355</v>
      </c>
      <c r="B363" s="2">
        <v>154235</v>
      </c>
      <c r="C363" t="s">
        <v>666</v>
      </c>
      <c r="D363" t="s">
        <v>667</v>
      </c>
      <c r="E363" t="s">
        <v>123</v>
      </c>
      <c r="F363" t="s">
        <v>6</v>
      </c>
      <c r="G363" s="4">
        <v>2730</v>
      </c>
      <c r="H363" s="4">
        <v>168402.09</v>
      </c>
      <c r="I363" s="4">
        <v>170073.18900000001</v>
      </c>
      <c r="J363" s="1">
        <v>-0.98257638950957749</v>
      </c>
      <c r="K363" s="3">
        <v>61685.747252747249</v>
      </c>
      <c r="L363" s="2">
        <v>2</v>
      </c>
      <c r="M363" s="2">
        <v>3</v>
      </c>
    </row>
    <row r="364" spans="1:13" x14ac:dyDescent="0.25">
      <c r="A364" s="2">
        <f t="shared" si="5"/>
        <v>356</v>
      </c>
      <c r="B364" s="2">
        <v>233295</v>
      </c>
      <c r="C364" t="s">
        <v>668</v>
      </c>
      <c r="D364" t="s">
        <v>669</v>
      </c>
      <c r="E364" t="s">
        <v>51</v>
      </c>
      <c r="F364" t="s">
        <v>6</v>
      </c>
      <c r="G364" s="4">
        <v>1530</v>
      </c>
      <c r="H364" s="4">
        <v>168263.68299999999</v>
      </c>
      <c r="I364" s="4">
        <v>163306.70699999999</v>
      </c>
      <c r="J364" s="1">
        <v>3.0353780876862575</v>
      </c>
      <c r="K364" s="3">
        <v>109976.26339869281</v>
      </c>
      <c r="L364" s="2">
        <v>2</v>
      </c>
      <c r="M364" s="2">
        <v>2</v>
      </c>
    </row>
    <row r="365" spans="1:13" x14ac:dyDescent="0.25">
      <c r="A365" s="2">
        <f t="shared" si="5"/>
        <v>357</v>
      </c>
      <c r="B365" s="2">
        <v>153834</v>
      </c>
      <c r="C365" t="s">
        <v>670</v>
      </c>
      <c r="D365" t="s">
        <v>671</v>
      </c>
      <c r="E365" t="s">
        <v>123</v>
      </c>
      <c r="F365" t="s">
        <v>6</v>
      </c>
      <c r="G365" s="4">
        <v>1937</v>
      </c>
      <c r="H365" s="4">
        <v>167088.136</v>
      </c>
      <c r="I365" s="4">
        <v>168780.32199999999</v>
      </c>
      <c r="J365" s="1">
        <v>-1.0025967363659847</v>
      </c>
      <c r="K365" s="3">
        <v>86261.298915849256</v>
      </c>
      <c r="L365" s="2">
        <v>2</v>
      </c>
      <c r="M365" s="2">
        <v>2</v>
      </c>
    </row>
    <row r="366" spans="1:13" x14ac:dyDescent="0.25">
      <c r="A366" s="2">
        <f t="shared" si="5"/>
        <v>358</v>
      </c>
      <c r="B366" s="2">
        <v>143084</v>
      </c>
      <c r="C366" t="s">
        <v>672</v>
      </c>
      <c r="D366" t="s">
        <v>673</v>
      </c>
      <c r="E366" t="s">
        <v>37</v>
      </c>
      <c r="F366" t="s">
        <v>6</v>
      </c>
      <c r="G366" s="4">
        <v>2546</v>
      </c>
      <c r="H366" s="4">
        <v>166094.09400000001</v>
      </c>
      <c r="I366" s="4">
        <v>172846.11300000001</v>
      </c>
      <c r="J366" s="1">
        <v>-3.9063759565134104</v>
      </c>
      <c r="K366" s="3">
        <v>65237.271798900234</v>
      </c>
      <c r="L366" s="2">
        <v>2</v>
      </c>
      <c r="M366" s="2">
        <v>2</v>
      </c>
    </row>
    <row r="367" spans="1:13" x14ac:dyDescent="0.25">
      <c r="A367" s="2">
        <f t="shared" si="5"/>
        <v>359</v>
      </c>
      <c r="B367" s="2">
        <v>225247</v>
      </c>
      <c r="C367" t="s">
        <v>674</v>
      </c>
      <c r="D367" t="s">
        <v>407</v>
      </c>
      <c r="E367" t="s">
        <v>9</v>
      </c>
      <c r="F367" t="s">
        <v>6</v>
      </c>
      <c r="G367" s="4">
        <v>2138.5</v>
      </c>
      <c r="H367" s="4">
        <v>165682.52100000001</v>
      </c>
      <c r="I367" s="4">
        <v>171261.40599999999</v>
      </c>
      <c r="J367" s="1">
        <v>-3.2575261001886209</v>
      </c>
      <c r="K367" s="3">
        <v>77476.044423661442</v>
      </c>
      <c r="L367" s="2">
        <v>2</v>
      </c>
      <c r="M367" s="2">
        <v>3</v>
      </c>
    </row>
    <row r="368" spans="1:13" x14ac:dyDescent="0.25">
      <c r="A368" s="2">
        <f t="shared" si="5"/>
        <v>360</v>
      </c>
      <c r="B368" s="2">
        <v>237066</v>
      </c>
      <c r="C368" t="s">
        <v>675</v>
      </c>
      <c r="D368" t="s">
        <v>499</v>
      </c>
      <c r="E368" t="s">
        <v>85</v>
      </c>
      <c r="F368" t="s">
        <v>6</v>
      </c>
      <c r="G368" s="4">
        <v>2547.1</v>
      </c>
      <c r="H368" s="4">
        <v>165245.72</v>
      </c>
      <c r="I368" s="4">
        <v>156045.57</v>
      </c>
      <c r="J368" s="1">
        <v>5.8958097945363015</v>
      </c>
      <c r="K368" s="3">
        <v>64876.02371324251</v>
      </c>
      <c r="L368" s="2">
        <v>2</v>
      </c>
      <c r="M368" s="2">
        <v>3</v>
      </c>
    </row>
    <row r="369" spans="1:13" x14ac:dyDescent="0.25">
      <c r="A369" s="2">
        <f t="shared" si="5"/>
        <v>361</v>
      </c>
      <c r="B369" s="2">
        <v>183239</v>
      </c>
      <c r="C369" t="s">
        <v>676</v>
      </c>
      <c r="D369" t="s">
        <v>677</v>
      </c>
      <c r="E369" t="s">
        <v>64</v>
      </c>
      <c r="F369" t="s">
        <v>6</v>
      </c>
      <c r="G369" s="4">
        <v>2020</v>
      </c>
      <c r="H369" s="4">
        <v>164972.01999999999</v>
      </c>
      <c r="I369" s="4">
        <v>164005.48300000001</v>
      </c>
      <c r="J369" s="1">
        <v>0.58933212617044028</v>
      </c>
      <c r="K369" s="3">
        <v>81669.316831683172</v>
      </c>
      <c r="L369" s="2">
        <v>2</v>
      </c>
      <c r="M369" s="2">
        <v>2</v>
      </c>
    </row>
    <row r="370" spans="1:13" x14ac:dyDescent="0.25">
      <c r="A370" s="2">
        <f t="shared" si="5"/>
        <v>362</v>
      </c>
      <c r="B370" s="2">
        <v>107044</v>
      </c>
      <c r="C370" t="s">
        <v>678</v>
      </c>
      <c r="D370" t="s">
        <v>679</v>
      </c>
      <c r="E370" t="s">
        <v>217</v>
      </c>
      <c r="F370" t="s">
        <v>6</v>
      </c>
      <c r="G370" s="4">
        <v>4274</v>
      </c>
      <c r="H370" s="4">
        <v>164597.48199999999</v>
      </c>
      <c r="I370" s="4">
        <v>151410.967</v>
      </c>
      <c r="J370" s="1">
        <v>8.7090884242222693</v>
      </c>
      <c r="K370" s="3">
        <v>38511.343472157227</v>
      </c>
      <c r="L370" s="2">
        <v>2</v>
      </c>
      <c r="M370" s="2">
        <v>4</v>
      </c>
    </row>
    <row r="371" spans="1:13" x14ac:dyDescent="0.25">
      <c r="A371" s="2">
        <f t="shared" si="5"/>
        <v>363</v>
      </c>
      <c r="B371" s="2">
        <v>217484</v>
      </c>
      <c r="C371" t="s">
        <v>680</v>
      </c>
      <c r="D371" t="s">
        <v>293</v>
      </c>
      <c r="E371" t="s">
        <v>72</v>
      </c>
      <c r="F371" t="s">
        <v>82</v>
      </c>
      <c r="G371" s="23" t="s">
        <v>1275</v>
      </c>
      <c r="H371" s="4">
        <v>163610.61199999999</v>
      </c>
      <c r="I371" s="4">
        <v>149153.94</v>
      </c>
      <c r="J371" s="1">
        <v>9.6924506318773744</v>
      </c>
      <c r="K371" s="24" t="s">
        <v>1275</v>
      </c>
      <c r="L371" s="2">
        <v>2</v>
      </c>
      <c r="M371" s="2">
        <v>4</v>
      </c>
    </row>
    <row r="372" spans="1:13" x14ac:dyDescent="0.25">
      <c r="A372" s="2">
        <f t="shared" si="5"/>
        <v>364</v>
      </c>
      <c r="B372" s="2">
        <v>177092</v>
      </c>
      <c r="C372" t="s">
        <v>681</v>
      </c>
      <c r="D372" t="s">
        <v>42</v>
      </c>
      <c r="E372" t="s">
        <v>43</v>
      </c>
      <c r="F372" t="s">
        <v>6</v>
      </c>
      <c r="G372" s="4">
        <v>376</v>
      </c>
      <c r="H372" s="4">
        <v>163587.85500000001</v>
      </c>
      <c r="I372" s="4">
        <v>160248.95999999999</v>
      </c>
      <c r="J372" s="1">
        <v>2.0835673442124056</v>
      </c>
      <c r="K372" s="3">
        <v>435074.08244680852</v>
      </c>
      <c r="L372" s="2">
        <v>2</v>
      </c>
      <c r="M372" s="2">
        <v>5</v>
      </c>
    </row>
    <row r="373" spans="1:13" x14ac:dyDescent="0.25">
      <c r="A373" s="2">
        <f t="shared" si="5"/>
        <v>365</v>
      </c>
      <c r="B373" s="2">
        <v>132903</v>
      </c>
      <c r="C373" t="s">
        <v>682</v>
      </c>
      <c r="D373" t="s">
        <v>683</v>
      </c>
      <c r="E373" t="s">
        <v>141</v>
      </c>
      <c r="F373" t="s">
        <v>10</v>
      </c>
      <c r="G373" s="4">
        <v>60486</v>
      </c>
      <c r="H373" s="4">
        <v>162886.67300000001</v>
      </c>
      <c r="I373" s="4">
        <v>164721.845</v>
      </c>
      <c r="J373" s="1">
        <v>-1.114103596884797</v>
      </c>
      <c r="K373" s="3">
        <v>2692.9648679033166</v>
      </c>
      <c r="L373" s="2">
        <v>2</v>
      </c>
      <c r="M373" s="2">
        <v>4</v>
      </c>
    </row>
    <row r="374" spans="1:13" x14ac:dyDescent="0.25">
      <c r="A374" s="2">
        <f t="shared" si="5"/>
        <v>366</v>
      </c>
      <c r="B374" s="2">
        <v>191931</v>
      </c>
      <c r="C374" t="s">
        <v>684</v>
      </c>
      <c r="D374" t="s">
        <v>685</v>
      </c>
      <c r="E374" t="s">
        <v>34</v>
      </c>
      <c r="F374" t="s">
        <v>6</v>
      </c>
      <c r="G374" s="4">
        <v>3234</v>
      </c>
      <c r="H374" s="4">
        <v>162713</v>
      </c>
      <c r="I374" s="4">
        <v>159938</v>
      </c>
      <c r="J374" s="1">
        <v>1.7350473308407006</v>
      </c>
      <c r="K374" s="3">
        <v>50313.234384662959</v>
      </c>
      <c r="L374" s="2">
        <v>2</v>
      </c>
      <c r="M374" s="2">
        <v>3</v>
      </c>
    </row>
    <row r="375" spans="1:13" x14ac:dyDescent="0.25">
      <c r="A375" s="2">
        <f t="shared" si="5"/>
        <v>367</v>
      </c>
      <c r="B375" s="26" t="s">
        <v>1275</v>
      </c>
      <c r="C375" t="s">
        <v>686</v>
      </c>
      <c r="D375" t="s">
        <v>687</v>
      </c>
      <c r="E375" t="s">
        <v>31</v>
      </c>
      <c r="F375" t="s">
        <v>372</v>
      </c>
      <c r="G375" s="23" t="s">
        <v>1275</v>
      </c>
      <c r="H375" s="4">
        <v>159449.67300000001</v>
      </c>
      <c r="I375" s="4">
        <v>164106.302</v>
      </c>
      <c r="J375" s="1">
        <v>-2.8375686632680321</v>
      </c>
      <c r="K375" s="24" t="s">
        <v>1275</v>
      </c>
      <c r="L375" s="21" t="s">
        <v>1275</v>
      </c>
      <c r="M375" s="2">
        <v>0</v>
      </c>
    </row>
    <row r="376" spans="1:13" x14ac:dyDescent="0.25">
      <c r="A376" s="2">
        <f t="shared" si="5"/>
        <v>368</v>
      </c>
      <c r="B376" s="2">
        <v>165671</v>
      </c>
      <c r="C376" t="s">
        <v>688</v>
      </c>
      <c r="D376" t="s">
        <v>103</v>
      </c>
      <c r="E376" t="s">
        <v>5</v>
      </c>
      <c r="F376" t="s">
        <v>6</v>
      </c>
      <c r="G376" s="4">
        <v>2222</v>
      </c>
      <c r="H376" s="4">
        <v>159077.40299999999</v>
      </c>
      <c r="I376" s="4">
        <v>151724.65</v>
      </c>
      <c r="J376" s="1">
        <v>4.846116303448385</v>
      </c>
      <c r="K376" s="3">
        <v>71591.990549054899</v>
      </c>
      <c r="L376" s="2">
        <v>2</v>
      </c>
      <c r="M376" s="2">
        <v>2</v>
      </c>
    </row>
    <row r="377" spans="1:13" x14ac:dyDescent="0.25">
      <c r="A377" s="2">
        <f t="shared" si="5"/>
        <v>369</v>
      </c>
      <c r="B377" s="2">
        <v>177065</v>
      </c>
      <c r="C377" t="s">
        <v>689</v>
      </c>
      <c r="D377" t="s">
        <v>153</v>
      </c>
      <c r="E377" t="s">
        <v>43</v>
      </c>
      <c r="F377" t="s">
        <v>6</v>
      </c>
      <c r="G377" s="4">
        <v>5767</v>
      </c>
      <c r="H377" s="4">
        <v>158577.72700000001</v>
      </c>
      <c r="I377" s="4">
        <v>168868.65</v>
      </c>
      <c r="J377" s="1">
        <v>-6.0940399535378535</v>
      </c>
      <c r="K377" s="3">
        <v>27497.438356164384</v>
      </c>
      <c r="L377" s="2">
        <v>2</v>
      </c>
      <c r="M377" s="2">
        <v>3</v>
      </c>
    </row>
    <row r="378" spans="1:13" x14ac:dyDescent="0.25">
      <c r="A378" s="2">
        <f t="shared" si="5"/>
        <v>370</v>
      </c>
      <c r="B378" s="2">
        <v>140553</v>
      </c>
      <c r="C378" t="s">
        <v>690</v>
      </c>
      <c r="D378" t="s">
        <v>47</v>
      </c>
      <c r="E378" t="s">
        <v>48</v>
      </c>
      <c r="F378" t="s">
        <v>6</v>
      </c>
      <c r="G378" s="4">
        <v>2182</v>
      </c>
      <c r="H378" s="4">
        <v>157080.77299999999</v>
      </c>
      <c r="I378" s="4">
        <v>156082.46</v>
      </c>
      <c r="J378" s="1">
        <v>0.63960614152288475</v>
      </c>
      <c r="K378" s="3">
        <v>71989.355178735103</v>
      </c>
      <c r="L378" s="2">
        <v>1</v>
      </c>
      <c r="M378" s="2">
        <v>2</v>
      </c>
    </row>
    <row r="379" spans="1:13" x14ac:dyDescent="0.25">
      <c r="A379" s="2">
        <f t="shared" si="5"/>
        <v>371</v>
      </c>
      <c r="B379" s="2">
        <v>220792</v>
      </c>
      <c r="C379" t="s">
        <v>691</v>
      </c>
      <c r="D379" t="s">
        <v>55</v>
      </c>
      <c r="E379" t="s">
        <v>56</v>
      </c>
      <c r="F379" t="s">
        <v>6</v>
      </c>
      <c r="G379" s="4">
        <v>877</v>
      </c>
      <c r="H379" s="4">
        <v>156718.73000000001</v>
      </c>
      <c r="I379" s="4">
        <v>159146.29699999999</v>
      </c>
      <c r="J379" s="1">
        <v>-1.5253681962829457</v>
      </c>
      <c r="K379" s="3">
        <v>178698.66590649943</v>
      </c>
      <c r="L379" s="2">
        <v>1</v>
      </c>
      <c r="M379" s="2">
        <v>5</v>
      </c>
    </row>
    <row r="380" spans="1:13" x14ac:dyDescent="0.25">
      <c r="A380" s="2">
        <f t="shared" si="5"/>
        <v>372</v>
      </c>
      <c r="B380" s="2">
        <v>173300</v>
      </c>
      <c r="C380" t="s">
        <v>692</v>
      </c>
      <c r="D380" t="s">
        <v>693</v>
      </c>
      <c r="E380" t="s">
        <v>101</v>
      </c>
      <c r="F380" t="s">
        <v>6</v>
      </c>
      <c r="G380" s="4">
        <v>1985</v>
      </c>
      <c r="H380" s="4">
        <v>156612.37700000001</v>
      </c>
      <c r="I380" s="4">
        <v>143479.43799999999</v>
      </c>
      <c r="J380" s="1">
        <v>9.1531854201993745</v>
      </c>
      <c r="K380" s="3">
        <v>78897.92292191436</v>
      </c>
      <c r="L380" s="2">
        <v>2</v>
      </c>
      <c r="M380" s="2">
        <v>2</v>
      </c>
    </row>
    <row r="381" spans="1:13" x14ac:dyDescent="0.25">
      <c r="A381" s="2">
        <f t="shared" si="5"/>
        <v>373</v>
      </c>
      <c r="B381" s="2">
        <v>201441</v>
      </c>
      <c r="C381" t="s">
        <v>694</v>
      </c>
      <c r="D381" t="s">
        <v>642</v>
      </c>
      <c r="E381" t="s">
        <v>69</v>
      </c>
      <c r="F381" t="s">
        <v>82</v>
      </c>
      <c r="G381" s="4">
        <v>15364</v>
      </c>
      <c r="H381" s="4">
        <v>155729.99600000001</v>
      </c>
      <c r="I381" s="4">
        <v>149437.826</v>
      </c>
      <c r="J381" s="1">
        <v>4.2105604507388916</v>
      </c>
      <c r="K381" s="3">
        <v>10136.0320229107</v>
      </c>
      <c r="L381" s="2">
        <v>2</v>
      </c>
      <c r="M381" s="2">
        <v>4</v>
      </c>
    </row>
    <row r="382" spans="1:13" x14ac:dyDescent="0.25">
      <c r="A382" s="2">
        <f t="shared" si="5"/>
        <v>374</v>
      </c>
      <c r="B382" s="2">
        <v>222983</v>
      </c>
      <c r="C382" t="s">
        <v>695</v>
      </c>
      <c r="D382" t="s">
        <v>696</v>
      </c>
      <c r="E382" t="s">
        <v>9</v>
      </c>
      <c r="F382" t="s">
        <v>6</v>
      </c>
      <c r="G382" s="4">
        <v>1314</v>
      </c>
      <c r="H382" s="4">
        <v>155432.935</v>
      </c>
      <c r="I382" s="4">
        <v>149666.61600000001</v>
      </c>
      <c r="J382" s="1">
        <v>3.8527756918082523</v>
      </c>
      <c r="K382" s="3">
        <v>118289.90487062404</v>
      </c>
      <c r="L382" s="2">
        <v>2</v>
      </c>
      <c r="M382" s="2">
        <v>2</v>
      </c>
    </row>
    <row r="383" spans="1:13" x14ac:dyDescent="0.25">
      <c r="A383" s="2">
        <f t="shared" si="5"/>
        <v>375</v>
      </c>
      <c r="B383" s="2">
        <v>156082</v>
      </c>
      <c r="C383" t="s">
        <v>697</v>
      </c>
      <c r="D383" t="s">
        <v>698</v>
      </c>
      <c r="E383" t="s">
        <v>144</v>
      </c>
      <c r="F383" t="s">
        <v>82</v>
      </c>
      <c r="G383" s="4">
        <v>4710</v>
      </c>
      <c r="H383" s="4">
        <v>155323.91</v>
      </c>
      <c r="I383" s="4">
        <v>166459.745</v>
      </c>
      <c r="J383" s="1">
        <v>-6.6898065955826134</v>
      </c>
      <c r="K383" s="3">
        <v>32977.475583864121</v>
      </c>
      <c r="L383" s="2">
        <v>2</v>
      </c>
      <c r="M383" s="2">
        <v>4</v>
      </c>
    </row>
    <row r="384" spans="1:13" x14ac:dyDescent="0.25">
      <c r="A384" s="2">
        <f t="shared" si="5"/>
        <v>376</v>
      </c>
      <c r="B384" s="2">
        <v>230782</v>
      </c>
      <c r="C384" t="s">
        <v>699</v>
      </c>
      <c r="D384" t="s">
        <v>700</v>
      </c>
      <c r="E384" t="s">
        <v>237</v>
      </c>
      <c r="F384" t="s">
        <v>10</v>
      </c>
      <c r="G384" s="4">
        <v>13999</v>
      </c>
      <c r="H384" s="4">
        <v>155180.81899999999</v>
      </c>
      <c r="I384" s="4">
        <v>150521.514</v>
      </c>
      <c r="J384" s="1">
        <v>3.0954412270926266</v>
      </c>
      <c r="K384" s="3">
        <v>11085.136009714979</v>
      </c>
      <c r="L384" s="2">
        <v>2</v>
      </c>
      <c r="M384" s="2">
        <v>3</v>
      </c>
    </row>
    <row r="385" spans="1:13" x14ac:dyDescent="0.25">
      <c r="A385" s="2">
        <f t="shared" si="5"/>
        <v>377</v>
      </c>
      <c r="B385" s="2">
        <v>232186</v>
      </c>
      <c r="C385" t="s">
        <v>701</v>
      </c>
      <c r="D385" t="s">
        <v>702</v>
      </c>
      <c r="E385" t="s">
        <v>51</v>
      </c>
      <c r="F385" t="s">
        <v>82</v>
      </c>
      <c r="G385" s="4">
        <v>30008</v>
      </c>
      <c r="H385" s="4">
        <v>154181.758</v>
      </c>
      <c r="I385" s="4">
        <v>112996.662</v>
      </c>
      <c r="J385" s="1">
        <v>36.448064279987314</v>
      </c>
      <c r="K385" s="3">
        <v>5138.0217941882165</v>
      </c>
      <c r="L385" s="2">
        <v>2</v>
      </c>
      <c r="M385" s="2">
        <v>4</v>
      </c>
    </row>
    <row r="386" spans="1:13" x14ac:dyDescent="0.25">
      <c r="A386" s="2">
        <f t="shared" si="5"/>
        <v>378</v>
      </c>
      <c r="B386" s="2">
        <v>219356</v>
      </c>
      <c r="C386" t="s">
        <v>703</v>
      </c>
      <c r="D386" t="s">
        <v>704</v>
      </c>
      <c r="E386" t="s">
        <v>534</v>
      </c>
      <c r="F386" t="s">
        <v>82</v>
      </c>
      <c r="G386" s="4">
        <v>10108</v>
      </c>
      <c r="H386" s="4">
        <v>153613.54500000001</v>
      </c>
      <c r="I386" s="4">
        <v>132678.448</v>
      </c>
      <c r="J386" s="1">
        <v>15.778822646463276</v>
      </c>
      <c r="K386" s="3">
        <v>15197.224475662841</v>
      </c>
      <c r="L386" s="2">
        <v>2</v>
      </c>
      <c r="M386" s="2">
        <v>4</v>
      </c>
    </row>
    <row r="387" spans="1:13" x14ac:dyDescent="0.25">
      <c r="A387" s="2">
        <f t="shared" si="5"/>
        <v>379</v>
      </c>
      <c r="B387" s="2">
        <v>102368</v>
      </c>
      <c r="C387" t="s">
        <v>705</v>
      </c>
      <c r="D387" t="s">
        <v>317</v>
      </c>
      <c r="E387" t="s">
        <v>177</v>
      </c>
      <c r="F387" t="s">
        <v>6</v>
      </c>
      <c r="G387" s="4">
        <v>12258</v>
      </c>
      <c r="H387" s="4">
        <v>152060.88800000001</v>
      </c>
      <c r="I387" s="4">
        <v>129191.77</v>
      </c>
      <c r="J387" s="1">
        <v>17.701683319301225</v>
      </c>
      <c r="K387" s="3">
        <v>12405.03246859194</v>
      </c>
      <c r="L387" s="2">
        <v>2</v>
      </c>
      <c r="M387" s="2">
        <v>3</v>
      </c>
    </row>
    <row r="388" spans="1:13" x14ac:dyDescent="0.25">
      <c r="A388" s="2">
        <f t="shared" si="5"/>
        <v>380</v>
      </c>
      <c r="B388" s="2">
        <v>145813</v>
      </c>
      <c r="C388" t="s">
        <v>706</v>
      </c>
      <c r="D388" t="s">
        <v>707</v>
      </c>
      <c r="E388" t="s">
        <v>37</v>
      </c>
      <c r="F388" t="s">
        <v>10</v>
      </c>
      <c r="G388" s="4">
        <v>20878</v>
      </c>
      <c r="H388" s="4">
        <v>151372.576</v>
      </c>
      <c r="I388" s="4">
        <v>144350.035</v>
      </c>
      <c r="J388" s="1">
        <v>4.8649388966202887</v>
      </c>
      <c r="K388" s="3">
        <v>7250.3389213526198</v>
      </c>
      <c r="L388" s="2">
        <v>2</v>
      </c>
      <c r="M388" s="2">
        <v>4</v>
      </c>
    </row>
    <row r="389" spans="1:13" x14ac:dyDescent="0.25">
      <c r="A389" s="2">
        <f t="shared" si="5"/>
        <v>381</v>
      </c>
      <c r="B389" s="2">
        <v>239716</v>
      </c>
      <c r="C389" t="s">
        <v>708</v>
      </c>
      <c r="D389" t="s">
        <v>709</v>
      </c>
      <c r="E389" t="s">
        <v>81</v>
      </c>
      <c r="F389" t="s">
        <v>6</v>
      </c>
      <c r="G389" s="4">
        <v>2010</v>
      </c>
      <c r="H389" s="4">
        <v>150219.03599999999</v>
      </c>
      <c r="I389" s="4">
        <v>150476.274</v>
      </c>
      <c r="J389" s="1">
        <v>-0.17094920890983784</v>
      </c>
      <c r="K389" s="3">
        <v>74735.838805970154</v>
      </c>
      <c r="L389" s="2">
        <v>2</v>
      </c>
      <c r="M389" s="2">
        <v>2</v>
      </c>
    </row>
    <row r="390" spans="1:13" x14ac:dyDescent="0.25">
      <c r="A390" s="2">
        <f t="shared" si="5"/>
        <v>382</v>
      </c>
      <c r="B390" s="2">
        <v>217059</v>
      </c>
      <c r="C390" t="s">
        <v>710</v>
      </c>
      <c r="D390" t="s">
        <v>711</v>
      </c>
      <c r="E390" t="s">
        <v>23</v>
      </c>
      <c r="F390" t="s">
        <v>6</v>
      </c>
      <c r="G390" s="4">
        <v>3954</v>
      </c>
      <c r="H390" s="4">
        <v>150159.64600000001</v>
      </c>
      <c r="I390" s="4">
        <v>154132.66699999999</v>
      </c>
      <c r="J390" s="1">
        <v>-2.5776631763596227</v>
      </c>
      <c r="K390" s="3">
        <v>37976.642893272634</v>
      </c>
      <c r="L390" s="2">
        <v>2</v>
      </c>
      <c r="M390" s="2">
        <v>3</v>
      </c>
    </row>
    <row r="391" spans="1:13" x14ac:dyDescent="0.25">
      <c r="A391" s="2">
        <f t="shared" si="5"/>
        <v>383</v>
      </c>
      <c r="B391" s="2">
        <v>156222</v>
      </c>
      <c r="C391" t="s">
        <v>712</v>
      </c>
      <c r="D391" t="s">
        <v>713</v>
      </c>
      <c r="E391" t="s">
        <v>197</v>
      </c>
      <c r="F391" t="s">
        <v>6</v>
      </c>
      <c r="G391" s="4">
        <v>1119</v>
      </c>
      <c r="H391" s="4">
        <v>149854.35200000001</v>
      </c>
      <c r="I391" s="4">
        <v>150440.011</v>
      </c>
      <c r="J391" s="1">
        <v>-0.3892973658450477</v>
      </c>
      <c r="K391" s="3">
        <v>133918.09830205541</v>
      </c>
      <c r="L391" s="2">
        <v>2</v>
      </c>
      <c r="M391" s="2">
        <v>5</v>
      </c>
    </row>
    <row r="392" spans="1:13" x14ac:dyDescent="0.25">
      <c r="A392" s="2">
        <f t="shared" si="5"/>
        <v>384</v>
      </c>
      <c r="B392" s="2">
        <v>122755</v>
      </c>
      <c r="C392" t="s">
        <v>714</v>
      </c>
      <c r="D392" t="s">
        <v>715</v>
      </c>
      <c r="E392" t="s">
        <v>16</v>
      </c>
      <c r="F392" t="s">
        <v>95</v>
      </c>
      <c r="G392" s="4">
        <v>31964</v>
      </c>
      <c r="H392" s="4">
        <v>148747.33900000001</v>
      </c>
      <c r="I392" s="4">
        <v>153212.20499999999</v>
      </c>
      <c r="J392" s="1">
        <v>-2.9141712306796972</v>
      </c>
      <c r="K392" s="3">
        <v>4653.5896320860966</v>
      </c>
      <c r="L392" s="2">
        <v>2</v>
      </c>
      <c r="M392" s="2">
        <v>3</v>
      </c>
    </row>
    <row r="393" spans="1:13" x14ac:dyDescent="0.25">
      <c r="A393" s="2">
        <f t="shared" ref="A393:A456" si="6">RANK(H393,H$9:H$725,0)</f>
        <v>385</v>
      </c>
      <c r="B393" s="2">
        <v>149222</v>
      </c>
      <c r="C393" t="s">
        <v>716</v>
      </c>
      <c r="D393" t="s">
        <v>717</v>
      </c>
      <c r="E393" t="s">
        <v>37</v>
      </c>
      <c r="F393" t="s">
        <v>82</v>
      </c>
      <c r="G393" s="4">
        <v>9272</v>
      </c>
      <c r="H393" s="4">
        <v>148094.79999999999</v>
      </c>
      <c r="I393" s="4">
        <v>149980.36499999999</v>
      </c>
      <c r="J393" s="1">
        <v>-1.2572079018476852</v>
      </c>
      <c r="K393" s="3">
        <v>15972.260569456428</v>
      </c>
      <c r="L393" s="2">
        <v>2</v>
      </c>
      <c r="M393" s="2">
        <v>4</v>
      </c>
    </row>
    <row r="394" spans="1:13" x14ac:dyDescent="0.25">
      <c r="A394" s="2">
        <f t="shared" si="6"/>
        <v>386</v>
      </c>
      <c r="B394" s="2">
        <v>221740</v>
      </c>
      <c r="C394" t="s">
        <v>718</v>
      </c>
      <c r="D394" t="s">
        <v>719</v>
      </c>
      <c r="E394" t="s">
        <v>56</v>
      </c>
      <c r="F394" t="s">
        <v>82</v>
      </c>
      <c r="G394" s="4">
        <v>10500</v>
      </c>
      <c r="H394" s="4">
        <v>147097.13800000001</v>
      </c>
      <c r="I394" s="4">
        <v>141886.31299999999</v>
      </c>
      <c r="J394" s="1">
        <v>3.6725353487760302</v>
      </c>
      <c r="K394" s="3">
        <v>14009.251238095238</v>
      </c>
      <c r="L394" s="2">
        <v>2</v>
      </c>
      <c r="M394" s="2">
        <v>4</v>
      </c>
    </row>
    <row r="395" spans="1:13" x14ac:dyDescent="0.25">
      <c r="A395" s="2">
        <f t="shared" si="6"/>
        <v>387</v>
      </c>
      <c r="B395" s="2">
        <v>215132</v>
      </c>
      <c r="C395" t="s">
        <v>720</v>
      </c>
      <c r="D395" t="s">
        <v>22</v>
      </c>
      <c r="E395" t="s">
        <v>23</v>
      </c>
      <c r="F395" t="s">
        <v>6</v>
      </c>
      <c r="G395" s="4">
        <v>2155</v>
      </c>
      <c r="H395" s="4">
        <v>146008.31200000001</v>
      </c>
      <c r="I395" s="4">
        <v>162527.435</v>
      </c>
      <c r="J395" s="1">
        <v>-10.163898175098868</v>
      </c>
      <c r="K395" s="3">
        <v>67753.277030162411</v>
      </c>
      <c r="L395" s="2">
        <v>2</v>
      </c>
      <c r="M395" s="2">
        <v>5</v>
      </c>
    </row>
    <row r="396" spans="1:13" x14ac:dyDescent="0.25">
      <c r="A396" s="2">
        <f t="shared" si="6"/>
        <v>388</v>
      </c>
      <c r="B396" s="2">
        <v>121257</v>
      </c>
      <c r="C396" t="s">
        <v>721</v>
      </c>
      <c r="D396" t="s">
        <v>115</v>
      </c>
      <c r="E396" t="s">
        <v>16</v>
      </c>
      <c r="F396" t="s">
        <v>6</v>
      </c>
      <c r="G396" s="4">
        <v>1074</v>
      </c>
      <c r="H396" s="4">
        <v>144267.71799999999</v>
      </c>
      <c r="I396" s="4">
        <v>144364.639</v>
      </c>
      <c r="J396" s="1">
        <v>-6.713624657074091E-2</v>
      </c>
      <c r="K396" s="3">
        <v>134327.48417132217</v>
      </c>
      <c r="L396" s="2">
        <v>2</v>
      </c>
      <c r="M396" s="2">
        <v>2</v>
      </c>
    </row>
    <row r="397" spans="1:13" x14ac:dyDescent="0.25">
      <c r="A397" s="2">
        <f t="shared" si="6"/>
        <v>389</v>
      </c>
      <c r="B397" s="2">
        <v>225627</v>
      </c>
      <c r="C397" t="s">
        <v>722</v>
      </c>
      <c r="D397" t="s">
        <v>201</v>
      </c>
      <c r="E397" t="s">
        <v>9</v>
      </c>
      <c r="F397" t="s">
        <v>6</v>
      </c>
      <c r="G397" s="4">
        <v>7181</v>
      </c>
      <c r="H397" s="4">
        <v>143846.44899999999</v>
      </c>
      <c r="I397" s="4">
        <v>142070.655</v>
      </c>
      <c r="J397" s="1">
        <v>1.2499372231373187</v>
      </c>
      <c r="K397" s="3">
        <v>20031.534465951816</v>
      </c>
      <c r="L397" s="2">
        <v>2</v>
      </c>
      <c r="M397" s="2">
        <v>4</v>
      </c>
    </row>
    <row r="398" spans="1:13" x14ac:dyDescent="0.25">
      <c r="A398" s="2">
        <f t="shared" si="6"/>
        <v>390</v>
      </c>
      <c r="B398" s="2">
        <v>150756</v>
      </c>
      <c r="C398" t="s">
        <v>723</v>
      </c>
      <c r="D398" t="s">
        <v>63</v>
      </c>
      <c r="E398" t="s">
        <v>31</v>
      </c>
      <c r="F398" t="s">
        <v>6</v>
      </c>
      <c r="G398" s="4">
        <v>1067</v>
      </c>
      <c r="H398" s="4">
        <v>142798.70300000001</v>
      </c>
      <c r="I398" s="4">
        <v>146078.01</v>
      </c>
      <c r="J398" s="1">
        <v>-2.2449012003928588</v>
      </c>
      <c r="K398" s="3">
        <v>133831.96157450796</v>
      </c>
      <c r="L398" s="2">
        <v>2</v>
      </c>
      <c r="M398" s="2">
        <v>2</v>
      </c>
    </row>
    <row r="399" spans="1:13" x14ac:dyDescent="0.25">
      <c r="A399" s="2">
        <f t="shared" si="6"/>
        <v>391</v>
      </c>
      <c r="B399" s="2">
        <v>199412</v>
      </c>
      <c r="C399" t="s">
        <v>724</v>
      </c>
      <c r="D399" t="s">
        <v>564</v>
      </c>
      <c r="E399" t="s">
        <v>40</v>
      </c>
      <c r="F399" t="s">
        <v>6</v>
      </c>
      <c r="G399" s="4">
        <v>1974</v>
      </c>
      <c r="H399" s="4">
        <v>142505.799</v>
      </c>
      <c r="I399" s="4">
        <v>150237.35399999999</v>
      </c>
      <c r="J399" s="1">
        <v>-5.1462268165345879</v>
      </c>
      <c r="K399" s="3">
        <v>72191.387537993927</v>
      </c>
      <c r="L399" s="2">
        <v>2</v>
      </c>
      <c r="M399" s="2">
        <v>3</v>
      </c>
    </row>
    <row r="400" spans="1:13" x14ac:dyDescent="0.25">
      <c r="A400" s="2">
        <f t="shared" si="6"/>
        <v>392</v>
      </c>
      <c r="B400" s="2">
        <v>119173</v>
      </c>
      <c r="C400" t="s">
        <v>725</v>
      </c>
      <c r="D400" t="s">
        <v>66</v>
      </c>
      <c r="E400" t="s">
        <v>16</v>
      </c>
      <c r="F400" t="s">
        <v>6</v>
      </c>
      <c r="G400" s="4">
        <v>2459.67</v>
      </c>
      <c r="H400" s="4">
        <v>142341.15599999999</v>
      </c>
      <c r="I400" s="4">
        <v>145564.83600000001</v>
      </c>
      <c r="J400" s="1">
        <v>-2.2146007844916613</v>
      </c>
      <c r="K400" s="3">
        <v>57870.021588261836</v>
      </c>
      <c r="L400" s="2">
        <v>2</v>
      </c>
      <c r="M400" s="2">
        <v>3</v>
      </c>
    </row>
    <row r="401" spans="1:13" x14ac:dyDescent="0.25">
      <c r="A401" s="2">
        <f t="shared" si="6"/>
        <v>393</v>
      </c>
      <c r="B401" s="2">
        <v>233426</v>
      </c>
      <c r="C401" t="s">
        <v>726</v>
      </c>
      <c r="D401" t="s">
        <v>541</v>
      </c>
      <c r="E401" t="s">
        <v>51</v>
      </c>
      <c r="F401" t="s">
        <v>6</v>
      </c>
      <c r="G401" s="4">
        <v>1962</v>
      </c>
      <c r="H401" s="4">
        <v>142303.565</v>
      </c>
      <c r="I401" s="4">
        <v>148794.39300000001</v>
      </c>
      <c r="J401" s="1">
        <v>-4.3622799684394025</v>
      </c>
      <c r="K401" s="3">
        <v>72529.849643221198</v>
      </c>
      <c r="L401" s="2">
        <v>2</v>
      </c>
      <c r="M401" s="2">
        <v>2</v>
      </c>
    </row>
    <row r="402" spans="1:13" x14ac:dyDescent="0.25">
      <c r="A402" s="11">
        <f t="shared" si="6"/>
        <v>394</v>
      </c>
      <c r="B402" s="27" t="s">
        <v>1275</v>
      </c>
      <c r="C402" s="12" t="s">
        <v>727</v>
      </c>
      <c r="D402" s="12" t="s">
        <v>728</v>
      </c>
      <c r="E402" s="12" t="s">
        <v>537</v>
      </c>
      <c r="F402" s="12" t="s">
        <v>6</v>
      </c>
      <c r="G402" s="13">
        <v>2242</v>
      </c>
      <c r="H402" s="13">
        <v>141104.25851399999</v>
      </c>
      <c r="I402" s="13">
        <v>148240.59588000001</v>
      </c>
      <c r="J402" s="14">
        <v>-4.8140236644601897</v>
      </c>
      <c r="K402" s="15">
        <v>62936.778998215879</v>
      </c>
      <c r="L402" s="22" t="s">
        <v>1275</v>
      </c>
      <c r="M402" s="11">
        <v>0</v>
      </c>
    </row>
    <row r="403" spans="1:13" x14ac:dyDescent="0.25">
      <c r="A403" s="2">
        <f t="shared" si="6"/>
        <v>395</v>
      </c>
      <c r="B403" s="2">
        <v>122597</v>
      </c>
      <c r="C403" t="s">
        <v>729</v>
      </c>
      <c r="D403" t="s">
        <v>125</v>
      </c>
      <c r="E403" t="s">
        <v>16</v>
      </c>
      <c r="F403" t="s">
        <v>82</v>
      </c>
      <c r="G403" s="4">
        <v>28880</v>
      </c>
      <c r="H403" s="4">
        <v>140759.24900000001</v>
      </c>
      <c r="I403" s="4">
        <v>137080.484</v>
      </c>
      <c r="J403" s="1">
        <v>2.6836533492251164</v>
      </c>
      <c r="K403" s="3">
        <v>4873.9352146814408</v>
      </c>
      <c r="L403" s="2">
        <v>2</v>
      </c>
      <c r="M403" s="2">
        <v>3</v>
      </c>
    </row>
    <row r="404" spans="1:13" x14ac:dyDescent="0.25">
      <c r="A404" s="2">
        <f t="shared" si="6"/>
        <v>396</v>
      </c>
      <c r="B404" s="2">
        <v>203517</v>
      </c>
      <c r="C404" t="s">
        <v>730</v>
      </c>
      <c r="D404" t="s">
        <v>731</v>
      </c>
      <c r="E404" t="s">
        <v>69</v>
      </c>
      <c r="F404" t="s">
        <v>82</v>
      </c>
      <c r="G404" s="4">
        <v>43000</v>
      </c>
      <c r="H404" s="4">
        <v>138113.13200000001</v>
      </c>
      <c r="I404" s="4">
        <v>136600.30300000001</v>
      </c>
      <c r="J404" s="1">
        <v>1.1074858303938022</v>
      </c>
      <c r="K404" s="3">
        <v>3211.9333023255813</v>
      </c>
      <c r="L404" s="2">
        <v>2</v>
      </c>
      <c r="M404" s="2">
        <v>4</v>
      </c>
    </row>
    <row r="405" spans="1:13" x14ac:dyDescent="0.25">
      <c r="A405" s="2">
        <f t="shared" si="6"/>
        <v>397</v>
      </c>
      <c r="B405" s="2">
        <v>151290</v>
      </c>
      <c r="C405" t="s">
        <v>732</v>
      </c>
      <c r="D405" t="s">
        <v>733</v>
      </c>
      <c r="E405" t="s">
        <v>31</v>
      </c>
      <c r="F405" t="s">
        <v>6</v>
      </c>
      <c r="G405" s="4">
        <v>4907</v>
      </c>
      <c r="H405" s="4">
        <v>137645.96</v>
      </c>
      <c r="I405" s="4">
        <v>137039.068</v>
      </c>
      <c r="J405" s="1">
        <v>0.44286057170207843</v>
      </c>
      <c r="K405" s="3">
        <v>28050.9394742205</v>
      </c>
      <c r="L405" s="2">
        <v>2</v>
      </c>
      <c r="M405" s="2">
        <v>3</v>
      </c>
    </row>
    <row r="406" spans="1:13" x14ac:dyDescent="0.25">
      <c r="A406" s="2">
        <f t="shared" si="6"/>
        <v>398</v>
      </c>
      <c r="B406" s="2">
        <v>188641</v>
      </c>
      <c r="C406" t="s">
        <v>734</v>
      </c>
      <c r="D406" t="s">
        <v>735</v>
      </c>
      <c r="E406" t="s">
        <v>34</v>
      </c>
      <c r="F406" t="s">
        <v>6</v>
      </c>
      <c r="G406" s="4">
        <v>2096.67</v>
      </c>
      <c r="H406" s="4">
        <v>136777.28</v>
      </c>
      <c r="I406" s="4">
        <v>138253.80600000001</v>
      </c>
      <c r="J406" s="1">
        <v>-1.067982171861511</v>
      </c>
      <c r="K406" s="3">
        <v>65235.482932459563</v>
      </c>
      <c r="L406" s="2">
        <v>2</v>
      </c>
      <c r="M406" s="2">
        <v>3</v>
      </c>
    </row>
    <row r="407" spans="1:13" x14ac:dyDescent="0.25">
      <c r="A407" s="2">
        <f t="shared" si="6"/>
        <v>399</v>
      </c>
      <c r="B407" s="2">
        <v>185828</v>
      </c>
      <c r="C407" t="s">
        <v>736</v>
      </c>
      <c r="D407" t="s">
        <v>170</v>
      </c>
      <c r="E407" t="s">
        <v>19</v>
      </c>
      <c r="F407" t="s">
        <v>10</v>
      </c>
      <c r="G407" s="4">
        <v>9492</v>
      </c>
      <c r="H407" s="4">
        <v>135572.16099999999</v>
      </c>
      <c r="I407" s="4">
        <v>129454.88099999999</v>
      </c>
      <c r="J407" s="1">
        <v>4.7254147180437327</v>
      </c>
      <c r="K407" s="3">
        <v>14282.781394858828</v>
      </c>
      <c r="L407" s="2">
        <v>2</v>
      </c>
      <c r="M407" s="2">
        <v>4</v>
      </c>
    </row>
    <row r="408" spans="1:13" x14ac:dyDescent="0.25">
      <c r="A408" s="2">
        <f t="shared" si="6"/>
        <v>400</v>
      </c>
      <c r="B408" s="2">
        <v>204185</v>
      </c>
      <c r="C408" t="s">
        <v>737</v>
      </c>
      <c r="D408" t="s">
        <v>738</v>
      </c>
      <c r="E408" t="s">
        <v>69</v>
      </c>
      <c r="F408" t="s">
        <v>6</v>
      </c>
      <c r="G408" s="4">
        <v>2216</v>
      </c>
      <c r="H408" s="4">
        <v>135498.84700000001</v>
      </c>
      <c r="I408" s="4">
        <v>140318.34700000001</v>
      </c>
      <c r="J408" s="1">
        <v>-3.4346898342523948</v>
      </c>
      <c r="K408" s="3">
        <v>61145.68907942238</v>
      </c>
      <c r="L408" s="2">
        <v>2</v>
      </c>
      <c r="M408" s="2">
        <v>2</v>
      </c>
    </row>
    <row r="409" spans="1:13" x14ac:dyDescent="0.25">
      <c r="A409" s="2">
        <f t="shared" si="6"/>
        <v>401</v>
      </c>
      <c r="B409" s="2">
        <v>154095</v>
      </c>
      <c r="C409" t="s">
        <v>739</v>
      </c>
      <c r="D409" t="s">
        <v>740</v>
      </c>
      <c r="E409" t="s">
        <v>123</v>
      </c>
      <c r="F409" t="s">
        <v>82</v>
      </c>
      <c r="G409" s="4">
        <v>9250</v>
      </c>
      <c r="H409" s="4">
        <v>135325.76500000001</v>
      </c>
      <c r="I409" s="4">
        <v>130453.03599999999</v>
      </c>
      <c r="J409" s="1">
        <v>3.7352361810881889</v>
      </c>
      <c r="K409" s="3">
        <v>14629.812432432433</v>
      </c>
      <c r="L409" s="2">
        <v>2</v>
      </c>
      <c r="M409" s="2">
        <v>3</v>
      </c>
    </row>
    <row r="410" spans="1:13" x14ac:dyDescent="0.25">
      <c r="A410" s="2">
        <f t="shared" si="6"/>
        <v>402</v>
      </c>
      <c r="B410" s="2">
        <v>237525</v>
      </c>
      <c r="C410" t="s">
        <v>741</v>
      </c>
      <c r="D410" t="s">
        <v>742</v>
      </c>
      <c r="E410" t="s">
        <v>352</v>
      </c>
      <c r="F410" t="s">
        <v>82</v>
      </c>
      <c r="G410" s="23" t="s">
        <v>1275</v>
      </c>
      <c r="H410" s="4">
        <v>134897.73000000001</v>
      </c>
      <c r="I410" s="4">
        <v>140180.88399999999</v>
      </c>
      <c r="J410" s="1">
        <v>-3.7688120157667147</v>
      </c>
      <c r="K410" s="24" t="s">
        <v>1275</v>
      </c>
      <c r="L410" s="2">
        <v>2</v>
      </c>
      <c r="M410" s="2">
        <v>4</v>
      </c>
    </row>
    <row r="411" spans="1:13" x14ac:dyDescent="0.25">
      <c r="A411" s="2">
        <f t="shared" si="6"/>
        <v>403</v>
      </c>
      <c r="B411" s="2">
        <v>179265</v>
      </c>
      <c r="C411" t="s">
        <v>743</v>
      </c>
      <c r="D411" t="s">
        <v>42</v>
      </c>
      <c r="E411" t="s">
        <v>43</v>
      </c>
      <c r="F411" t="s">
        <v>6</v>
      </c>
      <c r="G411" s="4">
        <v>1016</v>
      </c>
      <c r="H411" s="4">
        <v>134563.875</v>
      </c>
      <c r="I411" s="4">
        <v>144775.64799999999</v>
      </c>
      <c r="J411" s="1">
        <v>-7.0535156575503635</v>
      </c>
      <c r="K411" s="3">
        <v>132444.75885826771</v>
      </c>
      <c r="L411" s="2">
        <v>2</v>
      </c>
      <c r="M411" s="2">
        <v>5</v>
      </c>
    </row>
    <row r="412" spans="1:13" x14ac:dyDescent="0.25">
      <c r="A412" s="2">
        <f t="shared" si="6"/>
        <v>404</v>
      </c>
      <c r="B412" s="2">
        <v>213996</v>
      </c>
      <c r="C412" t="s">
        <v>744</v>
      </c>
      <c r="D412" t="s">
        <v>745</v>
      </c>
      <c r="E412" t="s">
        <v>23</v>
      </c>
      <c r="F412" t="s">
        <v>6</v>
      </c>
      <c r="G412" s="4">
        <v>2971</v>
      </c>
      <c r="H412" s="4">
        <v>133800.70300000001</v>
      </c>
      <c r="I412" s="4">
        <v>141904.329</v>
      </c>
      <c r="J412" s="1">
        <v>-5.7106263474174916</v>
      </c>
      <c r="K412" s="3">
        <v>45035.578256479297</v>
      </c>
      <c r="L412" s="2">
        <v>2</v>
      </c>
      <c r="M412" s="2">
        <v>3</v>
      </c>
    </row>
    <row r="413" spans="1:13" x14ac:dyDescent="0.25">
      <c r="A413" s="2">
        <f t="shared" si="6"/>
        <v>405</v>
      </c>
      <c r="B413" s="2">
        <v>164270</v>
      </c>
      <c r="C413" t="s">
        <v>746</v>
      </c>
      <c r="D413" t="s">
        <v>747</v>
      </c>
      <c r="E413" t="s">
        <v>59</v>
      </c>
      <c r="F413" t="s">
        <v>6</v>
      </c>
      <c r="G413" s="4">
        <v>2390</v>
      </c>
      <c r="H413" s="4">
        <v>130923</v>
      </c>
      <c r="I413" s="4">
        <v>134764</v>
      </c>
      <c r="J413" s="1">
        <v>-2.850167700572853</v>
      </c>
      <c r="K413" s="3">
        <v>54779.497907949793</v>
      </c>
      <c r="L413" s="2">
        <v>2</v>
      </c>
      <c r="M413" s="2">
        <v>3</v>
      </c>
    </row>
    <row r="414" spans="1:13" x14ac:dyDescent="0.25">
      <c r="A414" s="2">
        <f t="shared" si="6"/>
        <v>406</v>
      </c>
      <c r="B414" s="2">
        <v>220075</v>
      </c>
      <c r="C414" t="s">
        <v>748</v>
      </c>
      <c r="D414" t="s">
        <v>749</v>
      </c>
      <c r="E414" t="s">
        <v>56</v>
      </c>
      <c r="F414" t="s">
        <v>95</v>
      </c>
      <c r="G414" s="4">
        <v>12325</v>
      </c>
      <c r="H414" s="4">
        <v>130080.30100000001</v>
      </c>
      <c r="I414" s="4">
        <v>127683.901</v>
      </c>
      <c r="J414" s="1">
        <v>1.876822356798137</v>
      </c>
      <c r="K414" s="3">
        <v>10554.182636916836</v>
      </c>
      <c r="L414" s="2">
        <v>2</v>
      </c>
      <c r="M414" s="2">
        <v>4</v>
      </c>
    </row>
    <row r="415" spans="1:13" x14ac:dyDescent="0.25">
      <c r="A415" s="2">
        <f t="shared" si="6"/>
        <v>407</v>
      </c>
      <c r="B415" s="2">
        <v>179894</v>
      </c>
      <c r="C415" t="s">
        <v>750</v>
      </c>
      <c r="D415" t="s">
        <v>42</v>
      </c>
      <c r="E415" t="s">
        <v>43</v>
      </c>
      <c r="F415" t="s">
        <v>6</v>
      </c>
      <c r="G415" s="4">
        <v>7879</v>
      </c>
      <c r="H415" s="4">
        <v>129755.321</v>
      </c>
      <c r="I415" s="4">
        <v>129166.796</v>
      </c>
      <c r="J415" s="1">
        <v>0.45563180184480229</v>
      </c>
      <c r="K415" s="3">
        <v>16468.501205736768</v>
      </c>
      <c r="L415" s="2">
        <v>2</v>
      </c>
      <c r="M415" s="2">
        <v>3</v>
      </c>
    </row>
    <row r="416" spans="1:13" x14ac:dyDescent="0.25">
      <c r="A416" s="2">
        <f t="shared" si="6"/>
        <v>408</v>
      </c>
      <c r="B416" s="2">
        <v>153001</v>
      </c>
      <c r="C416" t="s">
        <v>751</v>
      </c>
      <c r="D416" t="s">
        <v>752</v>
      </c>
      <c r="E416" t="s">
        <v>123</v>
      </c>
      <c r="F416" t="s">
        <v>6</v>
      </c>
      <c r="G416" s="4">
        <v>732</v>
      </c>
      <c r="H416" s="4">
        <v>128774.825</v>
      </c>
      <c r="I416" s="4">
        <v>131874.37100000001</v>
      </c>
      <c r="J416" s="1">
        <v>-2.3503778455936675</v>
      </c>
      <c r="K416" s="3">
        <v>175921.89207650273</v>
      </c>
      <c r="L416" s="2">
        <v>2</v>
      </c>
      <c r="M416" s="2">
        <v>3</v>
      </c>
    </row>
    <row r="417" spans="1:13" x14ac:dyDescent="0.25">
      <c r="A417" s="2">
        <f t="shared" si="6"/>
        <v>409</v>
      </c>
      <c r="B417" s="2">
        <v>216524</v>
      </c>
      <c r="C417" t="s">
        <v>753</v>
      </c>
      <c r="D417" t="s">
        <v>612</v>
      </c>
      <c r="E417" t="s">
        <v>23</v>
      </c>
      <c r="F417" t="s">
        <v>6</v>
      </c>
      <c r="G417" s="4">
        <v>1462</v>
      </c>
      <c r="H417" s="4">
        <v>127480.38800000001</v>
      </c>
      <c r="I417" s="4">
        <v>131213.37700000001</v>
      </c>
      <c r="J417" s="1">
        <v>-2.8449759356471711</v>
      </c>
      <c r="K417" s="3">
        <v>87195.887824897407</v>
      </c>
      <c r="L417" s="2">
        <v>2</v>
      </c>
      <c r="M417" s="2">
        <v>2</v>
      </c>
    </row>
    <row r="418" spans="1:13" x14ac:dyDescent="0.25">
      <c r="A418" s="2">
        <f t="shared" si="6"/>
        <v>410</v>
      </c>
      <c r="B418" s="2">
        <v>223001</v>
      </c>
      <c r="C418" t="s">
        <v>754</v>
      </c>
      <c r="D418" t="s">
        <v>8</v>
      </c>
      <c r="E418" t="s">
        <v>9</v>
      </c>
      <c r="F418" t="s">
        <v>6</v>
      </c>
      <c r="G418" s="4">
        <v>105.4</v>
      </c>
      <c r="H418" s="4">
        <v>127351.423</v>
      </c>
      <c r="I418" s="4">
        <v>127642.303</v>
      </c>
      <c r="J418" s="1">
        <v>-0.22788683153107947</v>
      </c>
      <c r="K418" s="3">
        <v>1208267.770398482</v>
      </c>
      <c r="L418" s="2">
        <v>2</v>
      </c>
      <c r="M418" s="2">
        <v>5</v>
      </c>
    </row>
    <row r="419" spans="1:13" x14ac:dyDescent="0.25">
      <c r="A419" s="2">
        <f t="shared" si="6"/>
        <v>411</v>
      </c>
      <c r="B419" s="2">
        <v>107141</v>
      </c>
      <c r="C419" t="s">
        <v>755</v>
      </c>
      <c r="D419" t="s">
        <v>756</v>
      </c>
      <c r="E419" t="s">
        <v>217</v>
      </c>
      <c r="F419" t="s">
        <v>6</v>
      </c>
      <c r="G419" s="4">
        <v>1759</v>
      </c>
      <c r="H419" s="4">
        <v>126697.57399999999</v>
      </c>
      <c r="I419" s="4">
        <v>125569.692</v>
      </c>
      <c r="J419" s="1">
        <v>0.89821196662646907</v>
      </c>
      <c r="K419" s="3">
        <v>72028.183058555995</v>
      </c>
      <c r="L419" s="2">
        <v>2</v>
      </c>
      <c r="M419" s="2">
        <v>3</v>
      </c>
    </row>
    <row r="420" spans="1:13" x14ac:dyDescent="0.25">
      <c r="A420" s="2">
        <f t="shared" si="6"/>
        <v>412</v>
      </c>
      <c r="B420" s="2">
        <v>236577</v>
      </c>
      <c r="C420" t="s">
        <v>757</v>
      </c>
      <c r="D420" t="s">
        <v>84</v>
      </c>
      <c r="E420" t="s">
        <v>85</v>
      </c>
      <c r="F420" t="s">
        <v>6</v>
      </c>
      <c r="G420" s="4">
        <v>3526.8</v>
      </c>
      <c r="H420" s="4">
        <v>126584.077</v>
      </c>
      <c r="I420" s="4">
        <v>124901.486</v>
      </c>
      <c r="J420" s="1">
        <v>1.3471344928594364</v>
      </c>
      <c r="K420" s="3">
        <v>35892.04859929681</v>
      </c>
      <c r="L420" s="2">
        <v>2</v>
      </c>
      <c r="M420" s="2">
        <v>4</v>
      </c>
    </row>
    <row r="421" spans="1:13" x14ac:dyDescent="0.25">
      <c r="A421" s="2">
        <f t="shared" si="6"/>
        <v>413</v>
      </c>
      <c r="B421" s="2">
        <v>110608</v>
      </c>
      <c r="C421" t="s">
        <v>758</v>
      </c>
      <c r="D421" t="s">
        <v>759</v>
      </c>
      <c r="E421" t="s">
        <v>16</v>
      </c>
      <c r="F421" t="s">
        <v>10</v>
      </c>
      <c r="G421" s="4">
        <v>38391</v>
      </c>
      <c r="H421" s="4">
        <v>126263.497</v>
      </c>
      <c r="I421" s="4">
        <v>119016.374</v>
      </c>
      <c r="J421" s="1">
        <v>6.0891814768277177</v>
      </c>
      <c r="K421" s="3">
        <v>3288.8827329321975</v>
      </c>
      <c r="L421" s="2">
        <v>2</v>
      </c>
      <c r="M421" s="2">
        <v>3</v>
      </c>
    </row>
    <row r="422" spans="1:13" x14ac:dyDescent="0.25">
      <c r="A422" s="2">
        <f t="shared" si="6"/>
        <v>414</v>
      </c>
      <c r="B422" s="2">
        <v>145691</v>
      </c>
      <c r="C422" t="s">
        <v>760</v>
      </c>
      <c r="D422" t="s">
        <v>761</v>
      </c>
      <c r="E422" t="s">
        <v>37</v>
      </c>
      <c r="F422" t="s">
        <v>6</v>
      </c>
      <c r="G422" s="4">
        <v>1044</v>
      </c>
      <c r="H422" s="4">
        <v>126104.821</v>
      </c>
      <c r="I422" s="4">
        <v>129905.43700000001</v>
      </c>
      <c r="J422" s="1">
        <v>-2.9256789305901028</v>
      </c>
      <c r="K422" s="3">
        <v>120790.05842911877</v>
      </c>
      <c r="L422" s="2">
        <v>2</v>
      </c>
      <c r="M422" s="2">
        <v>2</v>
      </c>
    </row>
    <row r="423" spans="1:13" x14ac:dyDescent="0.25">
      <c r="A423" s="2">
        <f t="shared" si="6"/>
        <v>415</v>
      </c>
      <c r="B423" s="2">
        <v>216667</v>
      </c>
      <c r="C423" t="s">
        <v>762</v>
      </c>
      <c r="D423" t="s">
        <v>135</v>
      </c>
      <c r="E423" t="s">
        <v>23</v>
      </c>
      <c r="F423" t="s">
        <v>6</v>
      </c>
      <c r="G423" s="4">
        <v>1261</v>
      </c>
      <c r="H423" s="4">
        <v>122852.531</v>
      </c>
      <c r="I423" s="4">
        <v>134922.95800000001</v>
      </c>
      <c r="J423" s="1">
        <v>-8.9461624462754514</v>
      </c>
      <c r="K423" s="3">
        <v>97424.687549563838</v>
      </c>
      <c r="L423" s="2">
        <v>2</v>
      </c>
      <c r="M423" s="2">
        <v>2</v>
      </c>
    </row>
    <row r="424" spans="1:13" x14ac:dyDescent="0.25">
      <c r="A424" s="2">
        <f t="shared" si="6"/>
        <v>416</v>
      </c>
      <c r="B424" s="2">
        <v>148487</v>
      </c>
      <c r="C424" t="s">
        <v>763</v>
      </c>
      <c r="D424" t="s">
        <v>45</v>
      </c>
      <c r="E424" t="s">
        <v>37</v>
      </c>
      <c r="F424" t="s">
        <v>6</v>
      </c>
      <c r="G424" s="4">
        <v>3427</v>
      </c>
      <c r="H424" s="4">
        <v>119983.158</v>
      </c>
      <c r="I424" s="4">
        <v>123352.641</v>
      </c>
      <c r="J424" s="1">
        <v>-2.7315856172062016</v>
      </c>
      <c r="K424" s="3">
        <v>35011.134519988329</v>
      </c>
      <c r="L424" s="2">
        <v>2</v>
      </c>
      <c r="M424" s="2">
        <v>4</v>
      </c>
    </row>
    <row r="425" spans="1:13" x14ac:dyDescent="0.25">
      <c r="A425" s="2">
        <f t="shared" si="6"/>
        <v>417</v>
      </c>
      <c r="B425" s="2">
        <v>196079</v>
      </c>
      <c r="C425" t="s">
        <v>764</v>
      </c>
      <c r="D425" t="s">
        <v>765</v>
      </c>
      <c r="E425" t="s">
        <v>34</v>
      </c>
      <c r="F425" t="s">
        <v>82</v>
      </c>
      <c r="G425" s="4">
        <v>16812</v>
      </c>
      <c r="H425" s="4">
        <v>117839.53599999999</v>
      </c>
      <c r="I425" s="4">
        <v>119421.943</v>
      </c>
      <c r="J425" s="1">
        <v>-1.3250554799631755</v>
      </c>
      <c r="K425" s="3">
        <v>7009.2514870330715</v>
      </c>
      <c r="L425" s="2">
        <v>2</v>
      </c>
      <c r="M425" s="2">
        <v>4</v>
      </c>
    </row>
    <row r="426" spans="1:13" x14ac:dyDescent="0.25">
      <c r="A426" s="2">
        <f t="shared" si="6"/>
        <v>418</v>
      </c>
      <c r="B426" s="2">
        <v>171128</v>
      </c>
      <c r="C426" t="s">
        <v>766</v>
      </c>
      <c r="D426" t="s">
        <v>767</v>
      </c>
      <c r="E426" t="s">
        <v>27</v>
      </c>
      <c r="F426" t="s">
        <v>10</v>
      </c>
      <c r="G426" s="4">
        <v>6574</v>
      </c>
      <c r="H426" s="4">
        <v>117623.889</v>
      </c>
      <c r="I426" s="4">
        <v>113644.98699999999</v>
      </c>
      <c r="J426" s="1">
        <v>3.5011680717601736</v>
      </c>
      <c r="K426" s="3">
        <v>17892.28612716763</v>
      </c>
      <c r="L426" s="2">
        <v>2</v>
      </c>
      <c r="M426" s="2">
        <v>4</v>
      </c>
    </row>
    <row r="427" spans="1:13" x14ac:dyDescent="0.25">
      <c r="A427" s="2">
        <f t="shared" si="6"/>
        <v>419</v>
      </c>
      <c r="B427" s="2">
        <v>227881</v>
      </c>
      <c r="C427" t="s">
        <v>768</v>
      </c>
      <c r="D427" t="s">
        <v>769</v>
      </c>
      <c r="E427" t="s">
        <v>9</v>
      </c>
      <c r="F427" t="s">
        <v>10</v>
      </c>
      <c r="G427" s="4">
        <v>17855</v>
      </c>
      <c r="H427" s="4">
        <v>116838.67200000001</v>
      </c>
      <c r="I427" s="4">
        <v>116920.901</v>
      </c>
      <c r="J427" s="1">
        <v>-7.0328743019180115E-2</v>
      </c>
      <c r="K427" s="3">
        <v>6543.7508821058527</v>
      </c>
      <c r="L427" s="2">
        <v>2</v>
      </c>
      <c r="M427" s="2">
        <v>4</v>
      </c>
    </row>
    <row r="428" spans="1:13" x14ac:dyDescent="0.25">
      <c r="A428" s="2">
        <f t="shared" si="6"/>
        <v>420</v>
      </c>
      <c r="B428" s="2">
        <v>232423</v>
      </c>
      <c r="C428" t="s">
        <v>770</v>
      </c>
      <c r="D428" t="s">
        <v>771</v>
      </c>
      <c r="E428" t="s">
        <v>51</v>
      </c>
      <c r="F428" t="s">
        <v>82</v>
      </c>
      <c r="G428" s="4">
        <v>20504</v>
      </c>
      <c r="H428" s="4">
        <v>116670.15700000001</v>
      </c>
      <c r="I428" s="4">
        <v>111064.81299999999</v>
      </c>
      <c r="J428" s="1">
        <v>5.0469125626673499</v>
      </c>
      <c r="K428" s="3">
        <v>5690.1169040187278</v>
      </c>
      <c r="L428" s="2">
        <v>2</v>
      </c>
      <c r="M428" s="2">
        <v>3</v>
      </c>
    </row>
    <row r="429" spans="1:13" x14ac:dyDescent="0.25">
      <c r="A429" s="2">
        <f t="shared" si="6"/>
        <v>421</v>
      </c>
      <c r="B429" s="2">
        <v>168227</v>
      </c>
      <c r="C429" t="s">
        <v>772</v>
      </c>
      <c r="D429" t="s">
        <v>103</v>
      </c>
      <c r="E429" t="s">
        <v>5</v>
      </c>
      <c r="F429" t="s">
        <v>6</v>
      </c>
      <c r="G429" s="4">
        <v>4214</v>
      </c>
      <c r="H429" s="4">
        <v>116566.686</v>
      </c>
      <c r="I429" s="4">
        <v>116142.47500000001</v>
      </c>
      <c r="J429" s="1">
        <v>0.36525052527079349</v>
      </c>
      <c r="K429" s="3">
        <v>27661.766967252017</v>
      </c>
      <c r="L429" s="2">
        <v>2</v>
      </c>
      <c r="M429" s="2">
        <v>3</v>
      </c>
    </row>
    <row r="430" spans="1:13" x14ac:dyDescent="0.25">
      <c r="A430" s="2">
        <f t="shared" si="6"/>
        <v>422</v>
      </c>
      <c r="B430" s="2">
        <v>155061</v>
      </c>
      <c r="C430" t="s">
        <v>773</v>
      </c>
      <c r="D430" t="s">
        <v>774</v>
      </c>
      <c r="E430" t="s">
        <v>144</v>
      </c>
      <c r="F430" t="s">
        <v>82</v>
      </c>
      <c r="G430" s="4">
        <v>9510</v>
      </c>
      <c r="H430" s="4">
        <v>116503.863</v>
      </c>
      <c r="I430" s="4">
        <v>114718.568</v>
      </c>
      <c r="J430" s="1">
        <v>1.5562389167898261</v>
      </c>
      <c r="K430" s="3">
        <v>12250.669085173502</v>
      </c>
      <c r="L430" s="2">
        <v>2</v>
      </c>
      <c r="M430" s="2">
        <v>3</v>
      </c>
    </row>
    <row r="431" spans="1:13" x14ac:dyDescent="0.25">
      <c r="A431" s="2">
        <f t="shared" si="6"/>
        <v>423</v>
      </c>
      <c r="B431" s="2">
        <v>110413</v>
      </c>
      <c r="C431" t="s">
        <v>775</v>
      </c>
      <c r="D431" t="s">
        <v>776</v>
      </c>
      <c r="E431" t="s">
        <v>16</v>
      </c>
      <c r="F431" t="s">
        <v>6</v>
      </c>
      <c r="G431" s="4">
        <v>4070.3</v>
      </c>
      <c r="H431" s="4">
        <v>115432.88099999999</v>
      </c>
      <c r="I431" s="4">
        <v>108602.06299999999</v>
      </c>
      <c r="J431" s="1">
        <v>6.2897681787131425</v>
      </c>
      <c r="K431" s="3">
        <v>28359.796820873155</v>
      </c>
      <c r="L431" s="2">
        <v>2</v>
      </c>
      <c r="M431" s="2">
        <v>3</v>
      </c>
    </row>
    <row r="432" spans="1:13" x14ac:dyDescent="0.25">
      <c r="A432" s="2">
        <f t="shared" si="6"/>
        <v>424</v>
      </c>
      <c r="B432" s="2">
        <v>192703</v>
      </c>
      <c r="C432" t="s">
        <v>777</v>
      </c>
      <c r="D432" t="s">
        <v>778</v>
      </c>
      <c r="E432" t="s">
        <v>34</v>
      </c>
      <c r="F432" t="s">
        <v>6</v>
      </c>
      <c r="G432" s="4">
        <v>4014</v>
      </c>
      <c r="H432" s="4">
        <v>114969.47199999999</v>
      </c>
      <c r="I432" s="4">
        <v>107173.731</v>
      </c>
      <c r="J432" s="1">
        <v>7.2739289070751862</v>
      </c>
      <c r="K432" s="3">
        <v>28642.120577977079</v>
      </c>
      <c r="L432" s="2">
        <v>2</v>
      </c>
      <c r="M432" s="2">
        <v>3</v>
      </c>
    </row>
    <row r="433" spans="1:13" x14ac:dyDescent="0.25">
      <c r="A433" s="2">
        <f t="shared" si="6"/>
        <v>425</v>
      </c>
      <c r="B433" s="2">
        <v>213251</v>
      </c>
      <c r="C433" t="s">
        <v>779</v>
      </c>
      <c r="D433" t="s">
        <v>780</v>
      </c>
      <c r="E433" t="s">
        <v>23</v>
      </c>
      <c r="F433" t="s">
        <v>6</v>
      </c>
      <c r="G433" s="4">
        <v>1381</v>
      </c>
      <c r="H433" s="4">
        <v>114777.79</v>
      </c>
      <c r="I433" s="4">
        <v>120223.289</v>
      </c>
      <c r="J433" s="1">
        <v>-4.5294876269771658</v>
      </c>
      <c r="K433" s="3">
        <v>83112.085445329474</v>
      </c>
      <c r="L433" s="2">
        <v>2</v>
      </c>
      <c r="M433" s="2">
        <v>2</v>
      </c>
    </row>
    <row r="434" spans="1:13" x14ac:dyDescent="0.25">
      <c r="A434" s="2">
        <f t="shared" si="6"/>
        <v>426</v>
      </c>
      <c r="B434" s="2">
        <v>198950</v>
      </c>
      <c r="C434" t="s">
        <v>781</v>
      </c>
      <c r="D434" t="s">
        <v>179</v>
      </c>
      <c r="E434" t="s">
        <v>40</v>
      </c>
      <c r="F434" t="s">
        <v>6</v>
      </c>
      <c r="G434" s="4">
        <v>1742</v>
      </c>
      <c r="H434" s="4">
        <v>114562.836</v>
      </c>
      <c r="I434" s="4">
        <v>114786.235</v>
      </c>
      <c r="J434" s="1">
        <v>-0.19462176801948422</v>
      </c>
      <c r="K434" s="3">
        <v>65765.118254879446</v>
      </c>
      <c r="L434" s="2">
        <v>2</v>
      </c>
      <c r="M434" s="2">
        <v>2</v>
      </c>
    </row>
    <row r="435" spans="1:13" x14ac:dyDescent="0.25">
      <c r="A435" s="2">
        <f t="shared" si="6"/>
        <v>427</v>
      </c>
      <c r="B435" s="2">
        <v>142115</v>
      </c>
      <c r="C435" t="s">
        <v>782</v>
      </c>
      <c r="D435" t="s">
        <v>783</v>
      </c>
      <c r="E435" t="s">
        <v>512</v>
      </c>
      <c r="F435" t="s">
        <v>82</v>
      </c>
      <c r="G435" s="4">
        <v>17677</v>
      </c>
      <c r="H435" s="4">
        <v>113890.777</v>
      </c>
      <c r="I435" s="4">
        <v>115056.046</v>
      </c>
      <c r="J435" s="1">
        <v>-1.0127838045121069</v>
      </c>
      <c r="K435" s="3">
        <v>6442.8792781580587</v>
      </c>
      <c r="L435" s="2">
        <v>2</v>
      </c>
      <c r="M435" s="2">
        <v>4</v>
      </c>
    </row>
    <row r="436" spans="1:13" x14ac:dyDescent="0.25">
      <c r="A436" s="2">
        <f t="shared" si="6"/>
        <v>428</v>
      </c>
      <c r="B436" s="2">
        <v>117140</v>
      </c>
      <c r="C436" t="s">
        <v>784</v>
      </c>
      <c r="D436" t="s">
        <v>785</v>
      </c>
      <c r="E436" t="s">
        <v>16</v>
      </c>
      <c r="F436" t="s">
        <v>6</v>
      </c>
      <c r="G436" s="4">
        <v>7396</v>
      </c>
      <c r="H436" s="4">
        <v>113354.16645</v>
      </c>
      <c r="I436" s="4">
        <v>111994.318</v>
      </c>
      <c r="J436" s="1">
        <v>1.2142120013624289</v>
      </c>
      <c r="K436" s="3">
        <v>15326.415150081126</v>
      </c>
      <c r="L436" s="2">
        <v>2</v>
      </c>
      <c r="M436" s="2">
        <v>4</v>
      </c>
    </row>
    <row r="437" spans="1:13" x14ac:dyDescent="0.25">
      <c r="A437" s="2">
        <f t="shared" si="6"/>
        <v>429</v>
      </c>
      <c r="B437" s="2">
        <v>231970</v>
      </c>
      <c r="C437" t="s">
        <v>786</v>
      </c>
      <c r="D437" t="s">
        <v>529</v>
      </c>
      <c r="E437" t="s">
        <v>51</v>
      </c>
      <c r="F437" t="s">
        <v>82</v>
      </c>
      <c r="G437" s="4">
        <v>1275</v>
      </c>
      <c r="H437" s="4">
        <v>113221.137</v>
      </c>
      <c r="I437" s="4">
        <v>107958.507</v>
      </c>
      <c r="J437" s="1">
        <v>4.8746783799075697</v>
      </c>
      <c r="K437" s="3">
        <v>88800.891764705884</v>
      </c>
      <c r="L437" s="2">
        <v>2</v>
      </c>
      <c r="M437" s="2">
        <v>5</v>
      </c>
    </row>
    <row r="438" spans="1:13" x14ac:dyDescent="0.25">
      <c r="A438" s="2">
        <f t="shared" si="6"/>
        <v>430</v>
      </c>
      <c r="B438" s="2">
        <v>147660</v>
      </c>
      <c r="C438" t="s">
        <v>787</v>
      </c>
      <c r="D438" t="s">
        <v>788</v>
      </c>
      <c r="E438" t="s">
        <v>37</v>
      </c>
      <c r="F438" t="s">
        <v>6</v>
      </c>
      <c r="G438" s="4">
        <v>2789</v>
      </c>
      <c r="H438" s="4">
        <v>112336.99800000001</v>
      </c>
      <c r="I438" s="4">
        <v>118586.101</v>
      </c>
      <c r="J438" s="1">
        <v>-5.2696757438715354</v>
      </c>
      <c r="K438" s="3">
        <v>40278.593761204735</v>
      </c>
      <c r="L438" s="2">
        <v>2</v>
      </c>
      <c r="M438" s="2">
        <v>3</v>
      </c>
    </row>
    <row r="439" spans="1:13" x14ac:dyDescent="0.25">
      <c r="A439" s="2">
        <f t="shared" si="6"/>
        <v>431</v>
      </c>
      <c r="B439" s="2">
        <v>107558</v>
      </c>
      <c r="C439" t="s">
        <v>789</v>
      </c>
      <c r="D439" t="s">
        <v>790</v>
      </c>
      <c r="E439" t="s">
        <v>217</v>
      </c>
      <c r="F439" t="s">
        <v>6</v>
      </c>
      <c r="G439" s="4">
        <v>818</v>
      </c>
      <c r="H439" s="4">
        <v>112236.552</v>
      </c>
      <c r="I439" s="4">
        <v>115067.93700000001</v>
      </c>
      <c r="J439" s="1">
        <v>-2.4606202855622588</v>
      </c>
      <c r="K439" s="3">
        <v>137208.49877750612</v>
      </c>
      <c r="L439" s="2">
        <v>2</v>
      </c>
      <c r="M439" s="2">
        <v>2</v>
      </c>
    </row>
    <row r="440" spans="1:13" x14ac:dyDescent="0.25">
      <c r="A440" s="2">
        <f t="shared" si="6"/>
        <v>432</v>
      </c>
      <c r="B440" s="2">
        <v>181020</v>
      </c>
      <c r="C440" t="s">
        <v>791</v>
      </c>
      <c r="D440" t="s">
        <v>792</v>
      </c>
      <c r="E440" t="s">
        <v>151</v>
      </c>
      <c r="F440" t="s">
        <v>6</v>
      </c>
      <c r="G440" s="4">
        <v>1349</v>
      </c>
      <c r="H440" s="4">
        <v>111580.00900000001</v>
      </c>
      <c r="I440" s="4">
        <v>113944.35</v>
      </c>
      <c r="J440" s="1">
        <v>-2.0749962591387816</v>
      </c>
      <c r="K440" s="3">
        <v>82713.127501853218</v>
      </c>
      <c r="L440" s="2">
        <v>2</v>
      </c>
      <c r="M440" s="2">
        <v>2</v>
      </c>
    </row>
    <row r="441" spans="1:13" x14ac:dyDescent="0.25">
      <c r="A441" s="2">
        <f t="shared" si="6"/>
        <v>433</v>
      </c>
      <c r="B441" s="2">
        <v>150668</v>
      </c>
      <c r="C441" t="s">
        <v>793</v>
      </c>
      <c r="D441" t="s">
        <v>794</v>
      </c>
      <c r="E441" t="s">
        <v>31</v>
      </c>
      <c r="F441" t="s">
        <v>6</v>
      </c>
      <c r="G441" s="4">
        <v>836.8</v>
      </c>
      <c r="H441" s="4">
        <v>111151.36599999999</v>
      </c>
      <c r="I441" s="4">
        <v>113642.851</v>
      </c>
      <c r="J441" s="1">
        <v>-2.1923816395630555</v>
      </c>
      <c r="K441" s="3">
        <v>132829.07026768645</v>
      </c>
      <c r="L441" s="2">
        <v>2</v>
      </c>
      <c r="M441" s="2">
        <v>2</v>
      </c>
    </row>
    <row r="442" spans="1:13" x14ac:dyDescent="0.25">
      <c r="A442" s="2">
        <f t="shared" si="6"/>
        <v>434</v>
      </c>
      <c r="B442" s="2">
        <v>196307</v>
      </c>
      <c r="C442" t="s">
        <v>795</v>
      </c>
      <c r="D442" t="s">
        <v>183</v>
      </c>
      <c r="E442" t="s">
        <v>34</v>
      </c>
      <c r="F442" t="s">
        <v>95</v>
      </c>
      <c r="G442" s="4">
        <v>1518.2</v>
      </c>
      <c r="H442" s="4">
        <v>110649.526</v>
      </c>
      <c r="I442" s="4">
        <v>109069.01700000001</v>
      </c>
      <c r="J442" s="1">
        <v>1.4490907165689408</v>
      </c>
      <c r="K442" s="3">
        <v>72882.048478461336</v>
      </c>
      <c r="L442" s="2">
        <v>2</v>
      </c>
      <c r="M442" s="2">
        <v>5</v>
      </c>
    </row>
    <row r="443" spans="1:13" x14ac:dyDescent="0.25">
      <c r="A443" s="2">
        <f t="shared" si="6"/>
        <v>435</v>
      </c>
      <c r="B443" s="2">
        <v>216807</v>
      </c>
      <c r="C443" t="s">
        <v>796</v>
      </c>
      <c r="D443" t="s">
        <v>797</v>
      </c>
      <c r="E443" t="s">
        <v>23</v>
      </c>
      <c r="F443" t="s">
        <v>6</v>
      </c>
      <c r="G443" s="4">
        <v>1278</v>
      </c>
      <c r="H443" s="4">
        <v>110231.88800000001</v>
      </c>
      <c r="I443" s="4">
        <v>116515.291</v>
      </c>
      <c r="J443" s="1">
        <v>-5.3927711513847569</v>
      </c>
      <c r="K443" s="3">
        <v>86253.433489827861</v>
      </c>
      <c r="L443" s="2">
        <v>2</v>
      </c>
      <c r="M443" s="2">
        <v>2</v>
      </c>
    </row>
    <row r="444" spans="1:13" x14ac:dyDescent="0.25">
      <c r="A444" s="2">
        <f t="shared" si="6"/>
        <v>436</v>
      </c>
      <c r="B444" s="2">
        <v>195304</v>
      </c>
      <c r="C444" t="s">
        <v>798</v>
      </c>
      <c r="D444" t="s">
        <v>799</v>
      </c>
      <c r="E444" t="s">
        <v>34</v>
      </c>
      <c r="F444" t="s">
        <v>6</v>
      </c>
      <c r="G444" s="4">
        <v>1665</v>
      </c>
      <c r="H444" s="4">
        <v>110183.459</v>
      </c>
      <c r="I444" s="4">
        <v>117045.69500000001</v>
      </c>
      <c r="J444" s="1">
        <v>-5.8628691982221133</v>
      </c>
      <c r="K444" s="3">
        <v>66176.251651651648</v>
      </c>
      <c r="L444" s="2">
        <v>2</v>
      </c>
      <c r="M444" s="2">
        <v>2</v>
      </c>
    </row>
    <row r="445" spans="1:13" x14ac:dyDescent="0.25">
      <c r="A445" s="2">
        <f t="shared" si="6"/>
        <v>437</v>
      </c>
      <c r="B445" s="2">
        <v>144962</v>
      </c>
      <c r="C445" t="s">
        <v>800</v>
      </c>
      <c r="D445" t="s">
        <v>801</v>
      </c>
      <c r="E445" t="s">
        <v>37</v>
      </c>
      <c r="F445" t="s">
        <v>6</v>
      </c>
      <c r="G445" s="4">
        <v>2340</v>
      </c>
      <c r="H445" s="4">
        <v>109906.62</v>
      </c>
      <c r="I445" s="4">
        <v>112339.16</v>
      </c>
      <c r="J445" s="1">
        <v>-2.1653535597026008</v>
      </c>
      <c r="K445" s="3">
        <v>46968.641025641024</v>
      </c>
      <c r="L445" s="2">
        <v>2</v>
      </c>
      <c r="M445" s="2">
        <v>3</v>
      </c>
    </row>
    <row r="446" spans="1:13" x14ac:dyDescent="0.25">
      <c r="A446" s="2">
        <f t="shared" si="6"/>
        <v>438</v>
      </c>
      <c r="B446" s="2">
        <v>151263</v>
      </c>
      <c r="C446" t="s">
        <v>802</v>
      </c>
      <c r="D446" t="s">
        <v>601</v>
      </c>
      <c r="E446" t="s">
        <v>31</v>
      </c>
      <c r="F446" t="s">
        <v>6</v>
      </c>
      <c r="G446" s="4">
        <v>4962</v>
      </c>
      <c r="H446" s="4">
        <v>109460.594</v>
      </c>
      <c r="I446" s="4">
        <v>109447.757</v>
      </c>
      <c r="J446" s="1">
        <v>1.172888358050133E-2</v>
      </c>
      <c r="K446" s="3">
        <v>22059.773075372832</v>
      </c>
      <c r="L446" s="2">
        <v>2</v>
      </c>
      <c r="M446" s="2">
        <v>4</v>
      </c>
    </row>
    <row r="447" spans="1:13" x14ac:dyDescent="0.25">
      <c r="A447" s="2">
        <f t="shared" si="6"/>
        <v>439</v>
      </c>
      <c r="B447" s="2">
        <v>232609</v>
      </c>
      <c r="C447" t="s">
        <v>803</v>
      </c>
      <c r="D447" t="s">
        <v>155</v>
      </c>
      <c r="E447" t="s">
        <v>51</v>
      </c>
      <c r="F447" t="s">
        <v>6</v>
      </c>
      <c r="G447" s="4">
        <v>2568</v>
      </c>
      <c r="H447" s="4">
        <v>109305.879</v>
      </c>
      <c r="I447" s="4">
        <v>112879.454</v>
      </c>
      <c r="J447" s="1">
        <v>-3.1658329956131785</v>
      </c>
      <c r="K447" s="3">
        <v>42564.594626168226</v>
      </c>
      <c r="L447" s="2">
        <v>2</v>
      </c>
      <c r="M447" s="2">
        <v>3</v>
      </c>
    </row>
    <row r="448" spans="1:13" x14ac:dyDescent="0.25">
      <c r="A448" s="2">
        <f t="shared" si="6"/>
        <v>440</v>
      </c>
      <c r="B448" s="2">
        <v>220978</v>
      </c>
      <c r="C448" t="s">
        <v>804</v>
      </c>
      <c r="D448" t="s">
        <v>805</v>
      </c>
      <c r="E448" t="s">
        <v>56</v>
      </c>
      <c r="F448" t="s">
        <v>10</v>
      </c>
      <c r="G448" s="4">
        <v>17843</v>
      </c>
      <c r="H448" s="4">
        <v>108888.52264</v>
      </c>
      <c r="I448" s="4">
        <v>105574.541</v>
      </c>
      <c r="J448" s="1">
        <v>3.1389969670812969</v>
      </c>
      <c r="K448" s="3">
        <v>6102.590519531469</v>
      </c>
      <c r="L448" s="2">
        <v>2</v>
      </c>
      <c r="M448" s="2">
        <v>4</v>
      </c>
    </row>
    <row r="449" spans="1:13" x14ac:dyDescent="0.25">
      <c r="A449" s="2">
        <f t="shared" si="6"/>
        <v>441</v>
      </c>
      <c r="B449" s="2">
        <v>201548</v>
      </c>
      <c r="C449" t="s">
        <v>806</v>
      </c>
      <c r="D449" t="s">
        <v>68</v>
      </c>
      <c r="E449" t="s">
        <v>69</v>
      </c>
      <c r="F449" t="s">
        <v>6</v>
      </c>
      <c r="G449" s="4">
        <v>3109</v>
      </c>
      <c r="H449" s="4">
        <v>107679.019</v>
      </c>
      <c r="I449" s="4">
        <v>106663.204</v>
      </c>
      <c r="J449" s="1">
        <v>0.95235747840464269</v>
      </c>
      <c r="K449" s="3">
        <v>34634.615310389192</v>
      </c>
      <c r="L449" s="2">
        <v>2</v>
      </c>
      <c r="M449" s="2">
        <v>3</v>
      </c>
    </row>
    <row r="450" spans="1:13" x14ac:dyDescent="0.25">
      <c r="A450" s="2">
        <f t="shared" si="6"/>
        <v>442</v>
      </c>
      <c r="B450" s="2">
        <v>185572</v>
      </c>
      <c r="C450" t="s">
        <v>807</v>
      </c>
      <c r="D450" t="s">
        <v>808</v>
      </c>
      <c r="E450" t="s">
        <v>19</v>
      </c>
      <c r="F450" t="s">
        <v>6</v>
      </c>
      <c r="G450" s="4">
        <v>5259</v>
      </c>
      <c r="H450" s="4">
        <v>106713</v>
      </c>
      <c r="I450" s="4">
        <v>107085</v>
      </c>
      <c r="J450" s="1">
        <v>-0.347387589298221</v>
      </c>
      <c r="K450" s="3">
        <v>20291.500285225327</v>
      </c>
      <c r="L450" s="2">
        <v>2</v>
      </c>
      <c r="M450" s="2">
        <v>3</v>
      </c>
    </row>
    <row r="451" spans="1:13" x14ac:dyDescent="0.25">
      <c r="A451" s="2">
        <f t="shared" si="6"/>
        <v>443</v>
      </c>
      <c r="B451" s="2">
        <v>173896</v>
      </c>
      <c r="C451" t="s">
        <v>809</v>
      </c>
      <c r="D451" t="s">
        <v>332</v>
      </c>
      <c r="E451" t="s">
        <v>101</v>
      </c>
      <c r="F451" t="s">
        <v>6</v>
      </c>
      <c r="G451" s="4">
        <v>324</v>
      </c>
      <c r="H451" s="4">
        <v>106703.022</v>
      </c>
      <c r="I451" s="4">
        <v>108715.857</v>
      </c>
      <c r="J451" s="1">
        <v>-1.8514640417174839</v>
      </c>
      <c r="K451" s="3">
        <v>329330.31481481483</v>
      </c>
      <c r="L451" s="2">
        <v>2</v>
      </c>
      <c r="M451" s="2">
        <v>5</v>
      </c>
    </row>
    <row r="452" spans="1:13" x14ac:dyDescent="0.25">
      <c r="A452" s="2">
        <f t="shared" si="6"/>
        <v>444</v>
      </c>
      <c r="B452" s="2">
        <v>209065</v>
      </c>
      <c r="C452" t="s">
        <v>810</v>
      </c>
      <c r="D452" t="s">
        <v>811</v>
      </c>
      <c r="E452" t="s">
        <v>271</v>
      </c>
      <c r="F452" t="s">
        <v>6</v>
      </c>
      <c r="G452" s="4">
        <v>1816</v>
      </c>
      <c r="H452" s="4">
        <v>106127.463</v>
      </c>
      <c r="I452" s="4">
        <v>109144.47</v>
      </c>
      <c r="J452" s="1">
        <v>-2.7642325809085886</v>
      </c>
      <c r="K452" s="3">
        <v>58440.23292951542</v>
      </c>
      <c r="L452" s="2">
        <v>2</v>
      </c>
      <c r="M452" s="2">
        <v>2</v>
      </c>
    </row>
    <row r="453" spans="1:13" x14ac:dyDescent="0.25">
      <c r="A453" s="2">
        <f t="shared" si="6"/>
        <v>445</v>
      </c>
      <c r="B453" s="2">
        <v>227845</v>
      </c>
      <c r="C453" t="s">
        <v>812</v>
      </c>
      <c r="D453" t="s">
        <v>8</v>
      </c>
      <c r="E453" t="s">
        <v>9</v>
      </c>
      <c r="F453" t="s">
        <v>6</v>
      </c>
      <c r="G453" s="4">
        <v>3687</v>
      </c>
      <c r="H453" s="4">
        <v>105960.454</v>
      </c>
      <c r="I453" s="4">
        <v>107025.739</v>
      </c>
      <c r="J453" s="1">
        <v>-0.99535402413806273</v>
      </c>
      <c r="K453" s="3">
        <v>28738.935177651209</v>
      </c>
      <c r="L453" s="2">
        <v>2</v>
      </c>
      <c r="M453" s="2">
        <v>3</v>
      </c>
    </row>
    <row r="454" spans="1:13" x14ac:dyDescent="0.25">
      <c r="A454" s="2">
        <f t="shared" si="6"/>
        <v>446</v>
      </c>
      <c r="B454" s="26" t="s">
        <v>1275</v>
      </c>
      <c r="C454" t="s">
        <v>813</v>
      </c>
      <c r="D454" t="s">
        <v>814</v>
      </c>
      <c r="E454" t="s">
        <v>51</v>
      </c>
      <c r="F454" t="s">
        <v>372</v>
      </c>
      <c r="G454" s="23" t="s">
        <v>1275</v>
      </c>
      <c r="H454" s="4">
        <v>105492.60799999999</v>
      </c>
      <c r="I454" s="4">
        <v>102945.943</v>
      </c>
      <c r="J454" s="1">
        <v>2.4737885979634959</v>
      </c>
      <c r="K454" s="24" t="s">
        <v>1275</v>
      </c>
      <c r="L454" s="21" t="s">
        <v>1275</v>
      </c>
      <c r="M454" s="2">
        <v>0</v>
      </c>
    </row>
    <row r="455" spans="1:13" x14ac:dyDescent="0.25">
      <c r="A455" s="2">
        <f t="shared" si="6"/>
        <v>447</v>
      </c>
      <c r="B455" s="2">
        <v>110529</v>
      </c>
      <c r="C455" t="s">
        <v>815</v>
      </c>
      <c r="D455" t="s">
        <v>816</v>
      </c>
      <c r="E455" t="s">
        <v>16</v>
      </c>
      <c r="F455" t="s">
        <v>82</v>
      </c>
      <c r="G455" s="4">
        <v>23078</v>
      </c>
      <c r="H455" s="4">
        <v>105445.50900000001</v>
      </c>
      <c r="I455" s="4">
        <v>101598.664</v>
      </c>
      <c r="J455" s="1">
        <v>3.7863145523252157</v>
      </c>
      <c r="K455" s="3">
        <v>4569.092165698934</v>
      </c>
      <c r="L455" s="2">
        <v>2</v>
      </c>
      <c r="M455" s="2">
        <v>3</v>
      </c>
    </row>
    <row r="456" spans="1:13" x14ac:dyDescent="0.25">
      <c r="A456" s="2">
        <f t="shared" si="6"/>
        <v>448</v>
      </c>
      <c r="B456" s="2">
        <v>162760</v>
      </c>
      <c r="C456" t="s">
        <v>817</v>
      </c>
      <c r="D456" t="s">
        <v>818</v>
      </c>
      <c r="E456" t="s">
        <v>59</v>
      </c>
      <c r="F456" t="s">
        <v>6</v>
      </c>
      <c r="G456" s="4">
        <v>1488</v>
      </c>
      <c r="H456" s="4">
        <v>104533.96799999999</v>
      </c>
      <c r="I456" s="4">
        <v>106904.637</v>
      </c>
      <c r="J456" s="1">
        <v>-2.2175548849204736</v>
      </c>
      <c r="K456" s="3">
        <v>70251.322580645166</v>
      </c>
      <c r="L456" s="2">
        <v>2</v>
      </c>
      <c r="M456" s="2">
        <v>3</v>
      </c>
    </row>
    <row r="457" spans="1:13" x14ac:dyDescent="0.25">
      <c r="A457" s="2">
        <f t="shared" ref="A457:A520" si="7">RANK(H457,H$9:H$725,0)</f>
        <v>449</v>
      </c>
      <c r="B457" s="2">
        <v>125763</v>
      </c>
      <c r="C457" t="s">
        <v>819</v>
      </c>
      <c r="D457" t="s">
        <v>820</v>
      </c>
      <c r="E457" t="s">
        <v>16</v>
      </c>
      <c r="F457" t="s">
        <v>6</v>
      </c>
      <c r="G457" s="4">
        <v>1785</v>
      </c>
      <c r="H457" s="4">
        <v>104308.682</v>
      </c>
      <c r="I457" s="4">
        <v>112868.27099999999</v>
      </c>
      <c r="J457" s="1">
        <v>-7.583698167928878</v>
      </c>
      <c r="K457" s="3">
        <v>58436.236414565828</v>
      </c>
      <c r="L457" s="2">
        <v>2</v>
      </c>
      <c r="M457" s="2">
        <v>2</v>
      </c>
    </row>
    <row r="458" spans="1:13" x14ac:dyDescent="0.25">
      <c r="A458" s="2">
        <f t="shared" si="7"/>
        <v>450</v>
      </c>
      <c r="B458" s="2">
        <v>199218</v>
      </c>
      <c r="C458" t="s">
        <v>821</v>
      </c>
      <c r="D458" t="s">
        <v>822</v>
      </c>
      <c r="E458" t="s">
        <v>40</v>
      </c>
      <c r="F458" t="s">
        <v>10</v>
      </c>
      <c r="G458" s="4">
        <v>14838</v>
      </c>
      <c r="H458" s="4">
        <v>103801.571</v>
      </c>
      <c r="I458" s="4">
        <v>104945.568</v>
      </c>
      <c r="J458" s="1">
        <v>-1.090086052990823</v>
      </c>
      <c r="K458" s="3">
        <v>6995.6578379835555</v>
      </c>
      <c r="L458" s="2">
        <v>2</v>
      </c>
      <c r="M458" s="2">
        <v>4</v>
      </c>
    </row>
    <row r="459" spans="1:13" x14ac:dyDescent="0.25">
      <c r="A459" s="2">
        <f t="shared" si="7"/>
        <v>451</v>
      </c>
      <c r="B459" s="2">
        <v>176372</v>
      </c>
      <c r="C459" t="s">
        <v>823</v>
      </c>
      <c r="D459" t="s">
        <v>824</v>
      </c>
      <c r="E459" t="s">
        <v>340</v>
      </c>
      <c r="F459" t="s">
        <v>82</v>
      </c>
      <c r="G459" s="4">
        <v>12015</v>
      </c>
      <c r="H459" s="4">
        <v>103517.868</v>
      </c>
      <c r="I459" s="4">
        <v>104877.602</v>
      </c>
      <c r="J459" s="1">
        <v>-1.296496081212841</v>
      </c>
      <c r="K459" s="3">
        <v>8615.7193508114851</v>
      </c>
      <c r="L459" s="2">
        <v>2</v>
      </c>
      <c r="M459" s="2">
        <v>4</v>
      </c>
    </row>
    <row r="460" spans="1:13" x14ac:dyDescent="0.25">
      <c r="A460" s="2">
        <f t="shared" si="7"/>
        <v>452</v>
      </c>
      <c r="B460" s="2">
        <v>217819</v>
      </c>
      <c r="C460" t="s">
        <v>825</v>
      </c>
      <c r="D460" t="s">
        <v>449</v>
      </c>
      <c r="E460" t="s">
        <v>305</v>
      </c>
      <c r="F460" t="s">
        <v>82</v>
      </c>
      <c r="G460" s="4">
        <v>9531</v>
      </c>
      <c r="H460" s="4">
        <v>102819.132</v>
      </c>
      <c r="I460" s="4">
        <v>100135.995</v>
      </c>
      <c r="J460" s="1">
        <v>2.6794930234627419</v>
      </c>
      <c r="K460" s="3">
        <v>10787.86402266289</v>
      </c>
      <c r="L460" s="2">
        <v>2</v>
      </c>
      <c r="M460" s="2">
        <v>3</v>
      </c>
    </row>
    <row r="461" spans="1:13" x14ac:dyDescent="0.25">
      <c r="A461" s="2">
        <f t="shared" si="7"/>
        <v>453</v>
      </c>
      <c r="B461" s="2">
        <v>171571</v>
      </c>
      <c r="C461" t="s">
        <v>826</v>
      </c>
      <c r="D461" t="s">
        <v>827</v>
      </c>
      <c r="E461" t="s">
        <v>27</v>
      </c>
      <c r="F461" t="s">
        <v>10</v>
      </c>
      <c r="G461" s="4">
        <v>15976.33</v>
      </c>
      <c r="H461" s="4">
        <v>102149.89</v>
      </c>
      <c r="I461" s="4">
        <v>99398.629000000001</v>
      </c>
      <c r="J461" s="1">
        <v>2.7679063863144431</v>
      </c>
      <c r="K461" s="3">
        <v>6393.8269928074842</v>
      </c>
      <c r="L461" s="2">
        <v>2</v>
      </c>
      <c r="M461" s="2">
        <v>4</v>
      </c>
    </row>
    <row r="462" spans="1:13" x14ac:dyDescent="0.25">
      <c r="A462" s="2">
        <f t="shared" si="7"/>
        <v>454</v>
      </c>
      <c r="B462" s="2">
        <v>173665</v>
      </c>
      <c r="C462" t="s">
        <v>828</v>
      </c>
      <c r="D462" t="s">
        <v>332</v>
      </c>
      <c r="E462" t="s">
        <v>101</v>
      </c>
      <c r="F462" t="s">
        <v>6</v>
      </c>
      <c r="G462" s="4">
        <v>2705</v>
      </c>
      <c r="H462" s="4">
        <v>100559.621</v>
      </c>
      <c r="I462" s="4">
        <v>100549.851</v>
      </c>
      <c r="J462" s="1">
        <v>9.7165733244099998E-3</v>
      </c>
      <c r="K462" s="3">
        <v>37175.460628465808</v>
      </c>
      <c r="L462" s="2">
        <v>2</v>
      </c>
      <c r="M462" s="2">
        <v>3</v>
      </c>
    </row>
    <row r="463" spans="1:13" x14ac:dyDescent="0.25">
      <c r="A463" s="2">
        <f t="shared" si="7"/>
        <v>455</v>
      </c>
      <c r="B463" s="2">
        <v>157447</v>
      </c>
      <c r="C463" t="s">
        <v>829</v>
      </c>
      <c r="D463" t="s">
        <v>830</v>
      </c>
      <c r="E463" t="s">
        <v>197</v>
      </c>
      <c r="F463" t="s">
        <v>82</v>
      </c>
      <c r="G463" s="4">
        <v>11520</v>
      </c>
      <c r="H463" s="4">
        <v>100461.959</v>
      </c>
      <c r="I463" s="4">
        <v>105500.929</v>
      </c>
      <c r="J463" s="1">
        <v>-4.7762328235043308</v>
      </c>
      <c r="K463" s="3">
        <v>8720.6561631944442</v>
      </c>
      <c r="L463" s="2">
        <v>2</v>
      </c>
      <c r="M463" s="2">
        <v>4</v>
      </c>
    </row>
    <row r="464" spans="1:13" x14ac:dyDescent="0.25">
      <c r="A464" s="2">
        <f t="shared" si="7"/>
        <v>456</v>
      </c>
      <c r="B464" s="2">
        <v>204936</v>
      </c>
      <c r="C464" t="s">
        <v>831</v>
      </c>
      <c r="D464" t="s">
        <v>832</v>
      </c>
      <c r="E464" t="s">
        <v>69</v>
      </c>
      <c r="F464" t="s">
        <v>6</v>
      </c>
      <c r="G464" s="4">
        <v>2656</v>
      </c>
      <c r="H464" s="4">
        <v>99106.831000000006</v>
      </c>
      <c r="I464" s="4">
        <v>101386.33500000001</v>
      </c>
      <c r="J464" s="1">
        <v>-2.2483345511996267</v>
      </c>
      <c r="K464" s="3">
        <v>37314.318900602411</v>
      </c>
      <c r="L464" s="2">
        <v>2</v>
      </c>
      <c r="M464" s="2">
        <v>3</v>
      </c>
    </row>
    <row r="465" spans="1:13" x14ac:dyDescent="0.25">
      <c r="A465" s="2">
        <f t="shared" si="7"/>
        <v>457</v>
      </c>
      <c r="B465" s="2">
        <v>152530</v>
      </c>
      <c r="C465" t="s">
        <v>833</v>
      </c>
      <c r="D465" t="s">
        <v>834</v>
      </c>
      <c r="E465" t="s">
        <v>31</v>
      </c>
      <c r="F465" t="s">
        <v>6</v>
      </c>
      <c r="G465" s="4">
        <v>1939</v>
      </c>
      <c r="H465" s="4">
        <v>98987.525999999998</v>
      </c>
      <c r="I465" s="4">
        <v>98717.388999999996</v>
      </c>
      <c r="J465" s="1">
        <v>0.27364682426922776</v>
      </c>
      <c r="K465" s="3">
        <v>51050.812790097989</v>
      </c>
      <c r="L465" s="2">
        <v>2</v>
      </c>
      <c r="M465" s="2">
        <v>2</v>
      </c>
    </row>
    <row r="466" spans="1:13" x14ac:dyDescent="0.25">
      <c r="A466" s="2">
        <f t="shared" si="7"/>
        <v>458</v>
      </c>
      <c r="B466" s="2">
        <v>109651</v>
      </c>
      <c r="C466" t="s">
        <v>835</v>
      </c>
      <c r="D466" t="s">
        <v>92</v>
      </c>
      <c r="E466" t="s">
        <v>16</v>
      </c>
      <c r="F466" t="s">
        <v>6</v>
      </c>
      <c r="G466" s="4">
        <v>2200</v>
      </c>
      <c r="H466" s="4">
        <v>98145</v>
      </c>
      <c r="I466" s="4">
        <v>99830</v>
      </c>
      <c r="J466" s="1">
        <v>-1.687869377942502</v>
      </c>
      <c r="K466" s="3">
        <v>44611.36363636364</v>
      </c>
      <c r="L466" s="2">
        <v>2</v>
      </c>
      <c r="M466" s="2">
        <v>5</v>
      </c>
    </row>
    <row r="467" spans="1:13" x14ac:dyDescent="0.25">
      <c r="A467" s="2">
        <f t="shared" si="7"/>
        <v>459</v>
      </c>
      <c r="B467" s="2">
        <v>165529</v>
      </c>
      <c r="C467" t="s">
        <v>836</v>
      </c>
      <c r="D467" t="s">
        <v>837</v>
      </c>
      <c r="E467" t="s">
        <v>5</v>
      </c>
      <c r="F467" t="s">
        <v>6</v>
      </c>
      <c r="G467" s="4">
        <v>2192</v>
      </c>
      <c r="H467" s="4">
        <v>97557.826000000001</v>
      </c>
      <c r="I467" s="4">
        <v>103667.13800000001</v>
      </c>
      <c r="J467" s="1">
        <v>-5.8932002154819783</v>
      </c>
      <c r="K467" s="3">
        <v>44506.307481751828</v>
      </c>
      <c r="L467" s="2">
        <v>2</v>
      </c>
      <c r="M467" s="2">
        <v>3</v>
      </c>
    </row>
    <row r="468" spans="1:13" x14ac:dyDescent="0.25">
      <c r="A468" s="2">
        <f t="shared" si="7"/>
        <v>460</v>
      </c>
      <c r="B468" s="2">
        <v>165699</v>
      </c>
      <c r="C468" t="s">
        <v>838</v>
      </c>
      <c r="D468" t="s">
        <v>839</v>
      </c>
      <c r="E468" t="s">
        <v>5</v>
      </c>
      <c r="F468" t="s">
        <v>6</v>
      </c>
      <c r="G468" s="4">
        <v>3748.1</v>
      </c>
      <c r="H468" s="4">
        <v>97315.82</v>
      </c>
      <c r="I468" s="4">
        <v>95672.75</v>
      </c>
      <c r="J468" s="1">
        <v>1.7173855669456557</v>
      </c>
      <c r="K468" s="3">
        <v>25964.040447159896</v>
      </c>
      <c r="L468" s="2">
        <v>2</v>
      </c>
      <c r="M468" s="2">
        <v>3</v>
      </c>
    </row>
    <row r="469" spans="1:13" x14ac:dyDescent="0.25">
      <c r="A469" s="2">
        <f t="shared" si="7"/>
        <v>461</v>
      </c>
      <c r="B469" s="2">
        <v>133650</v>
      </c>
      <c r="C469" t="s">
        <v>840</v>
      </c>
      <c r="D469" t="s">
        <v>330</v>
      </c>
      <c r="E469" t="s">
        <v>141</v>
      </c>
      <c r="F469" t="s">
        <v>10</v>
      </c>
      <c r="G469" s="4">
        <v>8411</v>
      </c>
      <c r="H469" s="4">
        <v>95634.705000000002</v>
      </c>
      <c r="I469" s="4">
        <v>98213.088000000003</v>
      </c>
      <c r="J469" s="1">
        <v>-2.625294706139369</v>
      </c>
      <c r="K469" s="3">
        <v>11370.194388301034</v>
      </c>
      <c r="L469" s="2">
        <v>1</v>
      </c>
      <c r="M469" s="2">
        <v>4</v>
      </c>
    </row>
    <row r="470" spans="1:13" x14ac:dyDescent="0.25">
      <c r="A470" s="2">
        <f t="shared" si="7"/>
        <v>462</v>
      </c>
      <c r="B470" s="2">
        <v>206604</v>
      </c>
      <c r="C470" t="s">
        <v>841</v>
      </c>
      <c r="D470" t="s">
        <v>354</v>
      </c>
      <c r="E470" t="s">
        <v>69</v>
      </c>
      <c r="F470" t="s">
        <v>82</v>
      </c>
      <c r="G470" s="4">
        <v>11543.3</v>
      </c>
      <c r="H470" s="4">
        <v>95495.032999999996</v>
      </c>
      <c r="I470" s="4">
        <v>97079.902000000002</v>
      </c>
      <c r="J470" s="1">
        <v>-1.6325407909867893</v>
      </c>
      <c r="K470" s="3">
        <v>8272.7671463099814</v>
      </c>
      <c r="L470" s="2">
        <v>2</v>
      </c>
      <c r="M470" s="2">
        <v>4</v>
      </c>
    </row>
    <row r="471" spans="1:13" x14ac:dyDescent="0.25">
      <c r="A471" s="2">
        <f t="shared" si="7"/>
        <v>463</v>
      </c>
      <c r="B471" s="2">
        <v>211556</v>
      </c>
      <c r="C471" t="s">
        <v>842</v>
      </c>
      <c r="D471" t="s">
        <v>74</v>
      </c>
      <c r="E471" t="s">
        <v>23</v>
      </c>
      <c r="F471" t="s">
        <v>6</v>
      </c>
      <c r="G471" s="4">
        <v>1921</v>
      </c>
      <c r="H471" s="4">
        <v>95435.914999999994</v>
      </c>
      <c r="I471" s="4">
        <v>94215.55</v>
      </c>
      <c r="J471" s="1">
        <v>1.2952904271110237</v>
      </c>
      <c r="K471" s="3">
        <v>49680.330557001558</v>
      </c>
      <c r="L471" s="2">
        <v>2</v>
      </c>
      <c r="M471" s="2">
        <v>4</v>
      </c>
    </row>
    <row r="472" spans="1:13" x14ac:dyDescent="0.25">
      <c r="A472" s="2">
        <f t="shared" si="7"/>
        <v>464</v>
      </c>
      <c r="B472" s="2">
        <v>147244</v>
      </c>
      <c r="C472" t="s">
        <v>843</v>
      </c>
      <c r="D472" t="s">
        <v>584</v>
      </c>
      <c r="E472" t="s">
        <v>37</v>
      </c>
      <c r="F472" t="s">
        <v>6</v>
      </c>
      <c r="G472" s="4">
        <v>2276</v>
      </c>
      <c r="H472" s="4">
        <v>94270.603000000003</v>
      </c>
      <c r="I472" s="4">
        <v>106893.139</v>
      </c>
      <c r="J472" s="1">
        <v>-11.80855583256845</v>
      </c>
      <c r="K472" s="3">
        <v>41419.421353251317</v>
      </c>
      <c r="L472" s="2">
        <v>2</v>
      </c>
      <c r="M472" s="2">
        <v>2</v>
      </c>
    </row>
    <row r="473" spans="1:13" x14ac:dyDescent="0.25">
      <c r="A473" s="2">
        <f t="shared" si="7"/>
        <v>465</v>
      </c>
      <c r="B473" s="2">
        <v>174899</v>
      </c>
      <c r="C473" t="s">
        <v>844</v>
      </c>
      <c r="D473" t="s">
        <v>845</v>
      </c>
      <c r="E473" t="s">
        <v>101</v>
      </c>
      <c r="F473" t="s">
        <v>6</v>
      </c>
      <c r="G473" s="4">
        <v>3906</v>
      </c>
      <c r="H473" s="4">
        <v>93599.748000000007</v>
      </c>
      <c r="I473" s="4">
        <v>92550.8</v>
      </c>
      <c r="J473" s="1">
        <v>1.1333754003206888</v>
      </c>
      <c r="K473" s="3">
        <v>23963.069124423964</v>
      </c>
      <c r="L473" s="2">
        <v>2</v>
      </c>
      <c r="M473" s="2">
        <v>4</v>
      </c>
    </row>
    <row r="474" spans="1:13" x14ac:dyDescent="0.25">
      <c r="A474" s="2">
        <f t="shared" si="7"/>
        <v>466</v>
      </c>
      <c r="B474" s="2">
        <v>210739</v>
      </c>
      <c r="C474" t="s">
        <v>846</v>
      </c>
      <c r="D474" t="s">
        <v>847</v>
      </c>
      <c r="E474" t="s">
        <v>23</v>
      </c>
      <c r="F474" t="s">
        <v>6</v>
      </c>
      <c r="G474" s="4">
        <v>2806</v>
      </c>
      <c r="H474" s="4">
        <v>93581.78</v>
      </c>
      <c r="I474" s="4">
        <v>91840.777000000002</v>
      </c>
      <c r="J474" s="1">
        <v>1.8956753817533578</v>
      </c>
      <c r="K474" s="3">
        <v>33350.598717034925</v>
      </c>
      <c r="L474" s="2">
        <v>2</v>
      </c>
      <c r="M474" s="2">
        <v>3</v>
      </c>
    </row>
    <row r="475" spans="1:13" x14ac:dyDescent="0.25">
      <c r="A475" s="2">
        <f t="shared" si="7"/>
        <v>467</v>
      </c>
      <c r="B475" s="2">
        <v>150534</v>
      </c>
      <c r="C475" t="s">
        <v>848</v>
      </c>
      <c r="D475" t="s">
        <v>849</v>
      </c>
      <c r="E475" t="s">
        <v>31</v>
      </c>
      <c r="F475" t="s">
        <v>6</v>
      </c>
      <c r="G475" s="4">
        <v>2409</v>
      </c>
      <c r="H475" s="4">
        <v>93405.264999999999</v>
      </c>
      <c r="I475" s="4">
        <v>85666.743000000002</v>
      </c>
      <c r="J475" s="1">
        <v>9.0332861143092593</v>
      </c>
      <c r="K475" s="3">
        <v>38773.459941884597</v>
      </c>
      <c r="L475" s="2">
        <v>2</v>
      </c>
      <c r="M475" s="2">
        <v>3</v>
      </c>
    </row>
    <row r="476" spans="1:13" x14ac:dyDescent="0.25">
      <c r="A476" s="2">
        <f t="shared" si="7"/>
        <v>468</v>
      </c>
      <c r="B476" s="2">
        <v>177214</v>
      </c>
      <c r="C476" t="s">
        <v>850</v>
      </c>
      <c r="D476" t="s">
        <v>851</v>
      </c>
      <c r="E476" t="s">
        <v>43</v>
      </c>
      <c r="F476" t="s">
        <v>6</v>
      </c>
      <c r="G476" s="4">
        <v>1675</v>
      </c>
      <c r="H476" s="4">
        <v>93282.119000000006</v>
      </c>
      <c r="I476" s="4">
        <v>96516.596999999994</v>
      </c>
      <c r="J476" s="1">
        <v>-3.3512142994432343</v>
      </c>
      <c r="K476" s="3">
        <v>55690.817313432839</v>
      </c>
      <c r="L476" s="2">
        <v>2</v>
      </c>
      <c r="M476" s="2">
        <v>3</v>
      </c>
    </row>
    <row r="477" spans="1:13" x14ac:dyDescent="0.25">
      <c r="A477" s="2">
        <f t="shared" si="7"/>
        <v>469</v>
      </c>
      <c r="B477" s="2">
        <v>193973</v>
      </c>
      <c r="C477" t="s">
        <v>852</v>
      </c>
      <c r="D477" t="s">
        <v>852</v>
      </c>
      <c r="E477" t="s">
        <v>34</v>
      </c>
      <c r="F477" t="s">
        <v>6</v>
      </c>
      <c r="G477" s="4">
        <v>3344</v>
      </c>
      <c r="H477" s="4">
        <v>93252.691999999995</v>
      </c>
      <c r="I477" s="4">
        <v>97242.019</v>
      </c>
      <c r="J477" s="1">
        <v>-4.1024724095866416</v>
      </c>
      <c r="K477" s="3">
        <v>27886.570574162681</v>
      </c>
      <c r="L477" s="2">
        <v>2</v>
      </c>
      <c r="M477" s="2">
        <v>3</v>
      </c>
    </row>
    <row r="478" spans="1:13" x14ac:dyDescent="0.25">
      <c r="A478" s="2">
        <f t="shared" si="7"/>
        <v>470</v>
      </c>
      <c r="B478" s="2">
        <v>163295</v>
      </c>
      <c r="C478" t="s">
        <v>853</v>
      </c>
      <c r="D478" t="s">
        <v>58</v>
      </c>
      <c r="E478" t="s">
        <v>59</v>
      </c>
      <c r="F478" t="s">
        <v>6</v>
      </c>
      <c r="G478" s="4">
        <v>2089</v>
      </c>
      <c r="H478" s="4">
        <v>92950.907999999996</v>
      </c>
      <c r="I478" s="4">
        <v>94441.001000000004</v>
      </c>
      <c r="J478" s="1">
        <v>-1.5778030561111906</v>
      </c>
      <c r="K478" s="3">
        <v>44495.408329344187</v>
      </c>
      <c r="L478" s="2">
        <v>2</v>
      </c>
      <c r="M478" s="2">
        <v>5</v>
      </c>
    </row>
    <row r="479" spans="1:13" x14ac:dyDescent="0.25">
      <c r="A479" s="2">
        <f t="shared" si="7"/>
        <v>471</v>
      </c>
      <c r="B479" s="2">
        <v>231581</v>
      </c>
      <c r="C479" t="s">
        <v>854</v>
      </c>
      <c r="D479" t="s">
        <v>855</v>
      </c>
      <c r="E479" t="s">
        <v>51</v>
      </c>
      <c r="F479" t="s">
        <v>6</v>
      </c>
      <c r="G479" s="4">
        <v>1709</v>
      </c>
      <c r="H479" s="4">
        <v>91944.52</v>
      </c>
      <c r="I479" s="4">
        <v>95758.089000000007</v>
      </c>
      <c r="J479" s="1">
        <v>-3.9825032431463834</v>
      </c>
      <c r="K479" s="3">
        <v>53800.187244002344</v>
      </c>
      <c r="L479" s="2">
        <v>2</v>
      </c>
      <c r="M479" s="2">
        <v>2</v>
      </c>
    </row>
    <row r="480" spans="1:13" x14ac:dyDescent="0.25">
      <c r="A480" s="2">
        <f t="shared" si="7"/>
        <v>472</v>
      </c>
      <c r="B480" s="2">
        <v>232025</v>
      </c>
      <c r="C480" t="s">
        <v>856</v>
      </c>
      <c r="D480" t="s">
        <v>857</v>
      </c>
      <c r="E480" t="s">
        <v>51</v>
      </c>
      <c r="F480" t="s">
        <v>6</v>
      </c>
      <c r="G480" s="4">
        <v>1208</v>
      </c>
      <c r="H480" s="4">
        <v>91297.225999999995</v>
      </c>
      <c r="I480" s="4">
        <v>90992.592999999993</v>
      </c>
      <c r="J480" s="1">
        <v>0.33478878879734753</v>
      </c>
      <c r="K480" s="3">
        <v>75577.173841059601</v>
      </c>
      <c r="L480" s="2">
        <v>2</v>
      </c>
      <c r="M480" s="2">
        <v>2</v>
      </c>
    </row>
    <row r="481" spans="1:13" x14ac:dyDescent="0.25">
      <c r="A481" s="2">
        <f t="shared" si="7"/>
        <v>473</v>
      </c>
      <c r="B481" s="2">
        <v>157401</v>
      </c>
      <c r="C481" t="s">
        <v>858</v>
      </c>
      <c r="D481" t="s">
        <v>859</v>
      </c>
      <c r="E481" t="s">
        <v>197</v>
      </c>
      <c r="F481" t="s">
        <v>10</v>
      </c>
      <c r="G481" s="4">
        <v>7487</v>
      </c>
      <c r="H481" s="4">
        <v>90840.202000000005</v>
      </c>
      <c r="I481" s="4">
        <v>89480.02</v>
      </c>
      <c r="J481" s="1">
        <v>1.5200957711006322</v>
      </c>
      <c r="K481" s="3">
        <v>12133.057566448511</v>
      </c>
      <c r="L481" s="2">
        <v>2</v>
      </c>
      <c r="M481" s="2">
        <v>3</v>
      </c>
    </row>
    <row r="482" spans="1:13" x14ac:dyDescent="0.25">
      <c r="A482" s="2">
        <f t="shared" si="7"/>
        <v>474</v>
      </c>
      <c r="B482" s="2">
        <v>238616</v>
      </c>
      <c r="C482" t="s">
        <v>860</v>
      </c>
      <c r="D482" t="s">
        <v>861</v>
      </c>
      <c r="E482" t="s">
        <v>81</v>
      </c>
      <c r="F482" t="s">
        <v>6</v>
      </c>
      <c r="G482" s="4">
        <v>5294</v>
      </c>
      <c r="H482" s="4">
        <v>90325.645999999993</v>
      </c>
      <c r="I482" s="4">
        <v>88859.240999999995</v>
      </c>
      <c r="J482" s="1">
        <v>1.650256049339877</v>
      </c>
      <c r="K482" s="3">
        <v>17061.890064223648</v>
      </c>
      <c r="L482" s="2">
        <v>2</v>
      </c>
      <c r="M482" s="2">
        <v>4</v>
      </c>
    </row>
    <row r="483" spans="1:13" x14ac:dyDescent="0.25">
      <c r="A483" s="2">
        <f t="shared" si="7"/>
        <v>475</v>
      </c>
      <c r="B483" s="2">
        <v>216852</v>
      </c>
      <c r="C483" t="s">
        <v>862</v>
      </c>
      <c r="D483" t="s">
        <v>863</v>
      </c>
      <c r="E483" t="s">
        <v>23</v>
      </c>
      <c r="F483" t="s">
        <v>6</v>
      </c>
      <c r="G483" s="4">
        <v>5133</v>
      </c>
      <c r="H483" s="4">
        <v>90010.573999999993</v>
      </c>
      <c r="I483" s="4">
        <v>94454.361999999994</v>
      </c>
      <c r="J483" s="1">
        <v>-4.7046932570461912</v>
      </c>
      <c r="K483" s="3">
        <v>17535.666082213131</v>
      </c>
      <c r="L483" s="2">
        <v>2</v>
      </c>
      <c r="M483" s="2">
        <v>4</v>
      </c>
    </row>
    <row r="484" spans="1:13" x14ac:dyDescent="0.25">
      <c r="A484" s="2">
        <f t="shared" si="7"/>
        <v>476</v>
      </c>
      <c r="B484" s="2">
        <v>171492</v>
      </c>
      <c r="C484" t="s">
        <v>864</v>
      </c>
      <c r="D484" t="s">
        <v>865</v>
      </c>
      <c r="E484" t="s">
        <v>27</v>
      </c>
      <c r="F484" t="s">
        <v>6</v>
      </c>
      <c r="G484" s="4">
        <v>2042</v>
      </c>
      <c r="H484" s="4">
        <v>89966.415999999997</v>
      </c>
      <c r="I484" s="4">
        <v>97868.827999999994</v>
      </c>
      <c r="J484" s="1">
        <v>-8.0744933412301609</v>
      </c>
      <c r="K484" s="3">
        <v>44057.990205680704</v>
      </c>
      <c r="L484" s="2">
        <v>2</v>
      </c>
      <c r="M484" s="2">
        <v>5</v>
      </c>
    </row>
    <row r="485" spans="1:13" x14ac:dyDescent="0.25">
      <c r="A485" s="2">
        <f t="shared" si="7"/>
        <v>477</v>
      </c>
      <c r="B485" s="2">
        <v>200004</v>
      </c>
      <c r="C485" t="s">
        <v>866</v>
      </c>
      <c r="D485" t="s">
        <v>867</v>
      </c>
      <c r="E485" t="s">
        <v>40</v>
      </c>
      <c r="F485" t="s">
        <v>10</v>
      </c>
      <c r="G485" s="4">
        <v>11105</v>
      </c>
      <c r="H485" s="4">
        <v>88977.683000000005</v>
      </c>
      <c r="I485" s="4">
        <v>88700.504000000001</v>
      </c>
      <c r="J485" s="1">
        <v>0.3124886415527019</v>
      </c>
      <c r="K485" s="3">
        <v>8012.3982890589823</v>
      </c>
      <c r="L485" s="2">
        <v>2</v>
      </c>
      <c r="M485" s="2">
        <v>3</v>
      </c>
    </row>
    <row r="486" spans="1:13" x14ac:dyDescent="0.25">
      <c r="A486" s="2">
        <f t="shared" si="7"/>
        <v>478</v>
      </c>
      <c r="B486" s="2">
        <v>127185</v>
      </c>
      <c r="C486" t="s">
        <v>868</v>
      </c>
      <c r="D486" t="s">
        <v>869</v>
      </c>
      <c r="E486" t="s">
        <v>141</v>
      </c>
      <c r="F486" t="s">
        <v>6</v>
      </c>
      <c r="G486" s="4">
        <v>5997</v>
      </c>
      <c r="H486" s="4">
        <v>88928.857000000004</v>
      </c>
      <c r="I486" s="4">
        <v>87759.145999999993</v>
      </c>
      <c r="J486" s="1">
        <v>1.3328650668501263</v>
      </c>
      <c r="K486" s="3">
        <v>14828.890611972653</v>
      </c>
      <c r="L486" s="2">
        <v>2</v>
      </c>
      <c r="M486" s="2">
        <v>2</v>
      </c>
    </row>
    <row r="487" spans="1:13" x14ac:dyDescent="0.25">
      <c r="A487" s="2">
        <f t="shared" si="7"/>
        <v>479</v>
      </c>
      <c r="B487" s="2">
        <v>172051</v>
      </c>
      <c r="C487" t="s">
        <v>870</v>
      </c>
      <c r="D487" t="s">
        <v>871</v>
      </c>
      <c r="E487" t="s">
        <v>27</v>
      </c>
      <c r="F487" t="s">
        <v>82</v>
      </c>
      <c r="G487" s="4">
        <v>7235</v>
      </c>
      <c r="H487" s="4">
        <v>88566.866999999998</v>
      </c>
      <c r="I487" s="4">
        <v>87435.881999999998</v>
      </c>
      <c r="J487" s="1">
        <v>1.2935021345126936</v>
      </c>
      <c r="K487" s="3">
        <v>12241.446717346234</v>
      </c>
      <c r="L487" s="2">
        <v>2</v>
      </c>
      <c r="M487" s="2">
        <v>3</v>
      </c>
    </row>
    <row r="488" spans="1:13" x14ac:dyDescent="0.25">
      <c r="A488" s="2">
        <f t="shared" si="7"/>
        <v>480</v>
      </c>
      <c r="B488" s="2">
        <v>202806</v>
      </c>
      <c r="C488" t="s">
        <v>872</v>
      </c>
      <c r="D488" t="s">
        <v>68</v>
      </c>
      <c r="E488" t="s">
        <v>69</v>
      </c>
      <c r="F488" t="s">
        <v>6</v>
      </c>
      <c r="G488" s="4">
        <v>3307</v>
      </c>
      <c r="H488" s="4">
        <v>88345</v>
      </c>
      <c r="I488" s="4">
        <v>93505.850999999995</v>
      </c>
      <c r="J488" s="1">
        <v>-5.5192813549175659</v>
      </c>
      <c r="K488" s="3">
        <v>26714.544904747505</v>
      </c>
      <c r="L488" s="2">
        <v>2</v>
      </c>
      <c r="M488" s="2">
        <v>5</v>
      </c>
    </row>
    <row r="489" spans="1:13" x14ac:dyDescent="0.25">
      <c r="A489" s="2">
        <f t="shared" si="7"/>
        <v>481</v>
      </c>
      <c r="B489" s="2">
        <v>184603</v>
      </c>
      <c r="C489" t="s">
        <v>873</v>
      </c>
      <c r="D489" t="s">
        <v>874</v>
      </c>
      <c r="E489" t="s">
        <v>19</v>
      </c>
      <c r="F489" t="s">
        <v>6</v>
      </c>
      <c r="G489" s="4">
        <v>8621</v>
      </c>
      <c r="H489" s="4">
        <v>88303.659</v>
      </c>
      <c r="I489" s="4">
        <v>91624.956000000006</v>
      </c>
      <c r="J489" s="1">
        <v>-3.6248825047184741</v>
      </c>
      <c r="K489" s="3">
        <v>10242.855701194758</v>
      </c>
      <c r="L489" s="2">
        <v>2</v>
      </c>
      <c r="M489" s="2">
        <v>3</v>
      </c>
    </row>
    <row r="490" spans="1:13" x14ac:dyDescent="0.25">
      <c r="A490" s="2">
        <f t="shared" si="7"/>
        <v>482</v>
      </c>
      <c r="B490" s="2">
        <v>218539</v>
      </c>
      <c r="C490" t="s">
        <v>875</v>
      </c>
      <c r="D490" t="s">
        <v>251</v>
      </c>
      <c r="E490" t="s">
        <v>305</v>
      </c>
      <c r="F490" t="s">
        <v>6</v>
      </c>
      <c r="G490" s="4">
        <v>1309</v>
      </c>
      <c r="H490" s="4">
        <v>88099.608999999997</v>
      </c>
      <c r="I490" s="4">
        <v>91533.422999999995</v>
      </c>
      <c r="J490" s="1">
        <v>-3.7514318676796345</v>
      </c>
      <c r="K490" s="3">
        <v>67302.986249045076</v>
      </c>
      <c r="L490" s="2">
        <v>2</v>
      </c>
      <c r="M490" s="2">
        <v>2</v>
      </c>
    </row>
    <row r="491" spans="1:13" x14ac:dyDescent="0.25">
      <c r="A491" s="2">
        <f t="shared" si="7"/>
        <v>483</v>
      </c>
      <c r="B491" s="2">
        <v>169910</v>
      </c>
      <c r="C491" t="s">
        <v>876</v>
      </c>
      <c r="D491" t="s">
        <v>877</v>
      </c>
      <c r="E491" t="s">
        <v>27</v>
      </c>
      <c r="F491" t="s">
        <v>82</v>
      </c>
      <c r="G491" s="23" t="s">
        <v>1275</v>
      </c>
      <c r="H491" s="4">
        <v>88014.323999999993</v>
      </c>
      <c r="I491" s="4">
        <v>87355.421000000002</v>
      </c>
      <c r="J491" s="1">
        <v>0.75427831777034193</v>
      </c>
      <c r="K491" s="24" t="s">
        <v>1275</v>
      </c>
      <c r="L491" s="2">
        <v>2</v>
      </c>
      <c r="M491" s="2">
        <v>4</v>
      </c>
    </row>
    <row r="492" spans="1:13" x14ac:dyDescent="0.25">
      <c r="A492" s="2">
        <f t="shared" si="7"/>
        <v>484</v>
      </c>
      <c r="B492" s="2">
        <v>238333</v>
      </c>
      <c r="C492" t="s">
        <v>878</v>
      </c>
      <c r="D492" t="s">
        <v>879</v>
      </c>
      <c r="E492" t="s">
        <v>81</v>
      </c>
      <c r="F492" t="s">
        <v>6</v>
      </c>
      <c r="G492" s="4">
        <v>1066</v>
      </c>
      <c r="H492" s="4">
        <v>87663.456000000006</v>
      </c>
      <c r="I492" s="4">
        <v>114121.073</v>
      </c>
      <c r="J492" s="1">
        <v>-23.183813737888705</v>
      </c>
      <c r="K492" s="3">
        <v>82235.887429643524</v>
      </c>
      <c r="L492" s="2">
        <v>2</v>
      </c>
      <c r="M492" s="2">
        <v>2</v>
      </c>
    </row>
    <row r="493" spans="1:13" x14ac:dyDescent="0.25">
      <c r="A493" s="2">
        <f t="shared" si="7"/>
        <v>485</v>
      </c>
      <c r="B493" s="2">
        <v>144892</v>
      </c>
      <c r="C493" t="s">
        <v>880</v>
      </c>
      <c r="D493" t="s">
        <v>449</v>
      </c>
      <c r="E493" t="s">
        <v>37</v>
      </c>
      <c r="F493" t="s">
        <v>10</v>
      </c>
      <c r="G493" s="4">
        <v>6045</v>
      </c>
      <c r="H493" s="4">
        <v>87267.296000000002</v>
      </c>
      <c r="I493" s="4">
        <v>84386.614000000001</v>
      </c>
      <c r="J493" s="1">
        <v>3.4136717465639754</v>
      </c>
      <c r="K493" s="3">
        <v>14436.277253928867</v>
      </c>
      <c r="L493" s="2">
        <v>2</v>
      </c>
      <c r="M493" s="2">
        <v>3</v>
      </c>
    </row>
    <row r="494" spans="1:13" x14ac:dyDescent="0.25">
      <c r="A494" s="2">
        <f t="shared" si="7"/>
        <v>486</v>
      </c>
      <c r="B494" s="2">
        <v>174747</v>
      </c>
      <c r="C494" t="s">
        <v>881</v>
      </c>
      <c r="D494" t="s">
        <v>882</v>
      </c>
      <c r="E494" t="s">
        <v>101</v>
      </c>
      <c r="F494" t="s">
        <v>6</v>
      </c>
      <c r="G494" s="4">
        <v>1724</v>
      </c>
      <c r="H494" s="4">
        <v>86715.33</v>
      </c>
      <c r="I494" s="4">
        <v>83506.118000000002</v>
      </c>
      <c r="J494" s="1">
        <v>3.8430860838244216</v>
      </c>
      <c r="K494" s="3">
        <v>50298.915313225058</v>
      </c>
      <c r="L494" s="2">
        <v>2</v>
      </c>
      <c r="M494" s="2">
        <v>2</v>
      </c>
    </row>
    <row r="495" spans="1:13" x14ac:dyDescent="0.25">
      <c r="A495" s="2">
        <f t="shared" si="7"/>
        <v>487</v>
      </c>
      <c r="B495" s="2">
        <v>106458</v>
      </c>
      <c r="C495" t="s">
        <v>883</v>
      </c>
      <c r="D495" t="s">
        <v>884</v>
      </c>
      <c r="E495" t="s">
        <v>217</v>
      </c>
      <c r="F495" t="s">
        <v>82</v>
      </c>
      <c r="G495" s="4">
        <v>13817</v>
      </c>
      <c r="H495" s="4">
        <v>86156.645000000004</v>
      </c>
      <c r="I495" s="4">
        <v>84430.331000000006</v>
      </c>
      <c r="J495" s="1">
        <v>2.0446609406280785</v>
      </c>
      <c r="K495" s="3">
        <v>6235.5536657740467</v>
      </c>
      <c r="L495" s="2">
        <v>2</v>
      </c>
      <c r="M495" s="2">
        <v>4</v>
      </c>
    </row>
    <row r="496" spans="1:13" x14ac:dyDescent="0.25">
      <c r="A496" s="2">
        <f t="shared" si="7"/>
        <v>488</v>
      </c>
      <c r="B496" s="2">
        <v>146481</v>
      </c>
      <c r="C496" t="s">
        <v>885</v>
      </c>
      <c r="D496" t="s">
        <v>886</v>
      </c>
      <c r="E496" t="s">
        <v>37</v>
      </c>
      <c r="F496" t="s">
        <v>6</v>
      </c>
      <c r="G496" s="4">
        <v>1541</v>
      </c>
      <c r="H496" s="4">
        <v>85812.664999999994</v>
      </c>
      <c r="I496" s="4">
        <v>90629.627999999997</v>
      </c>
      <c r="J496" s="1">
        <v>-5.3149980931180698</v>
      </c>
      <c r="K496" s="3">
        <v>55686.349772874753</v>
      </c>
      <c r="L496" s="2">
        <v>2</v>
      </c>
      <c r="M496" s="2">
        <v>2</v>
      </c>
    </row>
    <row r="497" spans="1:13" x14ac:dyDescent="0.25">
      <c r="A497" s="2">
        <f t="shared" si="7"/>
        <v>489</v>
      </c>
      <c r="B497" s="2">
        <v>110583</v>
      </c>
      <c r="C497" t="s">
        <v>887</v>
      </c>
      <c r="D497" t="s">
        <v>888</v>
      </c>
      <c r="E497" t="s">
        <v>16</v>
      </c>
      <c r="F497" t="s">
        <v>10</v>
      </c>
      <c r="G497" s="4">
        <v>32673.7</v>
      </c>
      <c r="H497" s="4">
        <v>85616.502999999997</v>
      </c>
      <c r="I497" s="4">
        <v>79351.656000000003</v>
      </c>
      <c r="J497" s="1">
        <v>7.8950425432835329</v>
      </c>
      <c r="K497" s="3">
        <v>2620.3491799214657</v>
      </c>
      <c r="L497" s="2">
        <v>2</v>
      </c>
      <c r="M497" s="2">
        <v>3</v>
      </c>
    </row>
    <row r="498" spans="1:13" x14ac:dyDescent="0.25">
      <c r="A498" s="2">
        <f t="shared" si="7"/>
        <v>490</v>
      </c>
      <c r="B498" s="2">
        <v>229179</v>
      </c>
      <c r="C498" t="s">
        <v>889</v>
      </c>
      <c r="D498" t="s">
        <v>596</v>
      </c>
      <c r="E498" t="s">
        <v>9</v>
      </c>
      <c r="F498" t="s">
        <v>95</v>
      </c>
      <c r="G498" s="4">
        <v>14300</v>
      </c>
      <c r="H498" s="4">
        <v>85540.578999999998</v>
      </c>
      <c r="I498" s="4">
        <v>79577.312999999995</v>
      </c>
      <c r="J498" s="1">
        <v>7.4936759928046328</v>
      </c>
      <c r="K498" s="3">
        <v>5981.8586713286713</v>
      </c>
      <c r="L498" s="2">
        <v>2</v>
      </c>
      <c r="M498" s="2">
        <v>4</v>
      </c>
    </row>
    <row r="499" spans="1:13" x14ac:dyDescent="0.25">
      <c r="A499" s="2">
        <f t="shared" si="7"/>
        <v>491</v>
      </c>
      <c r="B499" s="2">
        <v>203845</v>
      </c>
      <c r="C499" t="s">
        <v>890</v>
      </c>
      <c r="D499" t="s">
        <v>891</v>
      </c>
      <c r="E499" t="s">
        <v>69</v>
      </c>
      <c r="F499" t="s">
        <v>6</v>
      </c>
      <c r="G499" s="4">
        <v>1088</v>
      </c>
      <c r="H499" s="4">
        <v>85460.235000000001</v>
      </c>
      <c r="I499" s="4">
        <v>88469.293999999994</v>
      </c>
      <c r="J499" s="1">
        <v>-3.4012467647814617</v>
      </c>
      <c r="K499" s="3">
        <v>78548.010110294112</v>
      </c>
      <c r="L499" s="2">
        <v>2</v>
      </c>
      <c r="M499" s="2">
        <v>2</v>
      </c>
    </row>
    <row r="500" spans="1:13" x14ac:dyDescent="0.25">
      <c r="A500" s="2">
        <f t="shared" si="7"/>
        <v>492</v>
      </c>
      <c r="B500" s="2">
        <v>450304</v>
      </c>
      <c r="C500" t="s">
        <v>892</v>
      </c>
      <c r="D500" t="s">
        <v>157</v>
      </c>
      <c r="E500" t="s">
        <v>9</v>
      </c>
      <c r="F500" t="s">
        <v>6</v>
      </c>
      <c r="G500" s="4">
        <v>124</v>
      </c>
      <c r="H500" s="4">
        <v>85302.706000000006</v>
      </c>
      <c r="I500" s="4">
        <v>83303.334000000003</v>
      </c>
      <c r="J500" s="1">
        <v>2.400110420550515</v>
      </c>
      <c r="K500" s="3">
        <v>687925.04838709673</v>
      </c>
      <c r="L500" s="2">
        <v>2</v>
      </c>
      <c r="M500" s="2">
        <v>5</v>
      </c>
    </row>
    <row r="501" spans="1:13" x14ac:dyDescent="0.25">
      <c r="A501" s="2">
        <f t="shared" si="7"/>
        <v>493</v>
      </c>
      <c r="B501" s="2">
        <v>150604</v>
      </c>
      <c r="C501" t="s">
        <v>893</v>
      </c>
      <c r="D501" t="s">
        <v>894</v>
      </c>
      <c r="E501" t="s">
        <v>31</v>
      </c>
      <c r="F501" t="s">
        <v>6</v>
      </c>
      <c r="G501" s="4">
        <v>924</v>
      </c>
      <c r="H501" s="4">
        <v>83786.19</v>
      </c>
      <c r="I501" s="4">
        <v>87386.625</v>
      </c>
      <c r="J501" s="1">
        <v>-4.1201213572443152</v>
      </c>
      <c r="K501" s="3">
        <v>90677.694805194798</v>
      </c>
      <c r="L501" s="2">
        <v>2</v>
      </c>
      <c r="M501" s="2">
        <v>2</v>
      </c>
    </row>
    <row r="502" spans="1:13" x14ac:dyDescent="0.25">
      <c r="A502" s="2">
        <f t="shared" si="7"/>
        <v>494</v>
      </c>
      <c r="B502" s="2">
        <v>197197</v>
      </c>
      <c r="C502" t="s">
        <v>895</v>
      </c>
      <c r="D502" t="s">
        <v>896</v>
      </c>
      <c r="E502" t="s">
        <v>34</v>
      </c>
      <c r="F502" t="s">
        <v>6</v>
      </c>
      <c r="G502" s="4">
        <v>1943</v>
      </c>
      <c r="H502" s="4">
        <v>83729.987999999998</v>
      </c>
      <c r="I502" s="4">
        <v>77564.418000000005</v>
      </c>
      <c r="J502" s="1">
        <v>7.9489670121678735</v>
      </c>
      <c r="K502" s="3">
        <v>43093.148739063305</v>
      </c>
      <c r="L502" s="2">
        <v>2</v>
      </c>
      <c r="M502" s="2">
        <v>3</v>
      </c>
    </row>
    <row r="503" spans="1:13" x14ac:dyDescent="0.25">
      <c r="A503" s="2">
        <f t="shared" si="7"/>
        <v>495</v>
      </c>
      <c r="B503" s="2">
        <v>110361</v>
      </c>
      <c r="C503" t="s">
        <v>897</v>
      </c>
      <c r="D503" t="s">
        <v>898</v>
      </c>
      <c r="E503" t="s">
        <v>16</v>
      </c>
      <c r="F503" t="s">
        <v>6</v>
      </c>
      <c r="G503" s="4">
        <v>11391</v>
      </c>
      <c r="H503" s="4">
        <v>82924.687000000005</v>
      </c>
      <c r="I503" s="4">
        <v>65618.267000000007</v>
      </c>
      <c r="J503" s="1">
        <v>26.374393581592148</v>
      </c>
      <c r="K503" s="3">
        <v>7279.8425950311648</v>
      </c>
      <c r="L503" s="2">
        <v>2</v>
      </c>
      <c r="M503" s="2">
        <v>3</v>
      </c>
    </row>
    <row r="504" spans="1:13" x14ac:dyDescent="0.25">
      <c r="A504" s="2">
        <f t="shared" si="7"/>
        <v>496</v>
      </c>
      <c r="B504" s="2">
        <v>110565</v>
      </c>
      <c r="C504" t="s">
        <v>899</v>
      </c>
      <c r="D504" t="s">
        <v>900</v>
      </c>
      <c r="E504" t="s">
        <v>16</v>
      </c>
      <c r="F504" t="s">
        <v>82</v>
      </c>
      <c r="G504" s="4">
        <v>33202</v>
      </c>
      <c r="H504" s="4">
        <v>81744.364000000001</v>
      </c>
      <c r="I504" s="4">
        <v>68754.849000000002</v>
      </c>
      <c r="J504" s="1">
        <v>18.89250749427142</v>
      </c>
      <c r="K504" s="3">
        <v>2462.0313234142523</v>
      </c>
      <c r="L504" s="2">
        <v>2</v>
      </c>
      <c r="M504" s="2">
        <v>3</v>
      </c>
    </row>
    <row r="505" spans="1:13" x14ac:dyDescent="0.25">
      <c r="A505" s="2">
        <f t="shared" si="7"/>
        <v>497</v>
      </c>
      <c r="B505" s="2">
        <v>212197</v>
      </c>
      <c r="C505" t="s">
        <v>901</v>
      </c>
      <c r="D505" t="s">
        <v>902</v>
      </c>
      <c r="E505" t="s">
        <v>23</v>
      </c>
      <c r="F505" t="s">
        <v>6</v>
      </c>
      <c r="G505" s="4">
        <v>1588</v>
      </c>
      <c r="H505" s="4">
        <v>81619.611000000004</v>
      </c>
      <c r="I505" s="4">
        <v>83796.997000000003</v>
      </c>
      <c r="J505" s="1">
        <v>-2.5984057638724214</v>
      </c>
      <c r="K505" s="3">
        <v>51397.739924433248</v>
      </c>
      <c r="L505" s="2">
        <v>2</v>
      </c>
      <c r="M505" s="2">
        <v>2</v>
      </c>
    </row>
    <row r="506" spans="1:13" x14ac:dyDescent="0.25">
      <c r="A506" s="2">
        <f t="shared" si="7"/>
        <v>498</v>
      </c>
      <c r="B506" s="2">
        <v>211088</v>
      </c>
      <c r="C506" t="s">
        <v>903</v>
      </c>
      <c r="D506" t="s">
        <v>904</v>
      </c>
      <c r="E506" t="s">
        <v>23</v>
      </c>
      <c r="F506" t="s">
        <v>6</v>
      </c>
      <c r="G506" s="4">
        <v>2773</v>
      </c>
      <c r="H506" s="4">
        <v>81501</v>
      </c>
      <c r="I506" s="4">
        <v>82645</v>
      </c>
      <c r="J506" s="1">
        <v>-1.3842337709480308</v>
      </c>
      <c r="K506" s="3">
        <v>29390.912369275153</v>
      </c>
      <c r="L506" s="2">
        <v>2</v>
      </c>
      <c r="M506" s="2">
        <v>3</v>
      </c>
    </row>
    <row r="507" spans="1:13" x14ac:dyDescent="0.25">
      <c r="A507" s="2">
        <f t="shared" si="7"/>
        <v>499</v>
      </c>
      <c r="B507" s="2">
        <v>153162</v>
      </c>
      <c r="C507" t="s">
        <v>905</v>
      </c>
      <c r="D507" t="s">
        <v>906</v>
      </c>
      <c r="E507" t="s">
        <v>123</v>
      </c>
      <c r="F507" t="s">
        <v>6</v>
      </c>
      <c r="G507" s="4">
        <v>1015</v>
      </c>
      <c r="H507" s="4">
        <v>81135.184999999998</v>
      </c>
      <c r="I507" s="4">
        <v>76288.111000000004</v>
      </c>
      <c r="J507" s="1">
        <v>6.3536427058732654</v>
      </c>
      <c r="K507" s="3">
        <v>79936.142857142855</v>
      </c>
      <c r="L507" s="2">
        <v>2</v>
      </c>
      <c r="M507" s="2">
        <v>2</v>
      </c>
    </row>
    <row r="508" spans="1:13" x14ac:dyDescent="0.25">
      <c r="A508" s="2">
        <f t="shared" si="7"/>
        <v>500</v>
      </c>
      <c r="B508" s="2">
        <v>185590</v>
      </c>
      <c r="C508" t="s">
        <v>907</v>
      </c>
      <c r="D508" t="s">
        <v>908</v>
      </c>
      <c r="E508" t="s">
        <v>19</v>
      </c>
      <c r="F508" t="s">
        <v>82</v>
      </c>
      <c r="G508" s="4">
        <v>22000</v>
      </c>
      <c r="H508" s="4">
        <v>81122.926000000007</v>
      </c>
      <c r="I508" s="4">
        <v>79490.256999999998</v>
      </c>
      <c r="J508" s="1">
        <v>2.0539234135323023</v>
      </c>
      <c r="K508" s="3">
        <v>3687.4057272727273</v>
      </c>
      <c r="L508" s="2">
        <v>2</v>
      </c>
      <c r="M508" s="2">
        <v>4</v>
      </c>
    </row>
    <row r="509" spans="1:13" x14ac:dyDescent="0.25">
      <c r="A509" s="2">
        <f t="shared" si="7"/>
        <v>501</v>
      </c>
      <c r="B509" s="2">
        <v>219976</v>
      </c>
      <c r="C509" t="s">
        <v>909</v>
      </c>
      <c r="D509" t="s">
        <v>55</v>
      </c>
      <c r="E509" t="s">
        <v>56</v>
      </c>
      <c r="F509" t="s">
        <v>6</v>
      </c>
      <c r="G509" s="4">
        <v>4338</v>
      </c>
      <c r="H509" s="4">
        <v>81026.486000000004</v>
      </c>
      <c r="I509" s="4">
        <v>84429.792000000001</v>
      </c>
      <c r="J509" s="1">
        <v>-4.0309302195130359</v>
      </c>
      <c r="K509" s="3">
        <v>18678.304748732135</v>
      </c>
      <c r="L509" s="2">
        <v>2</v>
      </c>
      <c r="M509" s="2">
        <v>4</v>
      </c>
    </row>
    <row r="510" spans="1:13" x14ac:dyDescent="0.25">
      <c r="A510" s="2">
        <f t="shared" si="7"/>
        <v>502</v>
      </c>
      <c r="B510" s="2">
        <v>240268</v>
      </c>
      <c r="C510" t="s">
        <v>910</v>
      </c>
      <c r="D510" t="s">
        <v>911</v>
      </c>
      <c r="E510" t="s">
        <v>81</v>
      </c>
      <c r="F510" t="s">
        <v>82</v>
      </c>
      <c r="G510" s="4">
        <v>10507</v>
      </c>
      <c r="H510" s="4">
        <v>80462.23</v>
      </c>
      <c r="I510" s="4">
        <v>81094.364000000001</v>
      </c>
      <c r="J510" s="1">
        <v>-0.77950423287122639</v>
      </c>
      <c r="K510" s="3">
        <v>7657.9642143333012</v>
      </c>
      <c r="L510" s="2">
        <v>2</v>
      </c>
      <c r="M510" s="2">
        <v>3</v>
      </c>
    </row>
    <row r="511" spans="1:13" x14ac:dyDescent="0.25">
      <c r="A511" s="2">
        <f t="shared" si="7"/>
        <v>503</v>
      </c>
      <c r="B511" s="2">
        <v>217518</v>
      </c>
      <c r="C511" t="s">
        <v>912</v>
      </c>
      <c r="D511" t="s">
        <v>913</v>
      </c>
      <c r="E511" t="s">
        <v>72</v>
      </c>
      <c r="F511" t="s">
        <v>6</v>
      </c>
      <c r="G511" s="4">
        <v>4901</v>
      </c>
      <c r="H511" s="4">
        <v>80439.358999999997</v>
      </c>
      <c r="I511" s="4">
        <v>86048.572</v>
      </c>
      <c r="J511" s="1">
        <v>-6.5186590196987817</v>
      </c>
      <c r="K511" s="3">
        <v>16412.846153846152</v>
      </c>
      <c r="L511" s="2">
        <v>2</v>
      </c>
      <c r="M511" s="2">
        <v>3</v>
      </c>
    </row>
    <row r="512" spans="1:13" x14ac:dyDescent="0.25">
      <c r="A512" s="2">
        <f t="shared" si="7"/>
        <v>504</v>
      </c>
      <c r="B512" s="2">
        <v>213367</v>
      </c>
      <c r="C512" t="s">
        <v>914</v>
      </c>
      <c r="D512" t="s">
        <v>22</v>
      </c>
      <c r="E512" t="s">
        <v>23</v>
      </c>
      <c r="F512" t="s">
        <v>6</v>
      </c>
      <c r="G512" s="4">
        <v>4193.5</v>
      </c>
      <c r="H512" s="4">
        <v>80002.231</v>
      </c>
      <c r="I512" s="4">
        <v>80311.293000000005</v>
      </c>
      <c r="J512" s="1">
        <v>-0.38483006368730732</v>
      </c>
      <c r="K512" s="3">
        <v>19077.675211637059</v>
      </c>
      <c r="L512" s="2">
        <v>2</v>
      </c>
      <c r="M512" s="2">
        <v>3</v>
      </c>
    </row>
    <row r="513" spans="1:13" x14ac:dyDescent="0.25">
      <c r="A513" s="2">
        <f t="shared" si="7"/>
        <v>505</v>
      </c>
      <c r="B513" s="2">
        <v>167899</v>
      </c>
      <c r="C513" t="s">
        <v>915</v>
      </c>
      <c r="D513" t="s">
        <v>851</v>
      </c>
      <c r="E513" t="s">
        <v>5</v>
      </c>
      <c r="F513" t="s">
        <v>6</v>
      </c>
      <c r="G513" s="4">
        <v>3910</v>
      </c>
      <c r="H513" s="4">
        <v>79639.322</v>
      </c>
      <c r="I513" s="4">
        <v>77931.986999999994</v>
      </c>
      <c r="J513" s="1">
        <v>2.1908013201305905</v>
      </c>
      <c r="K513" s="3">
        <v>20368.113043478261</v>
      </c>
      <c r="L513" s="2">
        <v>2</v>
      </c>
      <c r="M513" s="2">
        <v>3</v>
      </c>
    </row>
    <row r="514" spans="1:13" x14ac:dyDescent="0.25">
      <c r="A514" s="2">
        <f t="shared" si="7"/>
        <v>506</v>
      </c>
      <c r="B514" s="2">
        <v>153108</v>
      </c>
      <c r="C514" t="s">
        <v>916</v>
      </c>
      <c r="D514" t="s">
        <v>917</v>
      </c>
      <c r="E514" t="s">
        <v>123</v>
      </c>
      <c r="F514" t="s">
        <v>6</v>
      </c>
      <c r="G514" s="4">
        <v>1133</v>
      </c>
      <c r="H514" s="4">
        <v>79516.489000000001</v>
      </c>
      <c r="I514" s="4">
        <v>79746.592999999993</v>
      </c>
      <c r="J514" s="1">
        <v>-0.28854398833063627</v>
      </c>
      <c r="K514" s="3">
        <v>70182.249779346865</v>
      </c>
      <c r="L514" s="2">
        <v>2</v>
      </c>
      <c r="M514" s="2">
        <v>2</v>
      </c>
    </row>
    <row r="515" spans="1:13" x14ac:dyDescent="0.25">
      <c r="A515" s="2">
        <f t="shared" si="7"/>
        <v>507</v>
      </c>
      <c r="B515" s="2">
        <v>228981</v>
      </c>
      <c r="C515" t="s">
        <v>918</v>
      </c>
      <c r="D515" t="s">
        <v>919</v>
      </c>
      <c r="E515" t="s">
        <v>9</v>
      </c>
      <c r="F515" t="s">
        <v>6</v>
      </c>
      <c r="G515" s="4">
        <v>1430</v>
      </c>
      <c r="H515" s="4">
        <v>79346.94</v>
      </c>
      <c r="I515" s="4">
        <v>80917.63</v>
      </c>
      <c r="J515" s="1">
        <v>-1.9410973850815947</v>
      </c>
      <c r="K515" s="3">
        <v>55487.370629370627</v>
      </c>
      <c r="L515" s="2">
        <v>2</v>
      </c>
      <c r="M515" s="2">
        <v>2</v>
      </c>
    </row>
    <row r="516" spans="1:13" x14ac:dyDescent="0.25">
      <c r="A516" s="2">
        <f t="shared" si="7"/>
        <v>508</v>
      </c>
      <c r="B516" s="2">
        <v>134079</v>
      </c>
      <c r="C516" t="s">
        <v>920</v>
      </c>
      <c r="D516" t="s">
        <v>921</v>
      </c>
      <c r="E516" t="s">
        <v>141</v>
      </c>
      <c r="F516" t="s">
        <v>6</v>
      </c>
      <c r="G516" s="4">
        <v>3173</v>
      </c>
      <c r="H516" s="4">
        <v>79106.399999999994</v>
      </c>
      <c r="I516" s="4">
        <v>79135.857000000004</v>
      </c>
      <c r="J516" s="1">
        <v>-3.7223328484330437E-2</v>
      </c>
      <c r="K516" s="3">
        <v>24931.10620863536</v>
      </c>
      <c r="L516" s="2">
        <v>2</v>
      </c>
      <c r="M516" s="2">
        <v>3</v>
      </c>
    </row>
    <row r="517" spans="1:13" x14ac:dyDescent="0.25">
      <c r="A517" s="2">
        <f t="shared" si="7"/>
        <v>509</v>
      </c>
      <c r="B517" s="2">
        <v>155025</v>
      </c>
      <c r="C517" t="s">
        <v>922</v>
      </c>
      <c r="D517" t="s">
        <v>923</v>
      </c>
      <c r="E517" t="s">
        <v>144</v>
      </c>
      <c r="F517" t="s">
        <v>82</v>
      </c>
      <c r="G517" s="4">
        <v>4298</v>
      </c>
      <c r="H517" s="4">
        <v>79028.760999999999</v>
      </c>
      <c r="I517" s="4">
        <v>79116.123000000007</v>
      </c>
      <c r="J517" s="1">
        <v>-0.11042249883756311</v>
      </c>
      <c r="K517" s="3">
        <v>18387.333876221499</v>
      </c>
      <c r="L517" s="2">
        <v>2</v>
      </c>
      <c r="M517" s="2">
        <v>3</v>
      </c>
    </row>
    <row r="518" spans="1:13" x14ac:dyDescent="0.25">
      <c r="A518" s="2">
        <f t="shared" si="7"/>
        <v>510</v>
      </c>
      <c r="B518" s="2">
        <v>230807</v>
      </c>
      <c r="C518" t="s">
        <v>924</v>
      </c>
      <c r="D518" t="s">
        <v>236</v>
      </c>
      <c r="E518" t="s">
        <v>237</v>
      </c>
      <c r="F518" t="s">
        <v>6</v>
      </c>
      <c r="G518" s="4">
        <v>2061</v>
      </c>
      <c r="H518" s="4">
        <v>78986.406000000003</v>
      </c>
      <c r="I518" s="4">
        <v>84349.490999999995</v>
      </c>
      <c r="J518" s="1">
        <v>-6.358171147707341</v>
      </c>
      <c r="K518" s="3">
        <v>38324.311499272197</v>
      </c>
      <c r="L518" s="2">
        <v>2</v>
      </c>
      <c r="M518" s="2">
        <v>3</v>
      </c>
    </row>
    <row r="519" spans="1:13" x14ac:dyDescent="0.25">
      <c r="A519" s="2">
        <f t="shared" si="7"/>
        <v>511</v>
      </c>
      <c r="B519" s="2">
        <v>176284</v>
      </c>
      <c r="C519" t="s">
        <v>925</v>
      </c>
      <c r="D519" t="s">
        <v>926</v>
      </c>
      <c r="E519" t="s">
        <v>340</v>
      </c>
      <c r="F519" t="s">
        <v>6</v>
      </c>
      <c r="G519" s="4">
        <v>565</v>
      </c>
      <c r="H519" s="4">
        <v>78630.846999999994</v>
      </c>
      <c r="I519" s="4">
        <v>80429.623999999996</v>
      </c>
      <c r="J519" s="1">
        <v>-2.2364607846482039</v>
      </c>
      <c r="K519" s="3">
        <v>139169.6407079646</v>
      </c>
      <c r="L519" s="24" t="s">
        <v>1275</v>
      </c>
      <c r="M519" s="2">
        <v>0</v>
      </c>
    </row>
    <row r="520" spans="1:13" x14ac:dyDescent="0.25">
      <c r="A520" s="2">
        <f t="shared" si="7"/>
        <v>512</v>
      </c>
      <c r="B520" s="2">
        <v>231059</v>
      </c>
      <c r="C520" t="s">
        <v>927</v>
      </c>
      <c r="D520" t="s">
        <v>928</v>
      </c>
      <c r="E520" t="s">
        <v>225</v>
      </c>
      <c r="F520" t="s">
        <v>6</v>
      </c>
      <c r="G520" s="4">
        <v>1720</v>
      </c>
      <c r="H520" s="4">
        <v>77654.938999999998</v>
      </c>
      <c r="I520" s="4">
        <v>89060.683000000005</v>
      </c>
      <c r="J520" s="1">
        <v>-12.806710678380941</v>
      </c>
      <c r="K520" s="3">
        <v>45148.220348837211</v>
      </c>
      <c r="L520" s="2">
        <v>2</v>
      </c>
      <c r="M520" s="2">
        <v>2</v>
      </c>
    </row>
    <row r="521" spans="1:13" x14ac:dyDescent="0.25">
      <c r="A521" s="2">
        <f t="shared" ref="A521:A584" si="8">RANK(H521,H$9:H$725,0)</f>
        <v>513</v>
      </c>
      <c r="B521" s="2">
        <v>196060</v>
      </c>
      <c r="C521" t="s">
        <v>929</v>
      </c>
      <c r="D521" t="s">
        <v>930</v>
      </c>
      <c r="E521" t="s">
        <v>34</v>
      </c>
      <c r="F521" t="s">
        <v>10</v>
      </c>
      <c r="G521" s="23" t="s">
        <v>1275</v>
      </c>
      <c r="H521" s="4">
        <v>77649.960999999996</v>
      </c>
      <c r="I521" s="4">
        <v>75126.460999999996</v>
      </c>
      <c r="J521" s="1">
        <v>3.3590028951317166</v>
      </c>
      <c r="K521" s="24" t="s">
        <v>1275</v>
      </c>
      <c r="L521" s="2">
        <v>2</v>
      </c>
      <c r="M521" s="2">
        <v>4</v>
      </c>
    </row>
    <row r="522" spans="1:13" x14ac:dyDescent="0.25">
      <c r="A522" s="2">
        <f t="shared" si="8"/>
        <v>514</v>
      </c>
      <c r="B522" s="2">
        <v>217961</v>
      </c>
      <c r="C522" t="s">
        <v>931</v>
      </c>
      <c r="D522" t="s">
        <v>607</v>
      </c>
      <c r="E522" t="s">
        <v>305</v>
      </c>
      <c r="F522" t="s">
        <v>6</v>
      </c>
      <c r="G522" s="4">
        <v>1044</v>
      </c>
      <c r="H522" s="4">
        <v>77529.115000000005</v>
      </c>
      <c r="I522" s="4">
        <v>78372.081999999995</v>
      </c>
      <c r="J522" s="1">
        <v>-1.075596026656533</v>
      </c>
      <c r="K522" s="3">
        <v>74261.604406130267</v>
      </c>
      <c r="L522" s="2">
        <v>2</v>
      </c>
      <c r="M522" s="2">
        <v>3</v>
      </c>
    </row>
    <row r="523" spans="1:13" x14ac:dyDescent="0.25">
      <c r="A523" s="2">
        <f t="shared" si="8"/>
        <v>515</v>
      </c>
      <c r="B523" s="26" t="s">
        <v>1275</v>
      </c>
      <c r="C523" t="s">
        <v>932</v>
      </c>
      <c r="D523" t="s">
        <v>933</v>
      </c>
      <c r="E523" t="s">
        <v>16</v>
      </c>
      <c r="F523" t="s">
        <v>82</v>
      </c>
      <c r="G523" s="23" t="s">
        <v>1275</v>
      </c>
      <c r="H523" s="4">
        <v>77199.235000000001</v>
      </c>
      <c r="I523" s="4">
        <v>77307.58</v>
      </c>
      <c r="J523" s="1">
        <v>-0.14014796479206826</v>
      </c>
      <c r="K523" s="24" t="s">
        <v>1275</v>
      </c>
      <c r="L523" s="24" t="s">
        <v>1275</v>
      </c>
      <c r="M523" s="2">
        <v>0</v>
      </c>
    </row>
    <row r="524" spans="1:13" x14ac:dyDescent="0.25">
      <c r="A524" s="2">
        <f t="shared" si="8"/>
        <v>516</v>
      </c>
      <c r="B524" s="2">
        <v>204264</v>
      </c>
      <c r="C524" t="s">
        <v>934</v>
      </c>
      <c r="D524" t="s">
        <v>935</v>
      </c>
      <c r="E524" t="s">
        <v>69</v>
      </c>
      <c r="F524" t="s">
        <v>6</v>
      </c>
      <c r="G524" s="4">
        <v>1838</v>
      </c>
      <c r="H524" s="4">
        <v>76970.534</v>
      </c>
      <c r="I524" s="4">
        <v>79460.895000000004</v>
      </c>
      <c r="J524" s="1">
        <v>-3.1340711679625559</v>
      </c>
      <c r="K524" s="3">
        <v>41877.330794341673</v>
      </c>
      <c r="L524" s="2">
        <v>2</v>
      </c>
      <c r="M524" s="2">
        <v>3</v>
      </c>
    </row>
    <row r="525" spans="1:13" x14ac:dyDescent="0.25">
      <c r="A525" s="2">
        <f t="shared" si="8"/>
        <v>517</v>
      </c>
      <c r="B525" s="2">
        <v>147703</v>
      </c>
      <c r="C525" t="s">
        <v>936</v>
      </c>
      <c r="D525" t="s">
        <v>937</v>
      </c>
      <c r="E525" t="s">
        <v>37</v>
      </c>
      <c r="F525" t="s">
        <v>82</v>
      </c>
      <c r="G525" s="4">
        <v>13779</v>
      </c>
      <c r="H525" s="4">
        <v>76496.206000000006</v>
      </c>
      <c r="I525" s="4">
        <v>80064.853000000003</v>
      </c>
      <c r="J525" s="1">
        <v>-4.4571954687782922</v>
      </c>
      <c r="K525" s="3">
        <v>5551.6514986573775</v>
      </c>
      <c r="L525" s="2">
        <v>2</v>
      </c>
      <c r="M525" s="2">
        <v>4</v>
      </c>
    </row>
    <row r="526" spans="1:13" x14ac:dyDescent="0.25">
      <c r="A526" s="2">
        <f t="shared" si="8"/>
        <v>518</v>
      </c>
      <c r="B526" s="2">
        <v>147679</v>
      </c>
      <c r="C526" t="s">
        <v>938</v>
      </c>
      <c r="D526" t="s">
        <v>45</v>
      </c>
      <c r="E526" t="s">
        <v>37</v>
      </c>
      <c r="F526" t="s">
        <v>6</v>
      </c>
      <c r="G526" s="4">
        <v>2310</v>
      </c>
      <c r="H526" s="4">
        <v>76326.517999999996</v>
      </c>
      <c r="I526" s="4">
        <v>79526.773000000001</v>
      </c>
      <c r="J526" s="1">
        <v>-4.0241227944707374</v>
      </c>
      <c r="K526" s="3">
        <v>33041.782683982681</v>
      </c>
      <c r="L526" s="2">
        <v>2</v>
      </c>
      <c r="M526" s="2">
        <v>3</v>
      </c>
    </row>
    <row r="527" spans="1:13" x14ac:dyDescent="0.25">
      <c r="A527" s="2">
        <f t="shared" si="8"/>
        <v>519</v>
      </c>
      <c r="B527" s="2">
        <v>198695</v>
      </c>
      <c r="C527" t="s">
        <v>939</v>
      </c>
      <c r="D527" t="s">
        <v>940</v>
      </c>
      <c r="E527" t="s">
        <v>40</v>
      </c>
      <c r="F527" t="s">
        <v>6</v>
      </c>
      <c r="G527" s="4">
        <v>5279</v>
      </c>
      <c r="H527" s="4">
        <v>76158.039000000004</v>
      </c>
      <c r="I527" s="4">
        <v>64776.805</v>
      </c>
      <c r="J527" s="1">
        <v>17.569921826184544</v>
      </c>
      <c r="K527" s="3">
        <v>14426.603333964766</v>
      </c>
      <c r="L527" s="2">
        <v>2</v>
      </c>
      <c r="M527" s="2">
        <v>2</v>
      </c>
    </row>
    <row r="528" spans="1:13" x14ac:dyDescent="0.25">
      <c r="A528" s="2">
        <f t="shared" si="8"/>
        <v>520</v>
      </c>
      <c r="B528" s="2">
        <v>159939</v>
      </c>
      <c r="C528" t="s">
        <v>941</v>
      </c>
      <c r="D528" t="s">
        <v>173</v>
      </c>
      <c r="E528" t="s">
        <v>174</v>
      </c>
      <c r="F528" t="s">
        <v>82</v>
      </c>
      <c r="G528" s="23" t="s">
        <v>1275</v>
      </c>
      <c r="H528" s="4">
        <v>74654.316999999995</v>
      </c>
      <c r="I528" s="4">
        <v>74206.346999999994</v>
      </c>
      <c r="J528" s="1">
        <v>0.6036815152752365</v>
      </c>
      <c r="K528" s="24" t="s">
        <v>1275</v>
      </c>
      <c r="L528" s="2">
        <v>2</v>
      </c>
      <c r="M528" s="2">
        <v>4</v>
      </c>
    </row>
    <row r="529" spans="1:13" x14ac:dyDescent="0.25">
      <c r="A529" s="2">
        <f t="shared" si="8"/>
        <v>521</v>
      </c>
      <c r="B529" s="2">
        <v>138354</v>
      </c>
      <c r="C529" t="s">
        <v>942</v>
      </c>
      <c r="D529" t="s">
        <v>943</v>
      </c>
      <c r="E529" t="s">
        <v>141</v>
      </c>
      <c r="F529" t="s">
        <v>10</v>
      </c>
      <c r="G529" s="4">
        <v>8883</v>
      </c>
      <c r="H529" s="4">
        <v>74635.062000000005</v>
      </c>
      <c r="I529" s="4">
        <v>76399.307000000001</v>
      </c>
      <c r="J529" s="1">
        <v>-2.309242150586523</v>
      </c>
      <c r="K529" s="3">
        <v>8402.0108071597442</v>
      </c>
      <c r="L529" s="2">
        <v>2</v>
      </c>
      <c r="M529" s="2">
        <v>3</v>
      </c>
    </row>
    <row r="530" spans="1:13" x14ac:dyDescent="0.25">
      <c r="A530" s="2">
        <f t="shared" si="8"/>
        <v>522</v>
      </c>
      <c r="B530" s="2">
        <v>155681</v>
      </c>
      <c r="C530" t="s">
        <v>944</v>
      </c>
      <c r="D530" t="s">
        <v>945</v>
      </c>
      <c r="E530" t="s">
        <v>144</v>
      </c>
      <c r="F530" t="s">
        <v>82</v>
      </c>
      <c r="G530" s="4">
        <v>5844</v>
      </c>
      <c r="H530" s="4">
        <v>74602.062000000005</v>
      </c>
      <c r="I530" s="4">
        <v>76527.615000000005</v>
      </c>
      <c r="J530" s="1">
        <v>-2.5161544626733763</v>
      </c>
      <c r="K530" s="3">
        <v>12765.582135523615</v>
      </c>
      <c r="L530" s="2">
        <v>2</v>
      </c>
      <c r="M530" s="2">
        <v>3</v>
      </c>
    </row>
    <row r="531" spans="1:13" x14ac:dyDescent="0.25">
      <c r="A531" s="2">
        <f t="shared" si="8"/>
        <v>523</v>
      </c>
      <c r="B531" s="2">
        <v>221847</v>
      </c>
      <c r="C531" t="s">
        <v>946</v>
      </c>
      <c r="D531" t="s">
        <v>947</v>
      </c>
      <c r="E531" t="s">
        <v>56</v>
      </c>
      <c r="F531" t="s">
        <v>10</v>
      </c>
      <c r="G531" s="4">
        <v>8724</v>
      </c>
      <c r="H531" s="4">
        <v>74110.218999999997</v>
      </c>
      <c r="I531" s="4">
        <v>71287.38</v>
      </c>
      <c r="J531" s="1">
        <v>3.9598018611428838</v>
      </c>
      <c r="K531" s="3">
        <v>8494.9815451627692</v>
      </c>
      <c r="L531" s="2">
        <v>2</v>
      </c>
      <c r="M531" s="2">
        <v>4</v>
      </c>
    </row>
    <row r="532" spans="1:13" x14ac:dyDescent="0.25">
      <c r="A532" s="2">
        <f t="shared" si="8"/>
        <v>524</v>
      </c>
      <c r="B532" s="2">
        <v>199102</v>
      </c>
      <c r="C532" t="s">
        <v>948</v>
      </c>
      <c r="D532" t="s">
        <v>497</v>
      </c>
      <c r="E532" t="s">
        <v>40</v>
      </c>
      <c r="F532" t="s">
        <v>10</v>
      </c>
      <c r="G532" s="4">
        <v>11438</v>
      </c>
      <c r="H532" s="4">
        <v>73809.085999999996</v>
      </c>
      <c r="I532" s="4">
        <v>68458.831000000006</v>
      </c>
      <c r="J532" s="1">
        <v>7.8152882861818078</v>
      </c>
      <c r="K532" s="3">
        <v>6452.9713236579819</v>
      </c>
      <c r="L532" s="2">
        <v>1</v>
      </c>
      <c r="M532" s="2">
        <v>4</v>
      </c>
    </row>
    <row r="533" spans="1:13" x14ac:dyDescent="0.25">
      <c r="A533" s="2">
        <f t="shared" si="8"/>
        <v>525</v>
      </c>
      <c r="B533" s="2">
        <v>238458</v>
      </c>
      <c r="C533" t="s">
        <v>949</v>
      </c>
      <c r="D533" t="s">
        <v>950</v>
      </c>
      <c r="E533" t="s">
        <v>81</v>
      </c>
      <c r="F533" t="s">
        <v>6</v>
      </c>
      <c r="G533" s="4">
        <v>3336</v>
      </c>
      <c r="H533" s="4">
        <v>73553.801000000007</v>
      </c>
      <c r="I533" s="4">
        <v>71164.498000000007</v>
      </c>
      <c r="J533" s="1">
        <v>3.3574367376272369</v>
      </c>
      <c r="K533" s="3">
        <v>22048.501498800961</v>
      </c>
      <c r="L533" s="2">
        <v>2</v>
      </c>
      <c r="M533" s="2">
        <v>3</v>
      </c>
    </row>
    <row r="534" spans="1:13" x14ac:dyDescent="0.25">
      <c r="A534" s="2">
        <f t="shared" si="8"/>
        <v>526</v>
      </c>
      <c r="B534" s="2">
        <v>198613</v>
      </c>
      <c r="C534" t="s">
        <v>951</v>
      </c>
      <c r="D534" t="s">
        <v>497</v>
      </c>
      <c r="E534" t="s">
        <v>40</v>
      </c>
      <c r="F534" t="s">
        <v>6</v>
      </c>
      <c r="G534" s="4">
        <v>1464</v>
      </c>
      <c r="H534" s="4">
        <v>72967.754000000001</v>
      </c>
      <c r="I534" s="4">
        <v>78308.255000000005</v>
      </c>
      <c r="J534" s="1">
        <v>-6.8198442169347286</v>
      </c>
      <c r="K534" s="3">
        <v>49841.362021857924</v>
      </c>
      <c r="L534" s="2">
        <v>2</v>
      </c>
      <c r="M534" s="2">
        <v>2</v>
      </c>
    </row>
    <row r="535" spans="1:13" x14ac:dyDescent="0.25">
      <c r="A535" s="2">
        <f t="shared" si="8"/>
        <v>527</v>
      </c>
      <c r="B535" s="2">
        <v>138187</v>
      </c>
      <c r="C535" t="s">
        <v>952</v>
      </c>
      <c r="D535" t="s">
        <v>683</v>
      </c>
      <c r="E535" t="s">
        <v>141</v>
      </c>
      <c r="F535" t="s">
        <v>82</v>
      </c>
      <c r="G535" s="4">
        <v>27106</v>
      </c>
      <c r="H535" s="4">
        <v>72483.615999999995</v>
      </c>
      <c r="I535" s="4">
        <v>74854.796000000002</v>
      </c>
      <c r="J535" s="1">
        <v>-3.1677061814449403</v>
      </c>
      <c r="K535" s="3">
        <v>2674.0801298605475</v>
      </c>
      <c r="L535" s="2">
        <v>2</v>
      </c>
      <c r="M535" s="2">
        <v>1</v>
      </c>
    </row>
    <row r="536" spans="1:13" x14ac:dyDescent="0.25">
      <c r="A536" s="2">
        <f t="shared" si="8"/>
        <v>528</v>
      </c>
      <c r="B536" s="2">
        <v>232566</v>
      </c>
      <c r="C536" t="s">
        <v>953</v>
      </c>
      <c r="D536" t="s">
        <v>954</v>
      </c>
      <c r="E536" t="s">
        <v>51</v>
      </c>
      <c r="F536" t="s">
        <v>82</v>
      </c>
      <c r="G536" s="4">
        <v>4267</v>
      </c>
      <c r="H536" s="4">
        <v>72387.701000000001</v>
      </c>
      <c r="I536" s="4">
        <v>73309.266000000003</v>
      </c>
      <c r="J536" s="1">
        <v>-1.2570921116574814</v>
      </c>
      <c r="K536" s="3">
        <v>16964.542067026014</v>
      </c>
      <c r="L536" s="2">
        <v>2</v>
      </c>
      <c r="M536" s="2">
        <v>3</v>
      </c>
    </row>
    <row r="537" spans="1:13" x14ac:dyDescent="0.25">
      <c r="A537" s="2">
        <f t="shared" si="8"/>
        <v>529</v>
      </c>
      <c r="B537" s="2">
        <v>169716</v>
      </c>
      <c r="C537" t="s">
        <v>955</v>
      </c>
      <c r="D537" t="s">
        <v>429</v>
      </c>
      <c r="E537" t="s">
        <v>27</v>
      </c>
      <c r="F537" t="s">
        <v>6</v>
      </c>
      <c r="G537" s="4">
        <v>4449</v>
      </c>
      <c r="H537" s="4">
        <v>71967</v>
      </c>
      <c r="I537" s="4">
        <v>69300</v>
      </c>
      <c r="J537" s="1">
        <v>3.8484848484848482</v>
      </c>
      <c r="K537" s="3">
        <v>16175.994605529333</v>
      </c>
      <c r="L537" s="2">
        <v>2</v>
      </c>
      <c r="M537" s="2">
        <v>4</v>
      </c>
    </row>
    <row r="538" spans="1:13" x14ac:dyDescent="0.25">
      <c r="A538" s="2">
        <f t="shared" si="8"/>
        <v>530</v>
      </c>
      <c r="B538" s="2">
        <v>195164</v>
      </c>
      <c r="C538" t="s">
        <v>956</v>
      </c>
      <c r="D538" t="s">
        <v>957</v>
      </c>
      <c r="E538" t="s">
        <v>34</v>
      </c>
      <c r="F538" t="s">
        <v>6</v>
      </c>
      <c r="G538" s="4">
        <v>2201</v>
      </c>
      <c r="H538" s="4">
        <v>71888.611000000004</v>
      </c>
      <c r="I538" s="4">
        <v>74401.824999999997</v>
      </c>
      <c r="J538" s="1">
        <v>-3.3778929481904507</v>
      </c>
      <c r="K538" s="3">
        <v>32661.795093139481</v>
      </c>
      <c r="L538" s="2">
        <v>2</v>
      </c>
      <c r="M538" s="2">
        <v>3</v>
      </c>
    </row>
    <row r="539" spans="1:13" x14ac:dyDescent="0.25">
      <c r="A539" s="2">
        <f t="shared" si="8"/>
        <v>531</v>
      </c>
      <c r="B539" s="2">
        <v>127918</v>
      </c>
      <c r="C539" t="s">
        <v>958</v>
      </c>
      <c r="D539" t="s">
        <v>163</v>
      </c>
      <c r="E539" t="s">
        <v>164</v>
      </c>
      <c r="F539" t="s">
        <v>6</v>
      </c>
      <c r="G539" s="4">
        <v>5469</v>
      </c>
      <c r="H539" s="4">
        <v>71489.808000000005</v>
      </c>
      <c r="I539" s="4">
        <v>69772.661999999997</v>
      </c>
      <c r="J539" s="1">
        <v>2.4610584586840045</v>
      </c>
      <c r="K539" s="3">
        <v>13071.824465167307</v>
      </c>
      <c r="L539" s="2">
        <v>2</v>
      </c>
      <c r="M539" s="2">
        <v>4</v>
      </c>
    </row>
    <row r="540" spans="1:13" x14ac:dyDescent="0.25">
      <c r="A540" s="2">
        <f t="shared" si="8"/>
        <v>532</v>
      </c>
      <c r="B540" s="2">
        <v>209612</v>
      </c>
      <c r="C540" t="s">
        <v>959</v>
      </c>
      <c r="D540" t="s">
        <v>960</v>
      </c>
      <c r="E540" t="s">
        <v>271</v>
      </c>
      <c r="F540" t="s">
        <v>6</v>
      </c>
      <c r="G540" s="4">
        <v>3870</v>
      </c>
      <c r="H540" s="4">
        <v>71386.210000000006</v>
      </c>
      <c r="I540" s="4">
        <v>71233.551999999996</v>
      </c>
      <c r="J540" s="1">
        <v>0.21430631452998439</v>
      </c>
      <c r="K540" s="3">
        <v>18446.049095607235</v>
      </c>
      <c r="L540" s="2">
        <v>2</v>
      </c>
      <c r="M540" s="2">
        <v>4</v>
      </c>
    </row>
    <row r="541" spans="1:13" x14ac:dyDescent="0.25">
      <c r="A541" s="2">
        <f t="shared" si="8"/>
        <v>533</v>
      </c>
      <c r="B541" s="2">
        <v>213507</v>
      </c>
      <c r="C541" t="s">
        <v>961</v>
      </c>
      <c r="D541" t="s">
        <v>962</v>
      </c>
      <c r="E541" t="s">
        <v>23</v>
      </c>
      <c r="F541" t="s">
        <v>6</v>
      </c>
      <c r="G541" s="4">
        <v>1801</v>
      </c>
      <c r="H541" s="4">
        <v>70774.504000000001</v>
      </c>
      <c r="I541" s="4">
        <v>71832.366999999998</v>
      </c>
      <c r="J541" s="1">
        <v>-1.4726829202217435</v>
      </c>
      <c r="K541" s="3">
        <v>39297.337034980563</v>
      </c>
      <c r="L541" s="2">
        <v>2</v>
      </c>
      <c r="M541" s="2">
        <v>3</v>
      </c>
    </row>
    <row r="542" spans="1:13" x14ac:dyDescent="0.25">
      <c r="A542" s="2">
        <f t="shared" si="8"/>
        <v>534</v>
      </c>
      <c r="B542" s="2">
        <v>139366</v>
      </c>
      <c r="C542" t="s">
        <v>963</v>
      </c>
      <c r="D542" t="s">
        <v>68</v>
      </c>
      <c r="E542" t="s">
        <v>48</v>
      </c>
      <c r="F542" t="s">
        <v>82</v>
      </c>
      <c r="G542" s="23" t="s">
        <v>1275</v>
      </c>
      <c r="H542" s="4">
        <v>70690</v>
      </c>
      <c r="I542" s="4">
        <v>69502</v>
      </c>
      <c r="J542" s="1">
        <v>1.7093033294005928</v>
      </c>
      <c r="K542" s="24" t="s">
        <v>1275</v>
      </c>
      <c r="L542" s="2">
        <v>2</v>
      </c>
      <c r="M542" s="2">
        <v>3</v>
      </c>
    </row>
    <row r="543" spans="1:13" x14ac:dyDescent="0.25">
      <c r="A543" s="2">
        <f t="shared" si="8"/>
        <v>535</v>
      </c>
      <c r="B543" s="2">
        <v>132851</v>
      </c>
      <c r="C543" t="s">
        <v>964</v>
      </c>
      <c r="D543" t="s">
        <v>965</v>
      </c>
      <c r="E543" t="s">
        <v>141</v>
      </c>
      <c r="F543" t="s">
        <v>82</v>
      </c>
      <c r="G543" s="4">
        <v>7328</v>
      </c>
      <c r="H543" s="4">
        <v>70198.78</v>
      </c>
      <c r="I543" s="4">
        <v>72029.39</v>
      </c>
      <c r="J543" s="1">
        <v>-2.5414764723122047</v>
      </c>
      <c r="K543" s="3">
        <v>9579.5278384279482</v>
      </c>
      <c r="L543" s="2">
        <v>2</v>
      </c>
      <c r="M543" s="2">
        <v>2</v>
      </c>
    </row>
    <row r="544" spans="1:13" x14ac:dyDescent="0.25">
      <c r="A544" s="2">
        <f t="shared" si="8"/>
        <v>536</v>
      </c>
      <c r="B544" s="2">
        <v>151324</v>
      </c>
      <c r="C544" t="s">
        <v>966</v>
      </c>
      <c r="D544" t="s">
        <v>605</v>
      </c>
      <c r="E544" t="s">
        <v>31</v>
      </c>
      <c r="F544" t="s">
        <v>82</v>
      </c>
      <c r="G544" s="4">
        <v>10043.9</v>
      </c>
      <c r="H544" s="4">
        <v>70090.313999999998</v>
      </c>
      <c r="I544" s="4">
        <v>67714.255000000005</v>
      </c>
      <c r="J544" s="1">
        <v>3.5089494819074654</v>
      </c>
      <c r="K544" s="3">
        <v>6978.3962405041866</v>
      </c>
      <c r="L544" s="2">
        <v>2</v>
      </c>
      <c r="M544" s="2">
        <v>4</v>
      </c>
    </row>
    <row r="545" spans="1:13" x14ac:dyDescent="0.25">
      <c r="A545" s="2">
        <f t="shared" si="8"/>
        <v>537</v>
      </c>
      <c r="B545" s="2">
        <v>156620</v>
      </c>
      <c r="C545" t="s">
        <v>967</v>
      </c>
      <c r="D545" t="s">
        <v>107</v>
      </c>
      <c r="E545" t="s">
        <v>197</v>
      </c>
      <c r="F545" t="s">
        <v>82</v>
      </c>
      <c r="G545" s="4">
        <v>12040</v>
      </c>
      <c r="H545" s="4">
        <v>69765.157000000007</v>
      </c>
      <c r="I545" s="4">
        <v>69138.638000000006</v>
      </c>
      <c r="J545" s="1">
        <v>0.90617781623062932</v>
      </c>
      <c r="K545" s="3">
        <v>5794.4482558139534</v>
      </c>
      <c r="L545" s="2">
        <v>2</v>
      </c>
      <c r="M545" s="2">
        <v>3</v>
      </c>
    </row>
    <row r="546" spans="1:13" x14ac:dyDescent="0.25">
      <c r="A546" s="2">
        <f t="shared" si="8"/>
        <v>538</v>
      </c>
      <c r="B546" s="2">
        <v>210571</v>
      </c>
      <c r="C546" t="s">
        <v>968</v>
      </c>
      <c r="D546" t="s">
        <v>969</v>
      </c>
      <c r="E546" t="s">
        <v>23</v>
      </c>
      <c r="F546" t="s">
        <v>6</v>
      </c>
      <c r="G546" s="4">
        <v>1993</v>
      </c>
      <c r="H546" s="4">
        <v>69214</v>
      </c>
      <c r="I546" s="4">
        <v>77102.539999999994</v>
      </c>
      <c r="J546" s="1">
        <v>-10.23123233034865</v>
      </c>
      <c r="K546" s="3">
        <v>34728.549924736581</v>
      </c>
      <c r="L546" s="2">
        <v>2</v>
      </c>
      <c r="M546" s="2">
        <v>2</v>
      </c>
    </row>
    <row r="547" spans="1:13" x14ac:dyDescent="0.25">
      <c r="A547" s="2">
        <f t="shared" si="8"/>
        <v>539</v>
      </c>
      <c r="B547" s="2">
        <v>133711</v>
      </c>
      <c r="C547" t="s">
        <v>970</v>
      </c>
      <c r="D547" t="s">
        <v>971</v>
      </c>
      <c r="E547" t="s">
        <v>141</v>
      </c>
      <c r="F547" t="s">
        <v>6</v>
      </c>
      <c r="G547" s="4">
        <v>2848</v>
      </c>
      <c r="H547" s="4">
        <v>69008.781000000003</v>
      </c>
      <c r="I547" s="4">
        <v>69919.267999999996</v>
      </c>
      <c r="J547" s="1">
        <v>-1.3021975573314069</v>
      </c>
      <c r="K547" s="3">
        <v>24230.611306179777</v>
      </c>
      <c r="L547" s="2">
        <v>2</v>
      </c>
      <c r="M547" s="2">
        <v>2</v>
      </c>
    </row>
    <row r="548" spans="1:13" x14ac:dyDescent="0.25">
      <c r="A548" s="2">
        <f t="shared" si="8"/>
        <v>540</v>
      </c>
      <c r="B548" s="2">
        <v>193830</v>
      </c>
      <c r="C548" t="s">
        <v>972</v>
      </c>
      <c r="D548" t="s">
        <v>973</v>
      </c>
      <c r="E548" t="s">
        <v>34</v>
      </c>
      <c r="F548" t="s">
        <v>6</v>
      </c>
      <c r="G548" s="4">
        <v>1447</v>
      </c>
      <c r="H548" s="4">
        <v>68789.798999999999</v>
      </c>
      <c r="I548" s="4">
        <v>70675.872000000003</v>
      </c>
      <c r="J548" s="1">
        <v>-2.6686236004275972</v>
      </c>
      <c r="K548" s="3">
        <v>47539.598479612992</v>
      </c>
      <c r="L548" s="2">
        <v>2</v>
      </c>
      <c r="M548" s="2">
        <v>5</v>
      </c>
    </row>
    <row r="549" spans="1:13" x14ac:dyDescent="0.25">
      <c r="A549" s="2">
        <f t="shared" si="8"/>
        <v>541</v>
      </c>
      <c r="B549" s="2">
        <v>233541</v>
      </c>
      <c r="C549" t="s">
        <v>974</v>
      </c>
      <c r="D549" t="s">
        <v>975</v>
      </c>
      <c r="E549" t="s">
        <v>51</v>
      </c>
      <c r="F549" t="s">
        <v>6</v>
      </c>
      <c r="G549" s="4">
        <v>3248</v>
      </c>
      <c r="H549" s="4">
        <v>68391.845000000001</v>
      </c>
      <c r="I549" s="4">
        <v>68105.197</v>
      </c>
      <c r="J549" s="1">
        <v>0.42089005336846763</v>
      </c>
      <c r="K549" s="3">
        <v>21056.602524630543</v>
      </c>
      <c r="L549" s="2">
        <v>2</v>
      </c>
      <c r="M549" s="2">
        <v>4</v>
      </c>
    </row>
    <row r="550" spans="1:13" x14ac:dyDescent="0.25">
      <c r="A550" s="2">
        <f t="shared" si="8"/>
        <v>542</v>
      </c>
      <c r="B550" s="2">
        <v>193584</v>
      </c>
      <c r="C550" t="s">
        <v>976</v>
      </c>
      <c r="D550" t="s">
        <v>110</v>
      </c>
      <c r="E550" t="s">
        <v>34</v>
      </c>
      <c r="F550" t="s">
        <v>6</v>
      </c>
      <c r="G550" s="4">
        <v>2806</v>
      </c>
      <c r="H550" s="4">
        <v>68089.322</v>
      </c>
      <c r="I550" s="4">
        <v>71317.61</v>
      </c>
      <c r="J550" s="1">
        <v>-4.5266351466348915</v>
      </c>
      <c r="K550" s="3">
        <v>24265.617248752675</v>
      </c>
      <c r="L550" s="2">
        <v>2</v>
      </c>
      <c r="M550" s="2">
        <v>3</v>
      </c>
    </row>
    <row r="551" spans="1:13" x14ac:dyDescent="0.25">
      <c r="A551" s="2">
        <f t="shared" si="8"/>
        <v>543</v>
      </c>
      <c r="B551" s="2">
        <v>139931</v>
      </c>
      <c r="C551" t="s">
        <v>977</v>
      </c>
      <c r="D551" t="s">
        <v>978</v>
      </c>
      <c r="E551" t="s">
        <v>48</v>
      </c>
      <c r="F551" t="s">
        <v>82</v>
      </c>
      <c r="G551" s="4">
        <v>22361</v>
      </c>
      <c r="H551" s="4">
        <v>67120.491999999998</v>
      </c>
      <c r="I551" s="4">
        <v>56323.733999999997</v>
      </c>
      <c r="J551" s="1">
        <v>19.169109065105662</v>
      </c>
      <c r="K551" s="3">
        <v>3001.6766692008409</v>
      </c>
      <c r="L551" s="2">
        <v>2</v>
      </c>
      <c r="M551" s="2">
        <v>4</v>
      </c>
    </row>
    <row r="552" spans="1:13" x14ac:dyDescent="0.25">
      <c r="A552" s="2">
        <f t="shared" si="8"/>
        <v>544</v>
      </c>
      <c r="B552" s="2">
        <v>440031</v>
      </c>
      <c r="C552" t="s">
        <v>979</v>
      </c>
      <c r="D552" t="s">
        <v>115</v>
      </c>
      <c r="E552" t="s">
        <v>16</v>
      </c>
      <c r="F552" t="s">
        <v>6</v>
      </c>
      <c r="G552" s="4">
        <v>647</v>
      </c>
      <c r="H552" s="4">
        <v>67079.509999999995</v>
      </c>
      <c r="I552" s="4">
        <v>67477.149000000005</v>
      </c>
      <c r="J552" s="1">
        <v>-0.58929431058209047</v>
      </c>
      <c r="K552" s="3">
        <v>103677.75888717156</v>
      </c>
      <c r="L552" s="2">
        <v>2</v>
      </c>
      <c r="M552" s="2">
        <v>3</v>
      </c>
    </row>
    <row r="553" spans="1:13" x14ac:dyDescent="0.25">
      <c r="A553" s="2">
        <f t="shared" si="8"/>
        <v>545</v>
      </c>
      <c r="B553" s="2">
        <v>243665</v>
      </c>
      <c r="C553" t="s">
        <v>980</v>
      </c>
      <c r="D553" t="s">
        <v>981</v>
      </c>
      <c r="E553" t="s">
        <v>982</v>
      </c>
      <c r="F553" t="s">
        <v>6</v>
      </c>
      <c r="G553" s="4">
        <v>1181</v>
      </c>
      <c r="H553" s="4">
        <v>66893.934840000002</v>
      </c>
      <c r="I553" s="4">
        <v>71684.356</v>
      </c>
      <c r="J553" s="1">
        <v>-6.6826591285830848</v>
      </c>
      <c r="K553" s="3">
        <v>56641.773784928031</v>
      </c>
      <c r="L553" s="2">
        <v>1</v>
      </c>
      <c r="M553" s="2">
        <v>2</v>
      </c>
    </row>
    <row r="554" spans="1:13" x14ac:dyDescent="0.25">
      <c r="A554" s="2">
        <f t="shared" si="8"/>
        <v>546</v>
      </c>
      <c r="B554" s="2">
        <v>156286</v>
      </c>
      <c r="C554" t="s">
        <v>983</v>
      </c>
      <c r="D554" t="s">
        <v>324</v>
      </c>
      <c r="E554" t="s">
        <v>197</v>
      </c>
      <c r="F554" t="s">
        <v>6</v>
      </c>
      <c r="G554" s="4">
        <v>2958</v>
      </c>
      <c r="H554" s="4">
        <v>65588.104000000007</v>
      </c>
      <c r="I554" s="4">
        <v>66331.270999999993</v>
      </c>
      <c r="J554" s="1">
        <v>-1.120387094648013</v>
      </c>
      <c r="K554" s="3">
        <v>22173.125084516567</v>
      </c>
      <c r="L554" s="2">
        <v>2</v>
      </c>
      <c r="M554" s="2">
        <v>4</v>
      </c>
    </row>
    <row r="555" spans="1:13" x14ac:dyDescent="0.25">
      <c r="A555" s="2">
        <f t="shared" si="8"/>
        <v>547</v>
      </c>
      <c r="B555" s="2">
        <v>234933</v>
      </c>
      <c r="C555" t="s">
        <v>984</v>
      </c>
      <c r="D555" t="s">
        <v>203</v>
      </c>
      <c r="E555" t="s">
        <v>85</v>
      </c>
      <c r="F555" t="s">
        <v>82</v>
      </c>
      <c r="G555" s="4">
        <v>7473</v>
      </c>
      <c r="H555" s="4">
        <v>64630.667000000001</v>
      </c>
      <c r="I555" s="4">
        <v>68107.523000000001</v>
      </c>
      <c r="J555" s="1">
        <v>-5.1049514750374936</v>
      </c>
      <c r="K555" s="3">
        <v>8648.5570721263211</v>
      </c>
      <c r="L555" s="2">
        <v>2</v>
      </c>
      <c r="M555" s="2">
        <v>1</v>
      </c>
    </row>
    <row r="556" spans="1:13" x14ac:dyDescent="0.25">
      <c r="A556" s="2">
        <f t="shared" si="8"/>
        <v>548</v>
      </c>
      <c r="B556" s="2">
        <v>186283</v>
      </c>
      <c r="C556" t="s">
        <v>985</v>
      </c>
      <c r="D556" t="s">
        <v>986</v>
      </c>
      <c r="E556" t="s">
        <v>19</v>
      </c>
      <c r="F556" t="s">
        <v>6</v>
      </c>
      <c r="G556" s="4">
        <v>4255</v>
      </c>
      <c r="H556" s="4">
        <v>64415.440999999999</v>
      </c>
      <c r="I556" s="4">
        <v>66592.86</v>
      </c>
      <c r="J556" s="1">
        <v>-3.2697484384962596</v>
      </c>
      <c r="K556" s="3">
        <v>15138.764042303173</v>
      </c>
      <c r="L556" s="2">
        <v>2</v>
      </c>
      <c r="M556" s="2">
        <v>3</v>
      </c>
    </row>
    <row r="557" spans="1:13" x14ac:dyDescent="0.25">
      <c r="A557" s="2">
        <f t="shared" si="8"/>
        <v>549</v>
      </c>
      <c r="B557" s="2">
        <v>212601</v>
      </c>
      <c r="C557" t="s">
        <v>987</v>
      </c>
      <c r="D557" t="s">
        <v>988</v>
      </c>
      <c r="E557" t="s">
        <v>23</v>
      </c>
      <c r="F557" t="s">
        <v>6</v>
      </c>
      <c r="G557" s="4">
        <v>3777</v>
      </c>
      <c r="H557" s="4">
        <v>63539.373</v>
      </c>
      <c r="I557" s="4">
        <v>65364</v>
      </c>
      <c r="J557" s="1">
        <v>-2.7914861391591703</v>
      </c>
      <c r="K557" s="3">
        <v>16822.709293089752</v>
      </c>
      <c r="L557" s="2">
        <v>2</v>
      </c>
      <c r="M557" s="2">
        <v>4</v>
      </c>
    </row>
    <row r="558" spans="1:13" x14ac:dyDescent="0.25">
      <c r="A558" s="2">
        <f t="shared" si="8"/>
        <v>550</v>
      </c>
      <c r="B558" s="2">
        <v>217536</v>
      </c>
      <c r="C558" t="s">
        <v>989</v>
      </c>
      <c r="D558" t="s">
        <v>990</v>
      </c>
      <c r="E558" t="s">
        <v>72</v>
      </c>
      <c r="F558" t="s">
        <v>6</v>
      </c>
      <c r="G558" s="4">
        <v>2629</v>
      </c>
      <c r="H558" s="4">
        <v>63213</v>
      </c>
      <c r="I558" s="4">
        <v>63790</v>
      </c>
      <c r="J558" s="1">
        <v>-0.90453049067251923</v>
      </c>
      <c r="K558" s="3">
        <v>24044.50361354127</v>
      </c>
      <c r="L558" s="2">
        <v>2</v>
      </c>
      <c r="M558" s="2">
        <v>3</v>
      </c>
    </row>
    <row r="559" spans="1:13" x14ac:dyDescent="0.25">
      <c r="A559" s="2">
        <f t="shared" si="8"/>
        <v>551</v>
      </c>
      <c r="B559" s="2">
        <v>221838</v>
      </c>
      <c r="C559" t="s">
        <v>991</v>
      </c>
      <c r="D559" t="s">
        <v>55</v>
      </c>
      <c r="E559" t="s">
        <v>56</v>
      </c>
      <c r="F559" t="s">
        <v>82</v>
      </c>
      <c r="G559" s="4">
        <v>6399.12</v>
      </c>
      <c r="H559" s="4">
        <v>63020.116999999998</v>
      </c>
      <c r="I559" s="4">
        <v>61110.474000000002</v>
      </c>
      <c r="J559" s="1">
        <v>3.1249029421699461</v>
      </c>
      <c r="K559" s="3">
        <v>9848.2474152695995</v>
      </c>
      <c r="L559" s="2">
        <v>1</v>
      </c>
      <c r="M559" s="2">
        <v>4</v>
      </c>
    </row>
    <row r="560" spans="1:13" x14ac:dyDescent="0.25">
      <c r="A560" s="2">
        <f t="shared" si="8"/>
        <v>552</v>
      </c>
      <c r="B560" s="2">
        <v>110538</v>
      </c>
      <c r="C560" t="s">
        <v>992</v>
      </c>
      <c r="D560" t="s">
        <v>993</v>
      </c>
      <c r="E560" t="s">
        <v>16</v>
      </c>
      <c r="F560" t="s">
        <v>82</v>
      </c>
      <c r="G560" s="4">
        <v>17019</v>
      </c>
      <c r="H560" s="4">
        <v>62941.713000000003</v>
      </c>
      <c r="I560" s="4">
        <v>65293.33</v>
      </c>
      <c r="J560" s="1">
        <v>-3.6016190321430996</v>
      </c>
      <c r="K560" s="3">
        <v>3698.3202890886655</v>
      </c>
      <c r="L560" s="2">
        <v>2</v>
      </c>
      <c r="M560" s="2">
        <v>3</v>
      </c>
    </row>
    <row r="561" spans="1:13" x14ac:dyDescent="0.25">
      <c r="A561" s="11">
        <f t="shared" si="8"/>
        <v>553</v>
      </c>
      <c r="B561" s="27" t="s">
        <v>1275</v>
      </c>
      <c r="C561" s="12" t="s">
        <v>994</v>
      </c>
      <c r="D561" s="12" t="s">
        <v>995</v>
      </c>
      <c r="E561" s="12" t="s">
        <v>204</v>
      </c>
      <c r="F561" s="12" t="s">
        <v>10</v>
      </c>
      <c r="G561" s="13">
        <v>2738</v>
      </c>
      <c r="H561" s="13">
        <v>62833.798515600007</v>
      </c>
      <c r="I561" s="13">
        <v>61370.470324800001</v>
      </c>
      <c r="J561" s="14">
        <v>2.384417429189341</v>
      </c>
      <c r="K561" s="15">
        <v>22948.794198539083</v>
      </c>
      <c r="L561" s="22" t="s">
        <v>1275</v>
      </c>
      <c r="M561" s="11">
        <v>0</v>
      </c>
    </row>
    <row r="562" spans="1:13" x14ac:dyDescent="0.25">
      <c r="A562" s="2">
        <f t="shared" si="8"/>
        <v>554</v>
      </c>
      <c r="B562" s="2">
        <v>197221</v>
      </c>
      <c r="C562" t="s">
        <v>996</v>
      </c>
      <c r="D562" t="s">
        <v>997</v>
      </c>
      <c r="E562" t="s">
        <v>34</v>
      </c>
      <c r="F562" t="s">
        <v>6</v>
      </c>
      <c r="G562" s="4">
        <v>99</v>
      </c>
      <c r="H562" s="4">
        <v>62606.027999999998</v>
      </c>
      <c r="I562" s="4">
        <v>66556.126999999993</v>
      </c>
      <c r="J562" s="1">
        <v>-5.9349892760436616</v>
      </c>
      <c r="K562" s="3">
        <v>632384.12121212122</v>
      </c>
      <c r="L562" s="2">
        <v>2</v>
      </c>
      <c r="M562" s="2">
        <v>5</v>
      </c>
    </row>
    <row r="563" spans="1:13" x14ac:dyDescent="0.25">
      <c r="A563" s="2">
        <f t="shared" si="8"/>
        <v>555</v>
      </c>
      <c r="B563" s="2">
        <v>220215</v>
      </c>
      <c r="C563" t="s">
        <v>998</v>
      </c>
      <c r="D563" t="s">
        <v>999</v>
      </c>
      <c r="E563" t="s">
        <v>56</v>
      </c>
      <c r="F563" t="s">
        <v>6</v>
      </c>
      <c r="G563" s="4">
        <v>1626</v>
      </c>
      <c r="H563" s="4">
        <v>62427.989000000001</v>
      </c>
      <c r="I563" s="4">
        <v>60337.605000000003</v>
      </c>
      <c r="J563" s="1">
        <v>3.4644795728965381</v>
      </c>
      <c r="K563" s="3">
        <v>38393.597170971712</v>
      </c>
      <c r="L563" s="2">
        <v>2</v>
      </c>
      <c r="M563" s="2">
        <v>3</v>
      </c>
    </row>
    <row r="564" spans="1:13" x14ac:dyDescent="0.25">
      <c r="A564" s="2">
        <f t="shared" si="8"/>
        <v>556</v>
      </c>
      <c r="B564" s="2">
        <v>218964</v>
      </c>
      <c r="C564" t="s">
        <v>1000</v>
      </c>
      <c r="D564" t="s">
        <v>1001</v>
      </c>
      <c r="E564" t="s">
        <v>305</v>
      </c>
      <c r="F564" t="s">
        <v>82</v>
      </c>
      <c r="G564" s="4">
        <v>5004</v>
      </c>
      <c r="H564" s="4">
        <v>62348.555999999997</v>
      </c>
      <c r="I564" s="4">
        <v>57948.900999999998</v>
      </c>
      <c r="J564" s="1">
        <v>7.5923010170632921</v>
      </c>
      <c r="K564" s="3">
        <v>12459.74340527578</v>
      </c>
      <c r="L564" s="2">
        <v>2</v>
      </c>
      <c r="M564" s="2">
        <v>3</v>
      </c>
    </row>
    <row r="565" spans="1:13" x14ac:dyDescent="0.25">
      <c r="A565" s="2">
        <f t="shared" si="8"/>
        <v>557</v>
      </c>
      <c r="B565" s="26" t="s">
        <v>1275</v>
      </c>
      <c r="C565" t="s">
        <v>1002</v>
      </c>
      <c r="D565" t="s">
        <v>1003</v>
      </c>
      <c r="E565" t="s">
        <v>23</v>
      </c>
      <c r="F565" t="s">
        <v>82</v>
      </c>
      <c r="G565" s="4">
        <v>9188</v>
      </c>
      <c r="H565" s="4">
        <v>60550.163</v>
      </c>
      <c r="I565" s="4">
        <v>61146.591</v>
      </c>
      <c r="J565" s="1">
        <v>-0.9754067892353967</v>
      </c>
      <c r="K565" s="3">
        <v>6590.1352851545498</v>
      </c>
      <c r="L565" s="21" t="s">
        <v>1275</v>
      </c>
      <c r="M565" s="2">
        <v>0</v>
      </c>
    </row>
    <row r="566" spans="1:13" x14ac:dyDescent="0.25">
      <c r="A566" s="2">
        <f t="shared" si="8"/>
        <v>558</v>
      </c>
      <c r="B566" s="2">
        <v>191676</v>
      </c>
      <c r="C566" t="s">
        <v>1004</v>
      </c>
      <c r="D566" t="s">
        <v>767</v>
      </c>
      <c r="E566" t="s">
        <v>34</v>
      </c>
      <c r="F566" t="s">
        <v>6</v>
      </c>
      <c r="G566" s="4">
        <v>929</v>
      </c>
      <c r="H566" s="4">
        <v>60036.775000000001</v>
      </c>
      <c r="I566" s="4">
        <v>57371.563999999998</v>
      </c>
      <c r="J566" s="1">
        <v>4.6455261355608153</v>
      </c>
      <c r="K566" s="3">
        <v>64625.161463939723</v>
      </c>
      <c r="L566" s="2">
        <v>2</v>
      </c>
      <c r="M566" s="2">
        <v>2</v>
      </c>
    </row>
    <row r="567" spans="1:13" x14ac:dyDescent="0.25">
      <c r="A567" s="2">
        <f t="shared" si="8"/>
        <v>559</v>
      </c>
      <c r="B567" s="2">
        <v>214379</v>
      </c>
      <c r="C567" t="s">
        <v>1005</v>
      </c>
      <c r="D567" t="s">
        <v>187</v>
      </c>
      <c r="E567" t="s">
        <v>23</v>
      </c>
      <c r="F567" t="s">
        <v>10</v>
      </c>
      <c r="G567" s="4">
        <v>6589</v>
      </c>
      <c r="H567" s="4">
        <v>59901.898999999998</v>
      </c>
      <c r="I567" s="4">
        <v>57013.845000000001</v>
      </c>
      <c r="J567" s="1">
        <v>5.0655310126864794</v>
      </c>
      <c r="K567" s="3">
        <v>9091.1972985278499</v>
      </c>
      <c r="L567" s="2">
        <v>2</v>
      </c>
      <c r="M567" s="2">
        <v>1</v>
      </c>
    </row>
    <row r="568" spans="1:13" x14ac:dyDescent="0.25">
      <c r="A568" s="2">
        <f t="shared" si="8"/>
        <v>560</v>
      </c>
      <c r="B568" s="2">
        <v>232681</v>
      </c>
      <c r="C568" t="s">
        <v>1006</v>
      </c>
      <c r="D568" t="s">
        <v>1007</v>
      </c>
      <c r="E568" t="s">
        <v>51</v>
      </c>
      <c r="F568" t="s">
        <v>82</v>
      </c>
      <c r="G568" s="4">
        <v>4180</v>
      </c>
      <c r="H568" s="4">
        <v>58798.788</v>
      </c>
      <c r="I568" s="4">
        <v>55478.737999999998</v>
      </c>
      <c r="J568" s="1">
        <v>5.9843646767884309</v>
      </c>
      <c r="K568" s="3">
        <v>14066.695693779904</v>
      </c>
      <c r="L568" s="2">
        <v>2</v>
      </c>
      <c r="M568" s="2">
        <v>3</v>
      </c>
    </row>
    <row r="569" spans="1:13" x14ac:dyDescent="0.25">
      <c r="A569" s="2">
        <f t="shared" si="8"/>
        <v>561</v>
      </c>
      <c r="B569" s="2">
        <v>225548</v>
      </c>
      <c r="C569" t="s">
        <v>1008</v>
      </c>
      <c r="D569" t="s">
        <v>1009</v>
      </c>
      <c r="E569" t="s">
        <v>9</v>
      </c>
      <c r="F569" t="s">
        <v>6</v>
      </c>
      <c r="G569" s="4">
        <v>843</v>
      </c>
      <c r="H569" s="4">
        <v>58794.98</v>
      </c>
      <c r="I569" s="4">
        <v>62864.828999999998</v>
      </c>
      <c r="J569" s="1">
        <v>-6.4739681388459678</v>
      </c>
      <c r="K569" s="3">
        <v>69744.934756820876</v>
      </c>
      <c r="L569" s="2">
        <v>2</v>
      </c>
      <c r="M569" s="2">
        <v>2</v>
      </c>
    </row>
    <row r="570" spans="1:13" x14ac:dyDescent="0.25">
      <c r="A570" s="2">
        <f t="shared" si="8"/>
        <v>562</v>
      </c>
      <c r="B570" s="2">
        <v>204200</v>
      </c>
      <c r="C570" t="s">
        <v>1010</v>
      </c>
      <c r="D570" t="s">
        <v>181</v>
      </c>
      <c r="E570" t="s">
        <v>69</v>
      </c>
      <c r="F570" t="s">
        <v>6</v>
      </c>
      <c r="G570" s="4">
        <v>1561</v>
      </c>
      <c r="H570" s="4">
        <v>58784.074000000001</v>
      </c>
      <c r="I570" s="4">
        <v>59653.614000000001</v>
      </c>
      <c r="J570" s="1">
        <v>-1.4576484837951309</v>
      </c>
      <c r="K570" s="3">
        <v>37657.959000640614</v>
      </c>
      <c r="L570" s="2">
        <v>2</v>
      </c>
      <c r="M570" s="2">
        <v>3</v>
      </c>
    </row>
    <row r="571" spans="1:13" x14ac:dyDescent="0.25">
      <c r="A571" s="2">
        <f t="shared" si="8"/>
        <v>563</v>
      </c>
      <c r="B571" s="2">
        <v>229160</v>
      </c>
      <c r="C571" t="s">
        <v>1011</v>
      </c>
      <c r="D571" t="s">
        <v>157</v>
      </c>
      <c r="E571" t="s">
        <v>9</v>
      </c>
      <c r="F571" t="s">
        <v>6</v>
      </c>
      <c r="G571" s="4">
        <v>1983</v>
      </c>
      <c r="H571" s="4">
        <v>57816.546000000002</v>
      </c>
      <c r="I571" s="4">
        <v>59523.430999999997</v>
      </c>
      <c r="J571" s="1">
        <v>-2.867585035546758</v>
      </c>
      <c r="K571" s="3">
        <v>29156.099848714068</v>
      </c>
      <c r="L571" s="2">
        <v>2</v>
      </c>
      <c r="M571" s="2">
        <v>4</v>
      </c>
    </row>
    <row r="572" spans="1:13" x14ac:dyDescent="0.25">
      <c r="A572" s="2">
        <f t="shared" si="8"/>
        <v>564</v>
      </c>
      <c r="B572" s="2">
        <v>193751</v>
      </c>
      <c r="C572" t="s">
        <v>1012</v>
      </c>
      <c r="D572" t="s">
        <v>1013</v>
      </c>
      <c r="E572" t="s">
        <v>34</v>
      </c>
      <c r="F572" t="s">
        <v>6</v>
      </c>
      <c r="G572" s="4">
        <v>682</v>
      </c>
      <c r="H572" s="4">
        <v>57450.421999999999</v>
      </c>
      <c r="I572" s="4">
        <v>58654.228999999999</v>
      </c>
      <c r="J572" s="1">
        <v>-2.0523788659808315</v>
      </c>
      <c r="K572" s="3">
        <v>84238.155425219942</v>
      </c>
      <c r="L572" s="2">
        <v>2</v>
      </c>
      <c r="M572" s="2">
        <v>5</v>
      </c>
    </row>
    <row r="573" spans="1:13" x14ac:dyDescent="0.25">
      <c r="A573" s="2">
        <f t="shared" si="8"/>
        <v>565</v>
      </c>
      <c r="B573" s="2">
        <v>110617</v>
      </c>
      <c r="C573" t="s">
        <v>1014</v>
      </c>
      <c r="D573" t="s">
        <v>933</v>
      </c>
      <c r="E573" t="s">
        <v>16</v>
      </c>
      <c r="F573" t="s">
        <v>95</v>
      </c>
      <c r="G573" s="4">
        <v>27144</v>
      </c>
      <c r="H573" s="4">
        <v>57172.334000000003</v>
      </c>
      <c r="I573" s="4">
        <v>51241.432000000001</v>
      </c>
      <c r="J573" s="1">
        <v>11.574426725623125</v>
      </c>
      <c r="K573" s="3">
        <v>2106.2604627173591</v>
      </c>
      <c r="L573" s="2">
        <v>2</v>
      </c>
      <c r="M573" s="2">
        <v>3</v>
      </c>
    </row>
    <row r="574" spans="1:13" x14ac:dyDescent="0.25">
      <c r="A574" s="2">
        <f t="shared" si="8"/>
        <v>566</v>
      </c>
      <c r="B574" s="2">
        <v>234155</v>
      </c>
      <c r="C574" t="s">
        <v>1015</v>
      </c>
      <c r="D574" t="s">
        <v>1016</v>
      </c>
      <c r="E574" t="s">
        <v>51</v>
      </c>
      <c r="F574" t="s">
        <v>95</v>
      </c>
      <c r="G574" s="4">
        <v>4365</v>
      </c>
      <c r="H574" s="4">
        <v>56148.983</v>
      </c>
      <c r="I574" s="4">
        <v>57382.711000000003</v>
      </c>
      <c r="J574" s="1">
        <v>-2.1499995007206962</v>
      </c>
      <c r="K574" s="3">
        <v>12863.455441008018</v>
      </c>
      <c r="L574" s="2">
        <v>1</v>
      </c>
      <c r="M574" s="2">
        <v>3</v>
      </c>
    </row>
    <row r="575" spans="1:13" x14ac:dyDescent="0.25">
      <c r="A575" s="2">
        <f t="shared" si="8"/>
        <v>567</v>
      </c>
      <c r="B575" s="2">
        <v>168254</v>
      </c>
      <c r="C575" t="s">
        <v>1017</v>
      </c>
      <c r="D575" t="s">
        <v>851</v>
      </c>
      <c r="E575" t="s">
        <v>5</v>
      </c>
      <c r="F575" t="s">
        <v>6</v>
      </c>
      <c r="G575" s="4">
        <v>3430</v>
      </c>
      <c r="H575" s="4">
        <v>55905.142</v>
      </c>
      <c r="I575" s="4">
        <v>56682.997000000003</v>
      </c>
      <c r="J575" s="1">
        <v>-1.3722898244071322</v>
      </c>
      <c r="K575" s="3">
        <v>16298.875218658892</v>
      </c>
      <c r="L575" s="2">
        <v>2</v>
      </c>
      <c r="M575" s="2">
        <v>4</v>
      </c>
    </row>
    <row r="576" spans="1:13" x14ac:dyDescent="0.25">
      <c r="A576" s="2">
        <f t="shared" si="8"/>
        <v>568</v>
      </c>
      <c r="B576" s="2">
        <v>115728</v>
      </c>
      <c r="C576" t="s">
        <v>1018</v>
      </c>
      <c r="D576" t="s">
        <v>28</v>
      </c>
      <c r="E576" t="s">
        <v>16</v>
      </c>
      <c r="F576" t="s">
        <v>6</v>
      </c>
      <c r="G576" s="4">
        <v>869</v>
      </c>
      <c r="H576" s="4">
        <v>55439.995999999999</v>
      </c>
      <c r="I576" s="4">
        <v>54171.144999999997</v>
      </c>
      <c r="J576" s="1">
        <v>2.3423004996479215</v>
      </c>
      <c r="K576" s="3">
        <v>63797.463751438438</v>
      </c>
      <c r="L576" s="2">
        <v>2</v>
      </c>
      <c r="M576" s="2">
        <v>3</v>
      </c>
    </row>
    <row r="577" spans="1:13" x14ac:dyDescent="0.25">
      <c r="A577" s="2">
        <f t="shared" si="8"/>
        <v>569</v>
      </c>
      <c r="B577" s="2">
        <v>163851</v>
      </c>
      <c r="C577" t="s">
        <v>1019</v>
      </c>
      <c r="D577" t="s">
        <v>1020</v>
      </c>
      <c r="E577" t="s">
        <v>59</v>
      </c>
      <c r="F577" t="s">
        <v>10</v>
      </c>
      <c r="G577" s="4">
        <v>7958</v>
      </c>
      <c r="H577" s="4">
        <v>55295.671000000002</v>
      </c>
      <c r="I577" s="4">
        <v>56881.627999999997</v>
      </c>
      <c r="J577" s="1">
        <v>-2.7881709011563451</v>
      </c>
      <c r="K577" s="3">
        <v>6948.4381754209599</v>
      </c>
      <c r="L577" s="2">
        <v>2</v>
      </c>
      <c r="M577" s="2">
        <v>3</v>
      </c>
    </row>
    <row r="578" spans="1:13" x14ac:dyDescent="0.25">
      <c r="A578" s="2">
        <f t="shared" si="8"/>
        <v>570</v>
      </c>
      <c r="B578" s="2">
        <v>240107</v>
      </c>
      <c r="C578" t="s">
        <v>1021</v>
      </c>
      <c r="D578" t="s">
        <v>1022</v>
      </c>
      <c r="E578" t="s">
        <v>81</v>
      </c>
      <c r="F578" t="s">
        <v>6</v>
      </c>
      <c r="G578" s="4">
        <v>2118</v>
      </c>
      <c r="H578" s="4">
        <v>55256.921999999999</v>
      </c>
      <c r="I578" s="4">
        <v>55673.184000000001</v>
      </c>
      <c r="J578" s="1">
        <v>-0.74768851014520743</v>
      </c>
      <c r="K578" s="3">
        <v>26089.198300283286</v>
      </c>
      <c r="L578" s="2">
        <v>2</v>
      </c>
      <c r="M578" s="2">
        <v>3</v>
      </c>
    </row>
    <row r="579" spans="1:13" x14ac:dyDescent="0.25">
      <c r="A579" s="2">
        <f t="shared" si="8"/>
        <v>571</v>
      </c>
      <c r="B579" s="2">
        <v>233277</v>
      </c>
      <c r="C579" t="s">
        <v>1023</v>
      </c>
      <c r="D579" t="s">
        <v>1024</v>
      </c>
      <c r="E579" t="s">
        <v>51</v>
      </c>
      <c r="F579" t="s">
        <v>82</v>
      </c>
      <c r="G579" s="4">
        <v>9449</v>
      </c>
      <c r="H579" s="4">
        <v>55173.703999999998</v>
      </c>
      <c r="I579" s="4">
        <v>56080.349000000002</v>
      </c>
      <c r="J579" s="1">
        <v>-1.6166892969942108</v>
      </c>
      <c r="K579" s="3">
        <v>5839.1050904857657</v>
      </c>
      <c r="L579" s="2">
        <v>2</v>
      </c>
      <c r="M579" s="2">
        <v>3</v>
      </c>
    </row>
    <row r="580" spans="1:13" x14ac:dyDescent="0.25">
      <c r="A580" s="2">
        <f t="shared" si="8"/>
        <v>572</v>
      </c>
      <c r="B580" s="2">
        <v>218724</v>
      </c>
      <c r="C580" t="s">
        <v>1025</v>
      </c>
      <c r="D580" t="s">
        <v>1026</v>
      </c>
      <c r="E580" t="s">
        <v>305</v>
      </c>
      <c r="F580" t="s">
        <v>82</v>
      </c>
      <c r="G580" s="4">
        <v>9913</v>
      </c>
      <c r="H580" s="4">
        <v>54714.188999999998</v>
      </c>
      <c r="I580" s="4">
        <v>51483.029000000002</v>
      </c>
      <c r="J580" s="1">
        <v>6.2761652971117927</v>
      </c>
      <c r="K580" s="3">
        <v>5519.4380106930294</v>
      </c>
      <c r="L580" s="2">
        <v>2</v>
      </c>
      <c r="M580" s="2">
        <v>3</v>
      </c>
    </row>
    <row r="581" spans="1:13" x14ac:dyDescent="0.25">
      <c r="A581" s="2">
        <f t="shared" si="8"/>
        <v>573</v>
      </c>
      <c r="B581" s="2">
        <v>214069</v>
      </c>
      <c r="C581" t="s">
        <v>1027</v>
      </c>
      <c r="D581" t="s">
        <v>159</v>
      </c>
      <c r="E581" t="s">
        <v>23</v>
      </c>
      <c r="F581" t="s">
        <v>6</v>
      </c>
      <c r="G581" s="4">
        <v>2070</v>
      </c>
      <c r="H581" s="4">
        <v>54506.152999999998</v>
      </c>
      <c r="I581" s="4">
        <v>54532.127999999997</v>
      </c>
      <c r="J581" s="1">
        <v>-4.763247089862329E-2</v>
      </c>
      <c r="K581" s="3">
        <v>26331.474879227055</v>
      </c>
      <c r="L581" s="2">
        <v>2</v>
      </c>
      <c r="M581" s="2">
        <v>4</v>
      </c>
    </row>
    <row r="582" spans="1:13" x14ac:dyDescent="0.25">
      <c r="A582" s="2">
        <f t="shared" si="8"/>
        <v>574</v>
      </c>
      <c r="B582" s="2">
        <v>173920</v>
      </c>
      <c r="C582" t="s">
        <v>1028</v>
      </c>
      <c r="D582" t="s">
        <v>1029</v>
      </c>
      <c r="E582" t="s">
        <v>101</v>
      </c>
      <c r="F582" t="s">
        <v>10</v>
      </c>
      <c r="G582" s="4">
        <v>13192</v>
      </c>
      <c r="H582" s="4">
        <v>54143.34</v>
      </c>
      <c r="I582" s="4">
        <v>57957.27</v>
      </c>
      <c r="J582" s="1">
        <v>-6.5805894584061679</v>
      </c>
      <c r="K582" s="3">
        <v>4104.2556094602787</v>
      </c>
      <c r="L582" s="2">
        <v>2</v>
      </c>
      <c r="M582" s="2">
        <v>3</v>
      </c>
    </row>
    <row r="583" spans="1:13" x14ac:dyDescent="0.25">
      <c r="A583" s="2">
        <f t="shared" si="8"/>
        <v>575</v>
      </c>
      <c r="B583" s="2">
        <v>173045</v>
      </c>
      <c r="C583" t="s">
        <v>1030</v>
      </c>
      <c r="D583" t="s">
        <v>100</v>
      </c>
      <c r="E583" t="s">
        <v>101</v>
      </c>
      <c r="F583" t="s">
        <v>6</v>
      </c>
      <c r="G583" s="4">
        <v>3049</v>
      </c>
      <c r="H583" s="4">
        <v>54133.892</v>
      </c>
      <c r="I583" s="4">
        <v>50785.63</v>
      </c>
      <c r="J583" s="1">
        <v>6.5929318982554701</v>
      </c>
      <c r="K583" s="3">
        <v>17754.638242046574</v>
      </c>
      <c r="L583" s="2">
        <v>2</v>
      </c>
      <c r="M583" s="2">
        <v>3</v>
      </c>
    </row>
    <row r="584" spans="1:13" x14ac:dyDescent="0.25">
      <c r="A584" s="2">
        <f t="shared" si="8"/>
        <v>576</v>
      </c>
      <c r="B584" s="2">
        <v>215105</v>
      </c>
      <c r="C584" t="s">
        <v>1031</v>
      </c>
      <c r="D584" t="s">
        <v>22</v>
      </c>
      <c r="E584" t="s">
        <v>23</v>
      </c>
      <c r="F584" t="s">
        <v>6</v>
      </c>
      <c r="G584" s="4">
        <v>1813</v>
      </c>
      <c r="H584" s="4">
        <v>54050.472999999998</v>
      </c>
      <c r="I584" s="4">
        <v>53767.94</v>
      </c>
      <c r="J584" s="1">
        <v>0.5254674067855305</v>
      </c>
      <c r="K584" s="3">
        <v>29812.726420297848</v>
      </c>
      <c r="L584" s="2">
        <v>2</v>
      </c>
      <c r="M584" s="2">
        <v>5</v>
      </c>
    </row>
    <row r="585" spans="1:13" x14ac:dyDescent="0.25">
      <c r="A585" s="2">
        <f t="shared" ref="A585:A648" si="9">RANK(H585,H$9:H$725,0)</f>
        <v>577</v>
      </c>
      <c r="B585" s="2">
        <v>133702</v>
      </c>
      <c r="C585" t="s">
        <v>1032</v>
      </c>
      <c r="D585" t="s">
        <v>761</v>
      </c>
      <c r="E585" t="s">
        <v>141</v>
      </c>
      <c r="F585" t="s">
        <v>10</v>
      </c>
      <c r="G585" s="4">
        <v>14137</v>
      </c>
      <c r="H585" s="4">
        <v>53518.5</v>
      </c>
      <c r="I585" s="4">
        <v>55240.148000000001</v>
      </c>
      <c r="J585" s="1">
        <v>-3.1166607301631415</v>
      </c>
      <c r="K585" s="3">
        <v>3785.7041805192048</v>
      </c>
      <c r="L585" s="2">
        <v>2</v>
      </c>
      <c r="M585" s="2">
        <v>2</v>
      </c>
    </row>
    <row r="586" spans="1:13" x14ac:dyDescent="0.25">
      <c r="A586" s="2">
        <f t="shared" si="9"/>
        <v>578</v>
      </c>
      <c r="B586" s="2">
        <v>174127</v>
      </c>
      <c r="C586" t="s">
        <v>1074</v>
      </c>
      <c r="D586" t="s">
        <v>100</v>
      </c>
      <c r="E586" t="s">
        <v>101</v>
      </c>
      <c r="F586" t="s">
        <v>6</v>
      </c>
      <c r="G586" s="4">
        <v>752</v>
      </c>
      <c r="H586" s="49">
        <v>53301</v>
      </c>
      <c r="I586" s="49">
        <v>53551</v>
      </c>
      <c r="J586" s="50">
        <v>-0.47</v>
      </c>
      <c r="K586" s="51">
        <v>70879.44</v>
      </c>
      <c r="L586" s="2">
        <v>2</v>
      </c>
      <c r="M586" s="2">
        <v>5</v>
      </c>
    </row>
    <row r="587" spans="1:13" x14ac:dyDescent="0.25">
      <c r="A587" s="2">
        <f t="shared" si="9"/>
        <v>579</v>
      </c>
      <c r="B587" s="2">
        <v>156213</v>
      </c>
      <c r="C587" t="s">
        <v>1033</v>
      </c>
      <c r="D587" t="s">
        <v>713</v>
      </c>
      <c r="E587" t="s">
        <v>197</v>
      </c>
      <c r="F587" t="s">
        <v>6</v>
      </c>
      <c r="G587" s="4">
        <v>1621</v>
      </c>
      <c r="H587" s="4">
        <v>53089.226999999999</v>
      </c>
      <c r="I587" s="4">
        <v>54987.080999999998</v>
      </c>
      <c r="J587" s="1">
        <v>-3.4514543516139731</v>
      </c>
      <c r="K587" s="3">
        <v>32750.911165946945</v>
      </c>
      <c r="L587" s="2">
        <v>2</v>
      </c>
      <c r="M587" s="2">
        <v>3</v>
      </c>
    </row>
    <row r="588" spans="1:13" x14ac:dyDescent="0.25">
      <c r="A588" s="2">
        <f t="shared" si="9"/>
        <v>580</v>
      </c>
      <c r="B588" s="2">
        <v>196185</v>
      </c>
      <c r="C588" t="s">
        <v>1034</v>
      </c>
      <c r="D588" t="s">
        <v>1035</v>
      </c>
      <c r="E588" t="s">
        <v>34</v>
      </c>
      <c r="F588" t="s">
        <v>10</v>
      </c>
      <c r="G588" s="4">
        <v>6000</v>
      </c>
      <c r="H588" s="4">
        <v>52771.822999999997</v>
      </c>
      <c r="I588" s="4">
        <v>51718.222000000002</v>
      </c>
      <c r="J588" s="1">
        <v>2.0371949368251676</v>
      </c>
      <c r="K588" s="3">
        <v>8795.3038333333334</v>
      </c>
      <c r="L588" s="2">
        <v>2</v>
      </c>
      <c r="M588" s="2">
        <v>3</v>
      </c>
    </row>
    <row r="589" spans="1:13" x14ac:dyDescent="0.25">
      <c r="A589" s="2">
        <f t="shared" si="9"/>
        <v>581</v>
      </c>
      <c r="B589" s="2">
        <v>123572</v>
      </c>
      <c r="C589" t="s">
        <v>1036</v>
      </c>
      <c r="D589" t="s">
        <v>1037</v>
      </c>
      <c r="E589" t="s">
        <v>16</v>
      </c>
      <c r="F589" t="s">
        <v>95</v>
      </c>
      <c r="G589" s="4">
        <v>8250</v>
      </c>
      <c r="H589" s="4">
        <v>52739.462</v>
      </c>
      <c r="I589" s="4">
        <v>52281.184999999998</v>
      </c>
      <c r="J589" s="1">
        <v>0.87656199835562265</v>
      </c>
      <c r="K589" s="3">
        <v>6392.6620606060605</v>
      </c>
      <c r="L589" s="2">
        <v>2</v>
      </c>
      <c r="M589" s="2">
        <v>3</v>
      </c>
    </row>
    <row r="590" spans="1:13" x14ac:dyDescent="0.25">
      <c r="A590" s="2">
        <f t="shared" si="9"/>
        <v>582</v>
      </c>
      <c r="B590" s="2">
        <v>199111</v>
      </c>
      <c r="C590" t="s">
        <v>1038</v>
      </c>
      <c r="D590" t="s">
        <v>1039</v>
      </c>
      <c r="E590" t="s">
        <v>40</v>
      </c>
      <c r="F590" t="s">
        <v>10</v>
      </c>
      <c r="G590" s="4">
        <v>3303</v>
      </c>
      <c r="H590" s="4">
        <v>52380.474000000002</v>
      </c>
      <c r="I590" s="4">
        <v>53521.362999999998</v>
      </c>
      <c r="J590" s="1">
        <v>-2.1316516173177429</v>
      </c>
      <c r="K590" s="3">
        <v>15858.454132606721</v>
      </c>
      <c r="L590" s="2">
        <v>2</v>
      </c>
      <c r="M590" s="2">
        <v>2</v>
      </c>
    </row>
    <row r="591" spans="1:13" x14ac:dyDescent="0.25">
      <c r="A591" s="2">
        <f t="shared" si="9"/>
        <v>583</v>
      </c>
      <c r="B591" s="2">
        <v>232089</v>
      </c>
      <c r="C591" t="s">
        <v>1040</v>
      </c>
      <c r="D591" t="s">
        <v>1041</v>
      </c>
      <c r="E591" t="s">
        <v>51</v>
      </c>
      <c r="F591" t="s">
        <v>6</v>
      </c>
      <c r="G591" s="4">
        <v>1013</v>
      </c>
      <c r="H591" s="4">
        <v>52306.519</v>
      </c>
      <c r="I591" s="4">
        <v>53516.697999999997</v>
      </c>
      <c r="J591" s="1">
        <v>-2.2613110397805185</v>
      </c>
      <c r="K591" s="3">
        <v>51635.260612043436</v>
      </c>
      <c r="L591" s="2">
        <v>2</v>
      </c>
      <c r="M591" s="2">
        <v>2</v>
      </c>
    </row>
    <row r="592" spans="1:13" x14ac:dyDescent="0.25">
      <c r="A592" s="2">
        <f t="shared" si="9"/>
        <v>584</v>
      </c>
      <c r="B592" s="2">
        <v>155089</v>
      </c>
      <c r="C592" t="s">
        <v>1042</v>
      </c>
      <c r="D592" t="s">
        <v>526</v>
      </c>
      <c r="E592" t="s">
        <v>144</v>
      </c>
      <c r="F592" t="s">
        <v>6</v>
      </c>
      <c r="G592" s="4">
        <v>1168</v>
      </c>
      <c r="H592" s="4">
        <v>52207.207000000002</v>
      </c>
      <c r="I592" s="4">
        <v>53323.868999999999</v>
      </c>
      <c r="J592" s="1">
        <v>-2.0941128634158184</v>
      </c>
      <c r="K592" s="3">
        <v>44697.951198630137</v>
      </c>
      <c r="L592" s="2">
        <v>2</v>
      </c>
      <c r="M592" s="2">
        <v>3</v>
      </c>
    </row>
    <row r="593" spans="1:13" x14ac:dyDescent="0.25">
      <c r="A593" s="2">
        <f t="shared" si="9"/>
        <v>585</v>
      </c>
      <c r="B593" s="2">
        <v>215743</v>
      </c>
      <c r="C593" t="s">
        <v>1043</v>
      </c>
      <c r="D593" t="s">
        <v>1044</v>
      </c>
      <c r="E593" t="s">
        <v>23</v>
      </c>
      <c r="F593" t="s">
        <v>6</v>
      </c>
      <c r="G593" s="4">
        <v>1921</v>
      </c>
      <c r="H593" s="4">
        <v>51987.942000000003</v>
      </c>
      <c r="I593" s="4">
        <v>52712.605000000003</v>
      </c>
      <c r="J593" s="1">
        <v>-1.3747432895794089</v>
      </c>
      <c r="K593" s="3">
        <v>27062.957834461216</v>
      </c>
      <c r="L593" s="2">
        <v>2</v>
      </c>
      <c r="M593" s="2">
        <v>3</v>
      </c>
    </row>
    <row r="594" spans="1:13" x14ac:dyDescent="0.25">
      <c r="A594" s="2">
        <f t="shared" si="9"/>
        <v>586</v>
      </c>
      <c r="B594" s="2">
        <v>203085</v>
      </c>
      <c r="C594" t="s">
        <v>1045</v>
      </c>
      <c r="D594" t="s">
        <v>1046</v>
      </c>
      <c r="E594" t="s">
        <v>69</v>
      </c>
      <c r="F594" t="s">
        <v>6</v>
      </c>
      <c r="G594" s="4">
        <v>1139</v>
      </c>
      <c r="H594" s="4">
        <v>51414.434000000001</v>
      </c>
      <c r="I594" s="4">
        <v>51987.303</v>
      </c>
      <c r="J594" s="1">
        <v>-1.1019402179797633</v>
      </c>
      <c r="K594" s="3">
        <v>45139.977172958737</v>
      </c>
      <c r="L594" s="2">
        <v>2</v>
      </c>
      <c r="M594" s="2">
        <v>2</v>
      </c>
    </row>
    <row r="595" spans="1:13" x14ac:dyDescent="0.25">
      <c r="A595" s="2">
        <f t="shared" si="9"/>
        <v>587</v>
      </c>
      <c r="B595" s="2">
        <v>199865</v>
      </c>
      <c r="C595" t="s">
        <v>1047</v>
      </c>
      <c r="D595" t="s">
        <v>1048</v>
      </c>
      <c r="E595" t="s">
        <v>40</v>
      </c>
      <c r="F595" t="s">
        <v>6</v>
      </c>
      <c r="G595" s="4">
        <v>778</v>
      </c>
      <c r="H595" s="4">
        <v>51010.964999999997</v>
      </c>
      <c r="I595" s="4">
        <v>51270.334000000003</v>
      </c>
      <c r="J595" s="1">
        <v>-0.50588513817756675</v>
      </c>
      <c r="K595" s="3">
        <v>65566.793059125965</v>
      </c>
      <c r="L595" s="2">
        <v>2</v>
      </c>
      <c r="M595" s="2">
        <v>2</v>
      </c>
    </row>
    <row r="596" spans="1:13" x14ac:dyDescent="0.25">
      <c r="A596" s="2">
        <f t="shared" si="9"/>
        <v>588</v>
      </c>
      <c r="B596" s="2">
        <v>178059</v>
      </c>
      <c r="C596" t="s">
        <v>1049</v>
      </c>
      <c r="D596" t="s">
        <v>42</v>
      </c>
      <c r="E596" t="s">
        <v>43</v>
      </c>
      <c r="F596" t="s">
        <v>6</v>
      </c>
      <c r="G596" s="4">
        <v>6122</v>
      </c>
      <c r="H596" s="4">
        <v>50690.250999999997</v>
      </c>
      <c r="I596" s="4">
        <v>54237.248</v>
      </c>
      <c r="J596" s="1">
        <v>-6.5397805581876138</v>
      </c>
      <c r="K596" s="3">
        <v>8280.0148644233905</v>
      </c>
      <c r="L596" s="2">
        <v>2</v>
      </c>
      <c r="M596" s="2">
        <v>4</v>
      </c>
    </row>
    <row r="597" spans="1:13" x14ac:dyDescent="0.25">
      <c r="A597" s="2">
        <f t="shared" si="9"/>
        <v>589</v>
      </c>
      <c r="B597" s="2">
        <v>211158</v>
      </c>
      <c r="C597" t="s">
        <v>1050</v>
      </c>
      <c r="D597" t="s">
        <v>1051</v>
      </c>
      <c r="E597" t="s">
        <v>23</v>
      </c>
      <c r="F597" t="s">
        <v>10</v>
      </c>
      <c r="G597" s="4">
        <v>8924</v>
      </c>
      <c r="H597" s="4">
        <v>50300</v>
      </c>
      <c r="I597" s="4">
        <v>49000</v>
      </c>
      <c r="J597" s="1">
        <v>2.6530612244897958</v>
      </c>
      <c r="K597" s="3">
        <v>5636.4858807709543</v>
      </c>
      <c r="L597" s="2">
        <v>2</v>
      </c>
      <c r="M597" s="2">
        <v>3</v>
      </c>
    </row>
    <row r="598" spans="1:13" x14ac:dyDescent="0.25">
      <c r="A598" s="2">
        <f t="shared" si="9"/>
        <v>590</v>
      </c>
      <c r="B598" s="2">
        <v>161873</v>
      </c>
      <c r="C598" t="s">
        <v>1052</v>
      </c>
      <c r="D598" t="s">
        <v>58</v>
      </c>
      <c r="E598" t="s">
        <v>59</v>
      </c>
      <c r="F598" t="s">
        <v>82</v>
      </c>
      <c r="G598" s="4">
        <v>0</v>
      </c>
      <c r="H598" s="4">
        <v>50278.864999999998</v>
      </c>
      <c r="I598" s="4">
        <v>49877.555999999997</v>
      </c>
      <c r="J598" s="1">
        <v>0.8045883402947811</v>
      </c>
      <c r="K598" s="24" t="s">
        <v>1275</v>
      </c>
      <c r="L598" s="2">
        <v>2</v>
      </c>
      <c r="M598" s="2">
        <v>3</v>
      </c>
    </row>
    <row r="599" spans="1:13" x14ac:dyDescent="0.25">
      <c r="A599" s="2">
        <f t="shared" si="9"/>
        <v>591</v>
      </c>
      <c r="B599" s="2">
        <v>140234</v>
      </c>
      <c r="C599" t="s">
        <v>1053</v>
      </c>
      <c r="D599" t="s">
        <v>1054</v>
      </c>
      <c r="E599" t="s">
        <v>48</v>
      </c>
      <c r="F599" t="s">
        <v>6</v>
      </c>
      <c r="G599" s="4">
        <v>963</v>
      </c>
      <c r="H599" s="4">
        <v>50228.32</v>
      </c>
      <c r="I599" s="4">
        <v>53005.237000000001</v>
      </c>
      <c r="J599" s="1">
        <v>-5.2389483703280106</v>
      </c>
      <c r="K599" s="3">
        <v>52158.172377985466</v>
      </c>
      <c r="L599" s="2">
        <v>2</v>
      </c>
      <c r="M599" s="2">
        <v>2</v>
      </c>
    </row>
    <row r="600" spans="1:13" x14ac:dyDescent="0.25">
      <c r="A600" s="2">
        <f t="shared" si="9"/>
        <v>592</v>
      </c>
      <c r="B600" s="2">
        <v>139199</v>
      </c>
      <c r="C600" t="s">
        <v>1055</v>
      </c>
      <c r="D600" t="s">
        <v>140</v>
      </c>
      <c r="E600" t="s">
        <v>48</v>
      </c>
      <c r="F600" t="s">
        <v>6</v>
      </c>
      <c r="G600" s="4">
        <v>2512</v>
      </c>
      <c r="H600" s="4">
        <v>50103.720999999998</v>
      </c>
      <c r="I600" s="4">
        <v>49482.307999999997</v>
      </c>
      <c r="J600" s="1">
        <v>1.2558286488981072</v>
      </c>
      <c r="K600" s="3">
        <v>19945.748805732484</v>
      </c>
      <c r="L600" s="2">
        <v>2</v>
      </c>
      <c r="M600" s="2">
        <v>3</v>
      </c>
    </row>
    <row r="601" spans="1:13" x14ac:dyDescent="0.25">
      <c r="A601" s="2">
        <f t="shared" si="9"/>
        <v>593</v>
      </c>
      <c r="B601" s="2">
        <v>115047</v>
      </c>
      <c r="C601" t="s">
        <v>1056</v>
      </c>
      <c r="D601" t="s">
        <v>1057</v>
      </c>
      <c r="E601" t="s">
        <v>16</v>
      </c>
      <c r="F601" t="s">
        <v>6</v>
      </c>
      <c r="G601" s="4">
        <v>257</v>
      </c>
      <c r="H601" s="4">
        <v>49615.072999999997</v>
      </c>
      <c r="I601" s="4">
        <v>50974.576999999997</v>
      </c>
      <c r="J601" s="1">
        <v>-2.6670236027657475</v>
      </c>
      <c r="K601" s="3">
        <v>193054.75875486381</v>
      </c>
      <c r="L601" s="24" t="s">
        <v>1275</v>
      </c>
      <c r="M601" s="2">
        <v>0</v>
      </c>
    </row>
    <row r="602" spans="1:13" x14ac:dyDescent="0.25">
      <c r="A602" s="2">
        <f t="shared" si="9"/>
        <v>594</v>
      </c>
      <c r="B602" s="2">
        <v>136774</v>
      </c>
      <c r="C602" t="s">
        <v>1058</v>
      </c>
      <c r="D602" t="s">
        <v>1059</v>
      </c>
      <c r="E602" t="s">
        <v>141</v>
      </c>
      <c r="F602" t="s">
        <v>6</v>
      </c>
      <c r="G602" s="4">
        <v>1622.7</v>
      </c>
      <c r="H602" s="4">
        <v>49497.624000000003</v>
      </c>
      <c r="I602" s="4">
        <v>53536.658000000003</v>
      </c>
      <c r="J602" s="1">
        <v>-7.5444268486090413</v>
      </c>
      <c r="K602" s="3">
        <v>30503.250138657793</v>
      </c>
      <c r="L602" s="2">
        <v>2</v>
      </c>
      <c r="M602" s="2">
        <v>5</v>
      </c>
    </row>
    <row r="603" spans="1:13" x14ac:dyDescent="0.25">
      <c r="A603" s="2">
        <f t="shared" si="9"/>
        <v>595</v>
      </c>
      <c r="B603" s="2">
        <v>199272</v>
      </c>
      <c r="C603" t="s">
        <v>1060</v>
      </c>
      <c r="D603" t="s">
        <v>179</v>
      </c>
      <c r="E603" t="s">
        <v>40</v>
      </c>
      <c r="F603" t="s">
        <v>6</v>
      </c>
      <c r="G603" s="4">
        <v>831</v>
      </c>
      <c r="H603" s="4">
        <v>49179.997000000003</v>
      </c>
      <c r="I603" s="4">
        <v>50222.008000000002</v>
      </c>
      <c r="J603" s="1">
        <v>-2.0748095137892535</v>
      </c>
      <c r="K603" s="3">
        <v>59181.705174488568</v>
      </c>
      <c r="L603" s="2">
        <v>2</v>
      </c>
      <c r="M603" s="2">
        <v>2</v>
      </c>
    </row>
    <row r="604" spans="1:13" x14ac:dyDescent="0.25">
      <c r="A604" s="2">
        <f t="shared" si="9"/>
        <v>596</v>
      </c>
      <c r="B604" s="2">
        <v>196149</v>
      </c>
      <c r="C604" t="s">
        <v>1061</v>
      </c>
      <c r="D604" t="s">
        <v>1062</v>
      </c>
      <c r="E604" t="s">
        <v>34</v>
      </c>
      <c r="F604" t="s">
        <v>82</v>
      </c>
      <c r="G604" s="4">
        <v>6547</v>
      </c>
      <c r="H604" s="4">
        <v>49108.345000000001</v>
      </c>
      <c r="I604" s="4">
        <v>47651.722000000002</v>
      </c>
      <c r="J604" s="1">
        <v>3.056810832565505</v>
      </c>
      <c r="K604" s="3">
        <v>7500.8927753169392</v>
      </c>
      <c r="L604" s="2">
        <v>2</v>
      </c>
      <c r="M604" s="2">
        <v>3</v>
      </c>
    </row>
    <row r="605" spans="1:13" x14ac:dyDescent="0.25">
      <c r="A605" s="2">
        <f t="shared" si="9"/>
        <v>597</v>
      </c>
      <c r="B605" s="2">
        <v>214564</v>
      </c>
      <c r="C605" t="s">
        <v>1063</v>
      </c>
      <c r="D605" t="s">
        <v>1064</v>
      </c>
      <c r="E605" t="s">
        <v>23</v>
      </c>
      <c r="F605" t="s">
        <v>6</v>
      </c>
      <c r="G605" s="4">
        <v>1200</v>
      </c>
      <c r="H605" s="4">
        <v>49102.792000000001</v>
      </c>
      <c r="I605" s="4">
        <v>48875.991000000002</v>
      </c>
      <c r="J605" s="1">
        <v>0.46403355790780798</v>
      </c>
      <c r="K605" s="3">
        <v>40918.993333333332</v>
      </c>
      <c r="L605" s="2">
        <v>2</v>
      </c>
      <c r="M605" s="2">
        <v>5</v>
      </c>
    </row>
    <row r="606" spans="1:13" x14ac:dyDescent="0.25">
      <c r="A606" s="2">
        <f t="shared" si="9"/>
        <v>598</v>
      </c>
      <c r="B606" s="2">
        <v>122296</v>
      </c>
      <c r="C606" t="s">
        <v>1065</v>
      </c>
      <c r="D606" t="s">
        <v>28</v>
      </c>
      <c r="E606" t="s">
        <v>16</v>
      </c>
      <c r="F606" t="s">
        <v>6</v>
      </c>
      <c r="G606" s="4">
        <v>2615</v>
      </c>
      <c r="H606" s="4">
        <v>49087.863170000004</v>
      </c>
      <c r="I606" s="4">
        <v>51316.285000000003</v>
      </c>
      <c r="J606" s="1">
        <v>-4.3425236842456503</v>
      </c>
      <c r="K606" s="3">
        <v>18771.649395793498</v>
      </c>
      <c r="L606" s="2">
        <v>2</v>
      </c>
      <c r="M606" s="2">
        <v>5</v>
      </c>
    </row>
    <row r="607" spans="1:13" x14ac:dyDescent="0.25">
      <c r="A607" s="2">
        <f t="shared" si="9"/>
        <v>599</v>
      </c>
      <c r="B607" s="2">
        <v>221661</v>
      </c>
      <c r="C607" t="s">
        <v>1066</v>
      </c>
      <c r="D607" t="s">
        <v>1067</v>
      </c>
      <c r="E607" t="s">
        <v>56</v>
      </c>
      <c r="F607" t="s">
        <v>6</v>
      </c>
      <c r="G607" s="4">
        <v>2610</v>
      </c>
      <c r="H607" s="4">
        <v>49005.063000000002</v>
      </c>
      <c r="I607" s="4">
        <v>46401.504000000001</v>
      </c>
      <c r="J607" s="1">
        <v>5.610936662742656</v>
      </c>
      <c r="K607" s="3">
        <v>18775.88620689655</v>
      </c>
      <c r="L607" s="2">
        <v>2</v>
      </c>
      <c r="M607" s="2">
        <v>3</v>
      </c>
    </row>
    <row r="608" spans="1:13" x14ac:dyDescent="0.25">
      <c r="A608" s="2">
        <f t="shared" si="9"/>
        <v>600</v>
      </c>
      <c r="B608" s="2">
        <v>184773</v>
      </c>
      <c r="C608" t="s">
        <v>1068</v>
      </c>
      <c r="D608" t="s">
        <v>1069</v>
      </c>
      <c r="E608" t="s">
        <v>19</v>
      </c>
      <c r="F608" t="s">
        <v>6</v>
      </c>
      <c r="G608" s="4">
        <v>1845</v>
      </c>
      <c r="H608" s="4">
        <v>48967.417999999998</v>
      </c>
      <c r="I608" s="4">
        <v>54858.481</v>
      </c>
      <c r="J608" s="1">
        <v>-10.738654976611548</v>
      </c>
      <c r="K608" s="3">
        <v>26540.605962059621</v>
      </c>
      <c r="L608" s="2">
        <v>2</v>
      </c>
      <c r="M608" s="2">
        <v>3</v>
      </c>
    </row>
    <row r="609" spans="1:13" x14ac:dyDescent="0.25">
      <c r="A609" s="2">
        <f t="shared" si="9"/>
        <v>601</v>
      </c>
      <c r="B609" s="2">
        <v>115214</v>
      </c>
      <c r="C609" t="s">
        <v>1070</v>
      </c>
      <c r="D609" t="s">
        <v>118</v>
      </c>
      <c r="E609" t="s">
        <v>16</v>
      </c>
      <c r="F609" t="s">
        <v>6</v>
      </c>
      <c r="G609" s="4">
        <v>189</v>
      </c>
      <c r="H609" s="4">
        <v>48732.775999999998</v>
      </c>
      <c r="I609" s="4">
        <v>51474.834999999999</v>
      </c>
      <c r="J609" s="1">
        <v>-5.3269893920009652</v>
      </c>
      <c r="K609" s="3">
        <v>257845.37566137567</v>
      </c>
      <c r="L609" s="2">
        <v>2</v>
      </c>
      <c r="M609" s="2">
        <v>5</v>
      </c>
    </row>
    <row r="610" spans="1:13" x14ac:dyDescent="0.25">
      <c r="A610" s="2">
        <f t="shared" si="9"/>
        <v>602</v>
      </c>
      <c r="B610" s="2">
        <v>201104</v>
      </c>
      <c r="C610" t="s">
        <v>1071</v>
      </c>
      <c r="D610" t="s">
        <v>669</v>
      </c>
      <c r="E610" t="s">
        <v>69</v>
      </c>
      <c r="F610" t="s">
        <v>6</v>
      </c>
      <c r="G610" s="4">
        <v>5620</v>
      </c>
      <c r="H610" s="4">
        <v>47561.733999999997</v>
      </c>
      <c r="I610" s="4">
        <v>45330.383999999998</v>
      </c>
      <c r="J610" s="1">
        <v>4.9224158348184295</v>
      </c>
      <c r="K610" s="3">
        <v>8462.9419928825628</v>
      </c>
      <c r="L610" s="2">
        <v>2</v>
      </c>
      <c r="M610" s="2">
        <v>3</v>
      </c>
    </row>
    <row r="611" spans="1:13" x14ac:dyDescent="0.25">
      <c r="A611" s="2">
        <f t="shared" si="9"/>
        <v>603</v>
      </c>
      <c r="B611" s="2">
        <v>154004</v>
      </c>
      <c r="C611" t="s">
        <v>1072</v>
      </c>
      <c r="D611" t="s">
        <v>1073</v>
      </c>
      <c r="E611" t="s">
        <v>123</v>
      </c>
      <c r="F611" t="s">
        <v>6</v>
      </c>
      <c r="G611" s="4">
        <v>1842</v>
      </c>
      <c r="H611" s="4">
        <v>46885.995999999999</v>
      </c>
      <c r="I611" s="4">
        <v>46271.377999999997</v>
      </c>
      <c r="J611" s="1">
        <v>1.3282898123327991</v>
      </c>
      <c r="K611" s="3">
        <v>25453.852334419109</v>
      </c>
      <c r="L611" s="2">
        <v>2</v>
      </c>
      <c r="M611" s="2">
        <v>3</v>
      </c>
    </row>
    <row r="612" spans="1:13" x14ac:dyDescent="0.25">
      <c r="A612" s="2">
        <f t="shared" si="9"/>
        <v>604</v>
      </c>
      <c r="B612" s="2">
        <v>110592</v>
      </c>
      <c r="C612" t="s">
        <v>1075</v>
      </c>
      <c r="D612" t="s">
        <v>66</v>
      </c>
      <c r="E612" t="s">
        <v>16</v>
      </c>
      <c r="F612" t="s">
        <v>10</v>
      </c>
      <c r="G612" s="4">
        <v>23675</v>
      </c>
      <c r="H612" s="4">
        <v>46190.858999999997</v>
      </c>
      <c r="I612" s="4">
        <v>42596.625999999997</v>
      </c>
      <c r="J612" s="1">
        <v>8.4378349590411226</v>
      </c>
      <c r="K612" s="3">
        <v>1951.0394508975712</v>
      </c>
      <c r="L612" s="2">
        <v>2</v>
      </c>
      <c r="M612" s="2">
        <v>3</v>
      </c>
    </row>
    <row r="613" spans="1:13" x14ac:dyDescent="0.25">
      <c r="A613" s="2">
        <f t="shared" si="9"/>
        <v>605</v>
      </c>
      <c r="B613" s="2">
        <v>217907</v>
      </c>
      <c r="C613" t="s">
        <v>1076</v>
      </c>
      <c r="D613" t="s">
        <v>1077</v>
      </c>
      <c r="E613" t="s">
        <v>305</v>
      </c>
      <c r="F613" t="s">
        <v>6</v>
      </c>
      <c r="G613" s="4">
        <v>1032</v>
      </c>
      <c r="H613" s="4">
        <v>46134.212</v>
      </c>
      <c r="I613" s="4">
        <v>45679.900999999998</v>
      </c>
      <c r="J613" s="1">
        <v>0.99455338136569083</v>
      </c>
      <c r="K613" s="3">
        <v>44703.693798449611</v>
      </c>
      <c r="L613" s="2">
        <v>2</v>
      </c>
      <c r="M613" s="2">
        <v>3</v>
      </c>
    </row>
    <row r="614" spans="1:13" x14ac:dyDescent="0.25">
      <c r="A614" s="2">
        <f t="shared" si="9"/>
        <v>606</v>
      </c>
      <c r="B614" s="2">
        <v>132471</v>
      </c>
      <c r="C614" t="s">
        <v>1078</v>
      </c>
      <c r="D614" t="s">
        <v>590</v>
      </c>
      <c r="E614" t="s">
        <v>141</v>
      </c>
      <c r="F614" t="s">
        <v>6</v>
      </c>
      <c r="G614" s="4">
        <v>6388</v>
      </c>
      <c r="H614" s="4">
        <v>45993.199000000001</v>
      </c>
      <c r="I614" s="4">
        <v>45448.212</v>
      </c>
      <c r="J614" s="1">
        <v>1.1991384831596894</v>
      </c>
      <c r="K614" s="3">
        <v>7199.9372260488417</v>
      </c>
      <c r="L614" s="2">
        <v>2</v>
      </c>
      <c r="M614" s="2">
        <v>4</v>
      </c>
    </row>
    <row r="615" spans="1:13" x14ac:dyDescent="0.25">
      <c r="A615" s="2">
        <f t="shared" si="9"/>
        <v>607</v>
      </c>
      <c r="B615" s="2">
        <v>147828</v>
      </c>
      <c r="C615" t="s">
        <v>1079</v>
      </c>
      <c r="D615" t="s">
        <v>1080</v>
      </c>
      <c r="E615" t="s">
        <v>37</v>
      </c>
      <c r="F615" t="s">
        <v>6</v>
      </c>
      <c r="G615" s="4">
        <v>3617</v>
      </c>
      <c r="H615" s="4">
        <v>45140.961000000003</v>
      </c>
      <c r="I615" s="4">
        <v>42356.339</v>
      </c>
      <c r="J615" s="1">
        <v>6.57427451414061</v>
      </c>
      <c r="K615" s="3">
        <v>12480.221454243849</v>
      </c>
      <c r="L615" s="2">
        <v>2</v>
      </c>
      <c r="M615" s="2">
        <v>3</v>
      </c>
    </row>
    <row r="616" spans="1:13" x14ac:dyDescent="0.25">
      <c r="A616" s="2">
        <f t="shared" si="9"/>
        <v>608</v>
      </c>
      <c r="B616" s="2">
        <v>202073</v>
      </c>
      <c r="C616" t="s">
        <v>1099</v>
      </c>
      <c r="D616" t="s">
        <v>138</v>
      </c>
      <c r="E616" t="s">
        <v>69</v>
      </c>
      <c r="F616" t="s">
        <v>6</v>
      </c>
      <c r="G616" s="4">
        <v>369</v>
      </c>
      <c r="H616" s="49">
        <v>45125</v>
      </c>
      <c r="I616" s="4">
        <v>45622</v>
      </c>
      <c r="J616" s="50">
        <v>-1.0900000000000001</v>
      </c>
      <c r="K616" s="51">
        <v>122289.97</v>
      </c>
      <c r="L616" s="2">
        <v>2</v>
      </c>
      <c r="M616" s="2">
        <v>5</v>
      </c>
    </row>
    <row r="617" spans="1:13" x14ac:dyDescent="0.25">
      <c r="A617" s="2">
        <f t="shared" si="9"/>
        <v>609</v>
      </c>
      <c r="B617" s="2">
        <v>409254</v>
      </c>
      <c r="C617" t="s">
        <v>1081</v>
      </c>
      <c r="D617" t="s">
        <v>45</v>
      </c>
      <c r="E617" t="s">
        <v>37</v>
      </c>
      <c r="F617" t="s">
        <v>6</v>
      </c>
      <c r="G617" s="4">
        <v>282</v>
      </c>
      <c r="H617" s="4">
        <v>44961.686000000002</v>
      </c>
      <c r="I617" s="4">
        <v>46654.767999999996</v>
      </c>
      <c r="J617" s="1">
        <v>-3.6289581377834739</v>
      </c>
      <c r="K617" s="3">
        <v>159438.60283687944</v>
      </c>
      <c r="L617" s="2">
        <v>2</v>
      </c>
      <c r="M617" s="2">
        <v>5</v>
      </c>
    </row>
    <row r="618" spans="1:13" x14ac:dyDescent="0.25">
      <c r="A618" s="2">
        <f t="shared" si="9"/>
        <v>610</v>
      </c>
      <c r="B618" s="2">
        <v>110510</v>
      </c>
      <c r="C618" t="s">
        <v>1082</v>
      </c>
      <c r="D618" t="s">
        <v>1083</v>
      </c>
      <c r="E618" t="s">
        <v>16</v>
      </c>
      <c r="F618" t="s">
        <v>82</v>
      </c>
      <c r="G618" s="4">
        <v>18319</v>
      </c>
      <c r="H618" s="4">
        <v>44939.031999999999</v>
      </c>
      <c r="I618" s="4">
        <v>41117.663999999997</v>
      </c>
      <c r="J618" s="1">
        <v>9.2937380878446785</v>
      </c>
      <c r="K618" s="3">
        <v>2453.1378350346636</v>
      </c>
      <c r="L618" s="2">
        <v>2</v>
      </c>
      <c r="M618" s="2">
        <v>3</v>
      </c>
    </row>
    <row r="619" spans="1:13" x14ac:dyDescent="0.25">
      <c r="A619" s="2">
        <f t="shared" si="9"/>
        <v>611</v>
      </c>
      <c r="B619" s="2">
        <v>213826</v>
      </c>
      <c r="C619" t="s">
        <v>1084</v>
      </c>
      <c r="D619" t="s">
        <v>1085</v>
      </c>
      <c r="E619" t="s">
        <v>23</v>
      </c>
      <c r="F619" t="s">
        <v>6</v>
      </c>
      <c r="G619" s="4">
        <v>2501</v>
      </c>
      <c r="H619" s="4">
        <v>44893.847999999998</v>
      </c>
      <c r="I619" s="4">
        <v>40574.499000000003</v>
      </c>
      <c r="J619" s="1">
        <v>10.645477101269938</v>
      </c>
      <c r="K619" s="3">
        <v>17950.359056377449</v>
      </c>
      <c r="L619" s="2">
        <v>2</v>
      </c>
      <c r="M619" s="2">
        <v>3</v>
      </c>
    </row>
    <row r="620" spans="1:13" x14ac:dyDescent="0.25">
      <c r="A620" s="2">
        <f t="shared" si="9"/>
        <v>612</v>
      </c>
      <c r="B620" s="2">
        <v>155511</v>
      </c>
      <c r="C620" t="s">
        <v>1086</v>
      </c>
      <c r="D620" t="s">
        <v>1087</v>
      </c>
      <c r="E620" t="s">
        <v>144</v>
      </c>
      <c r="F620" t="s">
        <v>6</v>
      </c>
      <c r="G620" s="4">
        <v>783</v>
      </c>
      <c r="H620" s="4">
        <v>44470.837</v>
      </c>
      <c r="I620" s="4">
        <v>47125.339</v>
      </c>
      <c r="J620" s="1">
        <v>-5.6328549700194204</v>
      </c>
      <c r="K620" s="3">
        <v>56795.449553001279</v>
      </c>
      <c r="L620" s="2">
        <v>2</v>
      </c>
      <c r="M620" s="2">
        <v>2</v>
      </c>
    </row>
    <row r="621" spans="1:13" x14ac:dyDescent="0.25">
      <c r="A621" s="2">
        <f t="shared" si="9"/>
        <v>613</v>
      </c>
      <c r="B621" s="2">
        <v>180106</v>
      </c>
      <c r="C621" t="s">
        <v>1088</v>
      </c>
      <c r="D621" t="s">
        <v>1089</v>
      </c>
      <c r="E621" t="s">
        <v>610</v>
      </c>
      <c r="F621" t="s">
        <v>6</v>
      </c>
      <c r="G621" s="4">
        <v>1227</v>
      </c>
      <c r="H621" s="4">
        <v>44390.139000000003</v>
      </c>
      <c r="I621" s="4">
        <v>44828.353999999999</v>
      </c>
      <c r="J621" s="1">
        <v>-0.97753979546070324</v>
      </c>
      <c r="K621" s="3">
        <v>36177.78239608802</v>
      </c>
      <c r="L621" s="2">
        <v>2</v>
      </c>
      <c r="M621" s="2">
        <v>2</v>
      </c>
    </row>
    <row r="622" spans="1:13" x14ac:dyDescent="0.25">
      <c r="A622" s="2">
        <f t="shared" si="9"/>
        <v>614</v>
      </c>
      <c r="B622" s="2">
        <v>196194</v>
      </c>
      <c r="C622" t="s">
        <v>1090</v>
      </c>
      <c r="D622" t="s">
        <v>1091</v>
      </c>
      <c r="E622" t="s">
        <v>34</v>
      </c>
      <c r="F622" t="s">
        <v>82</v>
      </c>
      <c r="G622" s="4">
        <v>6971</v>
      </c>
      <c r="H622" s="4">
        <v>44063.839</v>
      </c>
      <c r="I622" s="4">
        <v>41849.758999999998</v>
      </c>
      <c r="J622" s="1">
        <v>5.2905442060012815</v>
      </c>
      <c r="K622" s="3">
        <v>6321.0212308133696</v>
      </c>
      <c r="L622" s="2">
        <v>2</v>
      </c>
      <c r="M622" s="2">
        <v>3</v>
      </c>
    </row>
    <row r="623" spans="1:13" x14ac:dyDescent="0.25">
      <c r="A623" s="2">
        <f t="shared" si="9"/>
        <v>615</v>
      </c>
      <c r="B623" s="2">
        <v>166391</v>
      </c>
      <c r="C623" t="s">
        <v>1092</v>
      </c>
      <c r="D623" t="s">
        <v>1093</v>
      </c>
      <c r="E623" t="s">
        <v>5</v>
      </c>
      <c r="F623" t="s">
        <v>6</v>
      </c>
      <c r="G623" s="4">
        <v>1892</v>
      </c>
      <c r="H623" s="4">
        <v>43816.68</v>
      </c>
      <c r="I623" s="4">
        <v>45910.059000000001</v>
      </c>
      <c r="J623" s="1">
        <v>-4.55973929373517</v>
      </c>
      <c r="K623" s="3">
        <v>23158.921775898521</v>
      </c>
      <c r="L623" s="2">
        <v>2</v>
      </c>
      <c r="M623" s="2">
        <v>3</v>
      </c>
    </row>
    <row r="624" spans="1:13" x14ac:dyDescent="0.25">
      <c r="A624" s="2">
        <f t="shared" si="9"/>
        <v>616</v>
      </c>
      <c r="B624" s="2">
        <v>193292</v>
      </c>
      <c r="C624" t="s">
        <v>1094</v>
      </c>
      <c r="D624" t="s">
        <v>1095</v>
      </c>
      <c r="E624" t="s">
        <v>34</v>
      </c>
      <c r="F624" t="s">
        <v>6</v>
      </c>
      <c r="G624" s="4">
        <v>3784</v>
      </c>
      <c r="H624" s="4">
        <v>43648.436999999998</v>
      </c>
      <c r="I624" s="4">
        <v>40758.565000000002</v>
      </c>
      <c r="J624" s="1">
        <v>7.0902201782619194</v>
      </c>
      <c r="K624" s="3">
        <v>11534.999207188161</v>
      </c>
      <c r="L624" s="2">
        <v>2</v>
      </c>
      <c r="M624" s="2">
        <v>3</v>
      </c>
    </row>
    <row r="625" spans="1:13" x14ac:dyDescent="0.25">
      <c r="A625" s="2">
        <f t="shared" si="9"/>
        <v>617</v>
      </c>
      <c r="B625" s="2">
        <v>217013</v>
      </c>
      <c r="C625" t="s">
        <v>1096</v>
      </c>
      <c r="D625" t="s">
        <v>1097</v>
      </c>
      <c r="E625" t="s">
        <v>23</v>
      </c>
      <c r="F625" t="s">
        <v>6</v>
      </c>
      <c r="G625" s="4">
        <v>1009</v>
      </c>
      <c r="H625" s="4">
        <v>43393.03</v>
      </c>
      <c r="I625" s="4">
        <v>44215.762000000002</v>
      </c>
      <c r="J625" s="1">
        <v>-1.8607210704635149</v>
      </c>
      <c r="K625" s="3">
        <v>43005.976214073336</v>
      </c>
      <c r="L625" s="2">
        <v>2</v>
      </c>
      <c r="M625" s="2">
        <v>3</v>
      </c>
    </row>
    <row r="626" spans="1:13" x14ac:dyDescent="0.25">
      <c r="A626" s="2">
        <f t="shared" si="9"/>
        <v>618</v>
      </c>
      <c r="B626" s="2">
        <v>173328</v>
      </c>
      <c r="C626" t="s">
        <v>1098</v>
      </c>
      <c r="D626" t="s">
        <v>332</v>
      </c>
      <c r="E626" t="s">
        <v>101</v>
      </c>
      <c r="F626" t="s">
        <v>6</v>
      </c>
      <c r="G626" s="4">
        <v>4386</v>
      </c>
      <c r="H626" s="4">
        <v>43149.07</v>
      </c>
      <c r="I626" s="4">
        <v>43414.517999999996</v>
      </c>
      <c r="J626" s="1">
        <v>-0.6114268042777764</v>
      </c>
      <c r="K626" s="3">
        <v>9837.9092567259468</v>
      </c>
      <c r="L626" s="2">
        <v>2</v>
      </c>
      <c r="M626" s="2">
        <v>3</v>
      </c>
    </row>
    <row r="627" spans="1:13" x14ac:dyDescent="0.25">
      <c r="A627" s="2">
        <f t="shared" si="9"/>
        <v>619</v>
      </c>
      <c r="B627" s="2">
        <v>214166</v>
      </c>
      <c r="C627" t="s">
        <v>1100</v>
      </c>
      <c r="D627" t="s">
        <v>1101</v>
      </c>
      <c r="E627" t="s">
        <v>23</v>
      </c>
      <c r="F627" t="s">
        <v>6</v>
      </c>
      <c r="G627" s="4">
        <v>1273</v>
      </c>
      <c r="H627" s="4">
        <v>41839.43</v>
      </c>
      <c r="I627" s="4">
        <v>43986.493000000002</v>
      </c>
      <c r="J627" s="1">
        <v>-4.8811870498518717</v>
      </c>
      <c r="K627" s="3">
        <v>32866.794972505893</v>
      </c>
      <c r="L627" s="2">
        <v>2</v>
      </c>
      <c r="M627" s="2">
        <v>2</v>
      </c>
    </row>
    <row r="628" spans="1:13" x14ac:dyDescent="0.25">
      <c r="A628" s="2">
        <f t="shared" si="9"/>
        <v>620</v>
      </c>
      <c r="B628" s="2">
        <v>167598</v>
      </c>
      <c r="C628" t="s">
        <v>1102</v>
      </c>
      <c r="D628" t="s">
        <v>1103</v>
      </c>
      <c r="E628" t="s">
        <v>5</v>
      </c>
      <c r="F628" t="s">
        <v>6</v>
      </c>
      <c r="G628" s="4">
        <v>1982</v>
      </c>
      <c r="H628" s="4">
        <v>41748</v>
      </c>
      <c r="I628" s="4">
        <v>41835</v>
      </c>
      <c r="J628" s="1">
        <v>-0.21</v>
      </c>
      <c r="K628" s="3">
        <v>21063.66</v>
      </c>
      <c r="L628" s="2">
        <v>2</v>
      </c>
      <c r="M628" s="2">
        <v>5</v>
      </c>
    </row>
    <row r="629" spans="1:13" x14ac:dyDescent="0.25">
      <c r="A629" s="2">
        <f t="shared" si="9"/>
        <v>621</v>
      </c>
      <c r="B629" s="2">
        <v>173142</v>
      </c>
      <c r="C629" t="s">
        <v>1104</v>
      </c>
      <c r="D629" t="s">
        <v>1029</v>
      </c>
      <c r="E629" t="s">
        <v>101</v>
      </c>
      <c r="F629" t="s">
        <v>6</v>
      </c>
      <c r="G629" s="4">
        <v>641</v>
      </c>
      <c r="H629" s="4">
        <v>41592.582999999999</v>
      </c>
      <c r="I629" s="4">
        <v>44116.58</v>
      </c>
      <c r="J629" s="1">
        <v>-5.7211982433815134</v>
      </c>
      <c r="K629" s="3">
        <v>64887.024960998438</v>
      </c>
      <c r="L629" s="2">
        <v>2</v>
      </c>
      <c r="M629" s="2">
        <v>2</v>
      </c>
    </row>
    <row r="630" spans="1:13" x14ac:dyDescent="0.25">
      <c r="A630" s="2">
        <f t="shared" si="9"/>
        <v>622</v>
      </c>
      <c r="B630" s="2">
        <v>200217</v>
      </c>
      <c r="C630" t="s">
        <v>1105</v>
      </c>
      <c r="D630" t="s">
        <v>1106</v>
      </c>
      <c r="E630" t="s">
        <v>521</v>
      </c>
      <c r="F630" t="s">
        <v>6</v>
      </c>
      <c r="G630" s="4">
        <v>3510</v>
      </c>
      <c r="H630" s="4">
        <v>41182.449999999997</v>
      </c>
      <c r="I630" s="4">
        <v>42495.521000000001</v>
      </c>
      <c r="J630" s="1">
        <v>-3.0899044631080059</v>
      </c>
      <c r="K630" s="3">
        <v>11732.891737891738</v>
      </c>
      <c r="L630" s="2">
        <v>2</v>
      </c>
      <c r="M630" s="2">
        <v>4</v>
      </c>
    </row>
    <row r="631" spans="1:13" x14ac:dyDescent="0.25">
      <c r="A631" s="2">
        <f t="shared" si="9"/>
        <v>623</v>
      </c>
      <c r="B631" s="2">
        <v>203748</v>
      </c>
      <c r="C631" t="s">
        <v>1107</v>
      </c>
      <c r="D631" t="s">
        <v>1108</v>
      </c>
      <c r="E631" t="s">
        <v>69</v>
      </c>
      <c r="F631" t="s">
        <v>82</v>
      </c>
      <c r="G631" s="4">
        <v>5834</v>
      </c>
      <c r="H631" s="4">
        <v>40805.464999999997</v>
      </c>
      <c r="I631" s="4">
        <v>40485.370000000003</v>
      </c>
      <c r="J631" s="1">
        <v>0.79064363250230896</v>
      </c>
      <c r="K631" s="3">
        <v>6994.4232087761402</v>
      </c>
      <c r="L631" s="2">
        <v>2</v>
      </c>
      <c r="M631" s="2">
        <v>1</v>
      </c>
    </row>
    <row r="632" spans="1:13" x14ac:dyDescent="0.25">
      <c r="A632" s="2">
        <f t="shared" si="9"/>
        <v>624</v>
      </c>
      <c r="B632" s="2">
        <v>115083</v>
      </c>
      <c r="C632" t="s">
        <v>1109</v>
      </c>
      <c r="D632" t="s">
        <v>125</v>
      </c>
      <c r="E632" t="s">
        <v>16</v>
      </c>
      <c r="F632" t="s">
        <v>6</v>
      </c>
      <c r="G632" s="4">
        <v>1505</v>
      </c>
      <c r="H632" s="4">
        <v>40288.218000000001</v>
      </c>
      <c r="I632" s="4">
        <v>46828.071000000004</v>
      </c>
      <c r="J632" s="1">
        <v>-13.965668156606323</v>
      </c>
      <c r="K632" s="3">
        <v>26769.580066445182</v>
      </c>
      <c r="L632" s="2">
        <v>2</v>
      </c>
      <c r="M632" s="2">
        <v>3</v>
      </c>
    </row>
    <row r="633" spans="1:13" x14ac:dyDescent="0.25">
      <c r="A633" s="2">
        <f t="shared" si="9"/>
        <v>625</v>
      </c>
      <c r="B633" s="2">
        <v>180416</v>
      </c>
      <c r="C633" t="s">
        <v>1110</v>
      </c>
      <c r="D633" t="s">
        <v>1111</v>
      </c>
      <c r="E633" t="s">
        <v>610</v>
      </c>
      <c r="F633" t="s">
        <v>82</v>
      </c>
      <c r="G633" s="4">
        <v>2043</v>
      </c>
      <c r="H633" s="4">
        <v>39864.85</v>
      </c>
      <c r="I633" s="4">
        <v>40730.648999999998</v>
      </c>
      <c r="J633" s="1">
        <v>-2.1256695418725098</v>
      </c>
      <c r="K633" s="3">
        <v>19512.897699461577</v>
      </c>
      <c r="L633" s="2">
        <v>2</v>
      </c>
      <c r="M633" s="2">
        <v>3</v>
      </c>
    </row>
    <row r="634" spans="1:13" x14ac:dyDescent="0.25">
      <c r="A634" s="2">
        <f t="shared" si="9"/>
        <v>626</v>
      </c>
      <c r="B634" s="2">
        <v>187134</v>
      </c>
      <c r="C634" t="s">
        <v>1112</v>
      </c>
      <c r="D634" t="s">
        <v>1113</v>
      </c>
      <c r="E634" t="s">
        <v>19</v>
      </c>
      <c r="F634" t="s">
        <v>10</v>
      </c>
      <c r="G634" s="4">
        <v>7465</v>
      </c>
      <c r="H634" s="4">
        <v>39808.896999999997</v>
      </c>
      <c r="I634" s="4">
        <v>42807.531000000003</v>
      </c>
      <c r="J634" s="1">
        <v>-7.0049216339994</v>
      </c>
      <c r="K634" s="3">
        <v>5332.7390488948422</v>
      </c>
      <c r="L634" s="2">
        <v>2</v>
      </c>
      <c r="M634" s="2">
        <v>3</v>
      </c>
    </row>
    <row r="635" spans="1:13" x14ac:dyDescent="0.25">
      <c r="A635" s="2">
        <f t="shared" si="9"/>
        <v>627</v>
      </c>
      <c r="B635" s="2">
        <v>182634</v>
      </c>
      <c r="C635" t="s">
        <v>1114</v>
      </c>
      <c r="D635" t="s">
        <v>495</v>
      </c>
      <c r="E635" t="s">
        <v>64</v>
      </c>
      <c r="F635" t="s">
        <v>6</v>
      </c>
      <c r="G635" s="4">
        <v>823</v>
      </c>
      <c r="H635" s="4">
        <v>39773.086000000003</v>
      </c>
      <c r="I635" s="4">
        <v>39449.442999999999</v>
      </c>
      <c r="J635" s="1">
        <v>0.82039941603231259</v>
      </c>
      <c r="K635" s="3">
        <v>48326.957472660994</v>
      </c>
      <c r="L635" s="2">
        <v>2</v>
      </c>
      <c r="M635" s="2">
        <v>2</v>
      </c>
    </row>
    <row r="636" spans="1:13" x14ac:dyDescent="0.25">
      <c r="A636" s="2">
        <f t="shared" si="9"/>
        <v>628</v>
      </c>
      <c r="B636" s="2">
        <v>211644</v>
      </c>
      <c r="C636" t="s">
        <v>1115</v>
      </c>
      <c r="D636" t="s">
        <v>1116</v>
      </c>
      <c r="E636" t="s">
        <v>23</v>
      </c>
      <c r="F636" t="s">
        <v>82</v>
      </c>
      <c r="G636" s="4">
        <v>3772</v>
      </c>
      <c r="H636" s="4">
        <v>39189.205999999998</v>
      </c>
      <c r="I636" s="4">
        <v>38740.868000000002</v>
      </c>
      <c r="J636" s="1">
        <v>1.1572740187442367</v>
      </c>
      <c r="K636" s="3">
        <v>10389.503181336162</v>
      </c>
      <c r="L636" s="2">
        <v>2</v>
      </c>
      <c r="M636" s="2">
        <v>3</v>
      </c>
    </row>
    <row r="637" spans="1:13" x14ac:dyDescent="0.25">
      <c r="A637" s="2">
        <f t="shared" si="9"/>
        <v>629</v>
      </c>
      <c r="B637" s="2">
        <v>161457</v>
      </c>
      <c r="C637" t="s">
        <v>1117</v>
      </c>
      <c r="D637" t="s">
        <v>1118</v>
      </c>
      <c r="E637" t="s">
        <v>148</v>
      </c>
      <c r="F637" t="s">
        <v>6</v>
      </c>
      <c r="G637" s="4">
        <v>6047</v>
      </c>
      <c r="H637" s="4">
        <v>39036.942999999999</v>
      </c>
      <c r="I637" s="4">
        <v>39304.470999999998</v>
      </c>
      <c r="J637" s="1">
        <v>-0.68065538905230394</v>
      </c>
      <c r="K637" s="3">
        <v>6455.5883909376553</v>
      </c>
      <c r="L637" s="2">
        <v>2</v>
      </c>
      <c r="M637" s="2">
        <v>4</v>
      </c>
    </row>
    <row r="638" spans="1:13" x14ac:dyDescent="0.25">
      <c r="A638" s="2">
        <f t="shared" si="9"/>
        <v>630</v>
      </c>
      <c r="B638" s="2">
        <v>196158</v>
      </c>
      <c r="C638" t="s">
        <v>1119</v>
      </c>
      <c r="D638" t="s">
        <v>1120</v>
      </c>
      <c r="E638" t="s">
        <v>34</v>
      </c>
      <c r="F638" t="s">
        <v>82</v>
      </c>
      <c r="G638" s="4">
        <v>4339</v>
      </c>
      <c r="H638" s="4">
        <v>38218.625</v>
      </c>
      <c r="I638" s="4">
        <v>38955.205999999998</v>
      </c>
      <c r="J638" s="1">
        <v>-1.8908409828457846</v>
      </c>
      <c r="K638" s="3">
        <v>8808.1643235768606</v>
      </c>
      <c r="L638" s="2">
        <v>2</v>
      </c>
      <c r="M638" s="2">
        <v>3</v>
      </c>
    </row>
    <row r="639" spans="1:13" x14ac:dyDescent="0.25">
      <c r="A639" s="2">
        <f t="shared" si="9"/>
        <v>631</v>
      </c>
      <c r="B639" s="2">
        <v>215655</v>
      </c>
      <c r="C639" t="s">
        <v>1121</v>
      </c>
      <c r="D639" t="s">
        <v>1122</v>
      </c>
      <c r="E639" t="s">
        <v>23</v>
      </c>
      <c r="F639" t="s">
        <v>6</v>
      </c>
      <c r="G639" s="4">
        <v>3927</v>
      </c>
      <c r="H639" s="4">
        <v>38162</v>
      </c>
      <c r="I639" s="4">
        <v>37013</v>
      </c>
      <c r="J639" s="1">
        <v>3.1043147002404559</v>
      </c>
      <c r="K639" s="3">
        <v>9717.850776674306</v>
      </c>
      <c r="L639" s="2">
        <v>2</v>
      </c>
      <c r="M639" s="2">
        <v>4</v>
      </c>
    </row>
    <row r="640" spans="1:13" x14ac:dyDescent="0.25">
      <c r="A640" s="2">
        <f t="shared" si="9"/>
        <v>632</v>
      </c>
      <c r="B640" s="2">
        <v>196200</v>
      </c>
      <c r="C640" t="s">
        <v>1123</v>
      </c>
      <c r="D640" t="s">
        <v>624</v>
      </c>
      <c r="E640" t="s">
        <v>34</v>
      </c>
      <c r="F640" t="s">
        <v>82</v>
      </c>
      <c r="G640" s="4">
        <v>3334</v>
      </c>
      <c r="H640" s="4">
        <v>38076.624000000003</v>
      </c>
      <c r="I640" s="4">
        <v>36187.644999999997</v>
      </c>
      <c r="J640" s="1">
        <v>5.2199555953420012</v>
      </c>
      <c r="K640" s="3">
        <v>11420.703059388123</v>
      </c>
      <c r="L640" s="2">
        <v>2</v>
      </c>
      <c r="M640" s="2">
        <v>3</v>
      </c>
    </row>
    <row r="641" spans="1:13" x14ac:dyDescent="0.25">
      <c r="A641" s="2">
        <f t="shared" si="9"/>
        <v>633</v>
      </c>
      <c r="B641" s="2">
        <v>201654</v>
      </c>
      <c r="C641" t="s">
        <v>1124</v>
      </c>
      <c r="D641" t="s">
        <v>1125</v>
      </c>
      <c r="E641" t="s">
        <v>69</v>
      </c>
      <c r="F641" t="s">
        <v>6</v>
      </c>
      <c r="G641" s="4">
        <v>3757</v>
      </c>
      <c r="H641" s="4">
        <v>37595.101000000002</v>
      </c>
      <c r="I641" s="4">
        <v>36485.21</v>
      </c>
      <c r="J641" s="1">
        <v>3.0420299074611328</v>
      </c>
      <c r="K641" s="3">
        <v>10006.681128560022</v>
      </c>
      <c r="L641" s="2">
        <v>2</v>
      </c>
      <c r="M641" s="2">
        <v>3</v>
      </c>
    </row>
    <row r="642" spans="1:13" x14ac:dyDescent="0.25">
      <c r="A642" s="2">
        <f t="shared" si="9"/>
        <v>634</v>
      </c>
      <c r="B642" s="2">
        <v>127556</v>
      </c>
      <c r="C642" t="s">
        <v>1126</v>
      </c>
      <c r="D642" t="s">
        <v>1127</v>
      </c>
      <c r="E642" t="s">
        <v>164</v>
      </c>
      <c r="F642" t="s">
        <v>82</v>
      </c>
      <c r="G642" s="4">
        <v>3835</v>
      </c>
      <c r="H642" s="4">
        <v>37213.186999999998</v>
      </c>
      <c r="I642" s="4">
        <v>34874.565999999999</v>
      </c>
      <c r="J642" s="1">
        <v>6.7058067475305645</v>
      </c>
      <c r="K642" s="3">
        <v>9703.568970013037</v>
      </c>
      <c r="L642" s="2">
        <v>2</v>
      </c>
      <c r="M642" s="2">
        <v>3</v>
      </c>
    </row>
    <row r="643" spans="1:13" x14ac:dyDescent="0.25">
      <c r="A643" s="2">
        <f t="shared" si="9"/>
        <v>635</v>
      </c>
      <c r="B643" s="2">
        <v>211468</v>
      </c>
      <c r="C643" t="s">
        <v>1128</v>
      </c>
      <c r="D643" t="s">
        <v>514</v>
      </c>
      <c r="E643" t="s">
        <v>23</v>
      </c>
      <c r="F643" t="s">
        <v>6</v>
      </c>
      <c r="G643" s="4">
        <v>1424</v>
      </c>
      <c r="H643" s="4">
        <v>37091.675000000003</v>
      </c>
      <c r="I643" s="4">
        <v>36651.307999999997</v>
      </c>
      <c r="J643" s="1">
        <v>1.2015041864263072</v>
      </c>
      <c r="K643" s="3">
        <v>26047.524578651686</v>
      </c>
      <c r="L643" s="2">
        <v>2</v>
      </c>
      <c r="M643" s="2">
        <v>3</v>
      </c>
    </row>
    <row r="644" spans="1:13" x14ac:dyDescent="0.25">
      <c r="A644" s="2">
        <f t="shared" si="9"/>
        <v>636</v>
      </c>
      <c r="B644" s="2">
        <v>240657</v>
      </c>
      <c r="C644" t="s">
        <v>1129</v>
      </c>
      <c r="D644" t="s">
        <v>1130</v>
      </c>
      <c r="E644" t="s">
        <v>370</v>
      </c>
      <c r="F644" t="s">
        <v>82</v>
      </c>
      <c r="G644" s="4">
        <v>1359.1</v>
      </c>
      <c r="H644" s="4">
        <v>37089.442000000003</v>
      </c>
      <c r="I644" s="4">
        <v>38942.173999999999</v>
      </c>
      <c r="J644" s="1">
        <v>-4.757649123544053</v>
      </c>
      <c r="K644" s="3">
        <v>27289.707894930471</v>
      </c>
      <c r="L644" s="2">
        <v>2</v>
      </c>
      <c r="M644" s="2">
        <v>1</v>
      </c>
    </row>
    <row r="645" spans="1:13" x14ac:dyDescent="0.25">
      <c r="A645" s="2">
        <f t="shared" si="9"/>
        <v>637</v>
      </c>
      <c r="B645" s="2">
        <v>240338</v>
      </c>
      <c r="C645" t="s">
        <v>1131</v>
      </c>
      <c r="D645" t="s">
        <v>208</v>
      </c>
      <c r="E645" t="s">
        <v>81</v>
      </c>
      <c r="F645" t="s">
        <v>6</v>
      </c>
      <c r="G645" s="4">
        <v>877</v>
      </c>
      <c r="H645" s="4">
        <v>35989.942000000003</v>
      </c>
      <c r="I645" s="4">
        <v>36629.228999999999</v>
      </c>
      <c r="J645" s="1">
        <v>-1.7452919907213988</v>
      </c>
      <c r="K645" s="3">
        <v>41037.56214367161</v>
      </c>
      <c r="L645" s="2">
        <v>2</v>
      </c>
      <c r="M645" s="2">
        <v>2</v>
      </c>
    </row>
    <row r="646" spans="1:13" x14ac:dyDescent="0.25">
      <c r="A646" s="2">
        <f t="shared" si="9"/>
        <v>638</v>
      </c>
      <c r="B646" s="2">
        <v>189547</v>
      </c>
      <c r="C646" t="s">
        <v>1132</v>
      </c>
      <c r="D646" t="s">
        <v>1133</v>
      </c>
      <c r="E646" t="s">
        <v>34</v>
      </c>
      <c r="F646" t="s">
        <v>82</v>
      </c>
      <c r="G646" s="4">
        <v>4561</v>
      </c>
      <c r="H646" s="4">
        <v>35903.305999999997</v>
      </c>
      <c r="I646" s="4">
        <v>36240.633000000002</v>
      </c>
      <c r="J646" s="1">
        <v>-0.93079775952037047</v>
      </c>
      <c r="K646" s="3">
        <v>7871.8057443543084</v>
      </c>
      <c r="L646" s="2">
        <v>2</v>
      </c>
      <c r="M646" s="2">
        <v>1</v>
      </c>
    </row>
    <row r="647" spans="1:13" x14ac:dyDescent="0.25">
      <c r="A647" s="2">
        <f t="shared" si="9"/>
        <v>639</v>
      </c>
      <c r="B647" s="2">
        <v>179043</v>
      </c>
      <c r="C647" t="s">
        <v>1134</v>
      </c>
      <c r="D647" t="s">
        <v>1135</v>
      </c>
      <c r="E647" t="s">
        <v>43</v>
      </c>
      <c r="F647" t="s">
        <v>6</v>
      </c>
      <c r="G647" s="4">
        <v>2183</v>
      </c>
      <c r="H647" s="4">
        <v>35811.546000000002</v>
      </c>
      <c r="I647" s="4">
        <v>35465.919000000002</v>
      </c>
      <c r="J647" s="1">
        <v>0.97453276200174033</v>
      </c>
      <c r="K647" s="3">
        <v>16404.739349519012</v>
      </c>
      <c r="L647" s="2">
        <v>2</v>
      </c>
      <c r="M647" s="2">
        <v>3</v>
      </c>
    </row>
    <row r="648" spans="1:13" x14ac:dyDescent="0.25">
      <c r="A648" s="2">
        <f t="shared" si="9"/>
        <v>640</v>
      </c>
      <c r="B648" s="2">
        <v>113193</v>
      </c>
      <c r="C648" t="s">
        <v>1136</v>
      </c>
      <c r="D648" t="s">
        <v>572</v>
      </c>
      <c r="E648" t="s">
        <v>16</v>
      </c>
      <c r="F648" t="s">
        <v>82</v>
      </c>
      <c r="G648" s="4">
        <v>7972</v>
      </c>
      <c r="H648" s="4">
        <v>35473.773999999998</v>
      </c>
      <c r="I648" s="4">
        <v>35195.58</v>
      </c>
      <c r="J648" s="1">
        <v>0.79042311562986034</v>
      </c>
      <c r="K648" s="3">
        <v>4449.7960361264422</v>
      </c>
      <c r="L648" s="2">
        <v>2</v>
      </c>
      <c r="M648" s="2">
        <v>1</v>
      </c>
    </row>
    <row r="649" spans="1:13" x14ac:dyDescent="0.25">
      <c r="A649" s="2">
        <f t="shared" ref="A649:A712" si="10">RANK(H649,H$9:H$725,0)</f>
        <v>641</v>
      </c>
      <c r="B649" s="2">
        <v>147536</v>
      </c>
      <c r="C649" t="s">
        <v>1137</v>
      </c>
      <c r="D649" t="s">
        <v>45</v>
      </c>
      <c r="E649" t="s">
        <v>37</v>
      </c>
      <c r="F649" t="s">
        <v>6</v>
      </c>
      <c r="G649" s="4">
        <v>5042</v>
      </c>
      <c r="H649" s="4">
        <v>34585.379999999997</v>
      </c>
      <c r="I649" s="4">
        <v>36103.396999999997</v>
      </c>
      <c r="J649" s="1">
        <v>-4.2046375857651288</v>
      </c>
      <c r="K649" s="3">
        <v>6859.4565648552161</v>
      </c>
      <c r="L649" s="2">
        <v>2</v>
      </c>
      <c r="M649" s="2">
        <v>4</v>
      </c>
    </row>
    <row r="650" spans="1:13" x14ac:dyDescent="0.25">
      <c r="A650" s="2">
        <f t="shared" si="10"/>
        <v>642</v>
      </c>
      <c r="B650" s="2">
        <v>168430</v>
      </c>
      <c r="C650" t="s">
        <v>1138</v>
      </c>
      <c r="D650" t="s">
        <v>315</v>
      </c>
      <c r="E650" t="s">
        <v>5</v>
      </c>
      <c r="F650" t="s">
        <v>82</v>
      </c>
      <c r="G650" s="4">
        <v>4633.7</v>
      </c>
      <c r="H650" s="4">
        <v>34452.915000000001</v>
      </c>
      <c r="I650" s="4">
        <v>32013.063999999998</v>
      </c>
      <c r="J650" s="1">
        <v>7.6214229290892002</v>
      </c>
      <c r="K650" s="3">
        <v>7435.2925308069152</v>
      </c>
      <c r="L650" s="2">
        <v>2</v>
      </c>
      <c r="M650" s="2">
        <v>3</v>
      </c>
    </row>
    <row r="651" spans="1:13" x14ac:dyDescent="0.25">
      <c r="A651" s="2">
        <f t="shared" si="10"/>
        <v>643</v>
      </c>
      <c r="B651" s="2">
        <v>194958</v>
      </c>
      <c r="C651" t="s">
        <v>1139</v>
      </c>
      <c r="D651" t="s">
        <v>110</v>
      </c>
      <c r="E651" t="s">
        <v>34</v>
      </c>
      <c r="F651" t="s">
        <v>6</v>
      </c>
      <c r="G651" s="4">
        <v>1736</v>
      </c>
      <c r="H651" s="4">
        <v>33872.050999999999</v>
      </c>
      <c r="I651" s="4">
        <v>34060.186000000002</v>
      </c>
      <c r="J651" s="1">
        <v>-0.55236045980488779</v>
      </c>
      <c r="K651" s="3">
        <v>19511.550115207374</v>
      </c>
      <c r="L651" s="2">
        <v>2</v>
      </c>
      <c r="M651" s="2">
        <v>3</v>
      </c>
    </row>
    <row r="652" spans="1:13" x14ac:dyDescent="0.25">
      <c r="A652" s="2">
        <f t="shared" si="10"/>
        <v>644</v>
      </c>
      <c r="B652" s="2">
        <v>213349</v>
      </c>
      <c r="C652" t="s">
        <v>1140</v>
      </c>
      <c r="D652" t="s">
        <v>1141</v>
      </c>
      <c r="E652" t="s">
        <v>23</v>
      </c>
      <c r="F652" t="s">
        <v>82</v>
      </c>
      <c r="G652" s="4">
        <v>7254</v>
      </c>
      <c r="H652" s="4">
        <v>33733.783000000003</v>
      </c>
      <c r="I652" s="4">
        <v>31867.171999999999</v>
      </c>
      <c r="J652" s="1">
        <v>5.8574730132940562</v>
      </c>
      <c r="K652" s="3">
        <v>4650.3698649021226</v>
      </c>
      <c r="L652" s="2">
        <v>2</v>
      </c>
      <c r="M652" s="2">
        <v>3</v>
      </c>
    </row>
    <row r="653" spans="1:13" x14ac:dyDescent="0.25">
      <c r="A653" s="2">
        <f t="shared" si="10"/>
        <v>645</v>
      </c>
      <c r="B653" s="2">
        <v>180595</v>
      </c>
      <c r="C653" t="s">
        <v>1142</v>
      </c>
      <c r="D653" t="s">
        <v>1143</v>
      </c>
      <c r="E653" t="s">
        <v>610</v>
      </c>
      <c r="F653" t="s">
        <v>6</v>
      </c>
      <c r="G653" s="4">
        <v>963.33</v>
      </c>
      <c r="H653" s="4">
        <v>32883.434000000001</v>
      </c>
      <c r="I653" s="4">
        <v>32055.242999999999</v>
      </c>
      <c r="J653" s="1">
        <v>2.5836366300514397</v>
      </c>
      <c r="K653" s="3">
        <v>34135.170709933249</v>
      </c>
      <c r="L653" s="2">
        <v>2</v>
      </c>
      <c r="M653" s="2">
        <v>3</v>
      </c>
    </row>
    <row r="654" spans="1:13" x14ac:dyDescent="0.25">
      <c r="A654" s="2">
        <f t="shared" si="10"/>
        <v>646</v>
      </c>
      <c r="B654" s="2">
        <v>163912</v>
      </c>
      <c r="C654" t="s">
        <v>1144</v>
      </c>
      <c r="D654" t="s">
        <v>1145</v>
      </c>
      <c r="E654" t="s">
        <v>59</v>
      </c>
      <c r="F654" t="s">
        <v>82</v>
      </c>
      <c r="G654" s="4">
        <v>1475</v>
      </c>
      <c r="H654" s="4">
        <v>32773.675999999999</v>
      </c>
      <c r="I654" s="4">
        <v>33369.593000000001</v>
      </c>
      <c r="J654" s="1">
        <v>-1.7858084154637428</v>
      </c>
      <c r="K654" s="3">
        <v>22219.441355932202</v>
      </c>
      <c r="L654" s="2">
        <v>2</v>
      </c>
      <c r="M654" s="2">
        <v>2</v>
      </c>
    </row>
    <row r="655" spans="1:13" x14ac:dyDescent="0.25">
      <c r="A655" s="2">
        <f t="shared" si="10"/>
        <v>647</v>
      </c>
      <c r="B655" s="2">
        <v>115755</v>
      </c>
      <c r="C655" t="s">
        <v>1146</v>
      </c>
      <c r="D655" t="s">
        <v>1147</v>
      </c>
      <c r="E655" t="s">
        <v>16</v>
      </c>
      <c r="F655" t="s">
        <v>10</v>
      </c>
      <c r="G655" s="4">
        <v>6658</v>
      </c>
      <c r="H655" s="4">
        <v>32059.53</v>
      </c>
      <c r="I655" s="4">
        <v>30294.242999999999</v>
      </c>
      <c r="J655" s="1">
        <v>5.8271368589735024</v>
      </c>
      <c r="K655" s="3">
        <v>4815.189246019826</v>
      </c>
      <c r="L655" s="2">
        <v>2</v>
      </c>
      <c r="M655" s="2">
        <v>3</v>
      </c>
    </row>
    <row r="656" spans="1:13" x14ac:dyDescent="0.25">
      <c r="A656" s="2">
        <f t="shared" si="10"/>
        <v>648</v>
      </c>
      <c r="B656" s="2">
        <v>137476</v>
      </c>
      <c r="C656" t="s">
        <v>1148</v>
      </c>
      <c r="D656" t="s">
        <v>1149</v>
      </c>
      <c r="E656" t="s">
        <v>141</v>
      </c>
      <c r="F656" t="s">
        <v>6</v>
      </c>
      <c r="G656" s="4">
        <v>2878</v>
      </c>
      <c r="H656" s="4">
        <v>31262.2</v>
      </c>
      <c r="I656" s="4">
        <v>30775.981</v>
      </c>
      <c r="J656" s="1">
        <v>1.5798651552325822</v>
      </c>
      <c r="K656" s="3">
        <v>10862.473940236276</v>
      </c>
      <c r="L656" s="2">
        <v>2</v>
      </c>
      <c r="M656" s="2">
        <v>3</v>
      </c>
    </row>
    <row r="657" spans="1:13" x14ac:dyDescent="0.25">
      <c r="A657" s="2">
        <f t="shared" si="10"/>
        <v>649</v>
      </c>
      <c r="B657" s="2">
        <v>139764</v>
      </c>
      <c r="C657" t="s">
        <v>1150</v>
      </c>
      <c r="D657" t="s">
        <v>1151</v>
      </c>
      <c r="E657" t="s">
        <v>48</v>
      </c>
      <c r="F657" t="s">
        <v>82</v>
      </c>
      <c r="G657" s="4">
        <v>2445</v>
      </c>
      <c r="H657" s="4">
        <v>31176.046999999999</v>
      </c>
      <c r="I657" s="4">
        <v>31375.475999999999</v>
      </c>
      <c r="J657" s="1">
        <v>-0.63562063568374227</v>
      </c>
      <c r="K657" s="3">
        <v>12750.939468302658</v>
      </c>
      <c r="L657" s="2">
        <v>2</v>
      </c>
      <c r="M657" s="2">
        <v>3</v>
      </c>
    </row>
    <row r="658" spans="1:13" x14ac:dyDescent="0.25">
      <c r="A658" s="2">
        <f t="shared" si="10"/>
        <v>650</v>
      </c>
      <c r="B658" s="2">
        <v>211981</v>
      </c>
      <c r="C658" t="s">
        <v>1152</v>
      </c>
      <c r="D658" t="s">
        <v>1153</v>
      </c>
      <c r="E658" t="s">
        <v>23</v>
      </c>
      <c r="F658" t="s">
        <v>6</v>
      </c>
      <c r="G658" s="4">
        <v>2024</v>
      </c>
      <c r="H658" s="4">
        <v>30892.006000000001</v>
      </c>
      <c r="I658" s="4">
        <v>33623.103999999999</v>
      </c>
      <c r="J658" s="1">
        <v>-8.1226825459065282</v>
      </c>
      <c r="K658" s="3">
        <v>15262.84881422925</v>
      </c>
      <c r="L658" s="2">
        <v>2</v>
      </c>
      <c r="M658" s="2">
        <v>3</v>
      </c>
    </row>
    <row r="659" spans="1:13" x14ac:dyDescent="0.25">
      <c r="A659" s="2">
        <f t="shared" si="10"/>
        <v>651</v>
      </c>
      <c r="B659" s="2">
        <v>215266</v>
      </c>
      <c r="C659" t="s">
        <v>1154</v>
      </c>
      <c r="D659" t="s">
        <v>1155</v>
      </c>
      <c r="E659" t="s">
        <v>23</v>
      </c>
      <c r="F659" t="s">
        <v>82</v>
      </c>
      <c r="G659" s="4">
        <v>1277</v>
      </c>
      <c r="H659" s="4">
        <v>30881.69</v>
      </c>
      <c r="I659" s="4">
        <v>28454.517</v>
      </c>
      <c r="J659" s="1">
        <v>8.5300094884759421</v>
      </c>
      <c r="K659" s="3">
        <v>24182.999216914643</v>
      </c>
      <c r="L659" s="2">
        <v>2</v>
      </c>
      <c r="M659" s="2">
        <v>2</v>
      </c>
    </row>
    <row r="660" spans="1:13" x14ac:dyDescent="0.25">
      <c r="A660" s="2">
        <f t="shared" si="10"/>
        <v>652</v>
      </c>
      <c r="B660" s="2">
        <v>205470</v>
      </c>
      <c r="C660" t="s">
        <v>1156</v>
      </c>
      <c r="D660" t="s">
        <v>354</v>
      </c>
      <c r="E660" t="s">
        <v>69</v>
      </c>
      <c r="F660" t="s">
        <v>82</v>
      </c>
      <c r="G660" s="4">
        <v>11723</v>
      </c>
      <c r="H660" s="4">
        <v>30632.667000000001</v>
      </c>
      <c r="I660" s="4">
        <v>30717.721000000001</v>
      </c>
      <c r="J660" s="1">
        <v>-0.27688903092778266</v>
      </c>
      <c r="K660" s="3">
        <v>2613.0399215217949</v>
      </c>
      <c r="L660" s="2">
        <v>2</v>
      </c>
      <c r="M660" s="2">
        <v>1</v>
      </c>
    </row>
    <row r="661" spans="1:13" x14ac:dyDescent="0.25">
      <c r="A661" s="2">
        <f t="shared" si="10"/>
        <v>653</v>
      </c>
      <c r="B661" s="2">
        <v>130493</v>
      </c>
      <c r="C661" t="s">
        <v>1157</v>
      </c>
      <c r="D661" t="s">
        <v>12</v>
      </c>
      <c r="E661" t="s">
        <v>13</v>
      </c>
      <c r="F661" t="s">
        <v>82</v>
      </c>
      <c r="G661" s="4">
        <v>8282</v>
      </c>
      <c r="H661" s="4">
        <v>30590.863000000001</v>
      </c>
      <c r="I661" s="4">
        <v>30519.588</v>
      </c>
      <c r="J661" s="1">
        <v>0.23353853924895709</v>
      </c>
      <c r="K661" s="3">
        <v>3693.6564839410771</v>
      </c>
      <c r="L661" s="2">
        <v>2</v>
      </c>
      <c r="M661" s="2">
        <v>3</v>
      </c>
    </row>
    <row r="662" spans="1:13" x14ac:dyDescent="0.25">
      <c r="A662" s="2">
        <f t="shared" si="10"/>
        <v>654</v>
      </c>
      <c r="B662" s="2">
        <v>106704</v>
      </c>
      <c r="C662" t="s">
        <v>1158</v>
      </c>
      <c r="D662" t="s">
        <v>1026</v>
      </c>
      <c r="E662" t="s">
        <v>217</v>
      </c>
      <c r="F662" t="s">
        <v>82</v>
      </c>
      <c r="G662" s="4">
        <v>9207</v>
      </c>
      <c r="H662" s="4">
        <v>29937.866999999998</v>
      </c>
      <c r="I662" s="4">
        <v>29078.149000000001</v>
      </c>
      <c r="J662" s="1">
        <v>2.9565774630290256</v>
      </c>
      <c r="K662" s="3">
        <v>3251.6419028999676</v>
      </c>
      <c r="L662" s="2">
        <v>2</v>
      </c>
      <c r="M662" s="2">
        <v>4</v>
      </c>
    </row>
    <row r="663" spans="1:13" x14ac:dyDescent="0.25">
      <c r="A663" s="2">
        <f t="shared" si="10"/>
        <v>655</v>
      </c>
      <c r="B663" s="2">
        <v>153126</v>
      </c>
      <c r="C663" t="s">
        <v>1159</v>
      </c>
      <c r="D663" t="s">
        <v>646</v>
      </c>
      <c r="E663" t="s">
        <v>123</v>
      </c>
      <c r="F663" t="s">
        <v>6</v>
      </c>
      <c r="G663" s="4">
        <v>836.45</v>
      </c>
      <c r="H663" s="4">
        <v>29866.831999999999</v>
      </c>
      <c r="I663" s="4">
        <v>29340.142</v>
      </c>
      <c r="J663" s="1">
        <v>1.79511741967711</v>
      </c>
      <c r="K663" s="3">
        <v>35706.655508398588</v>
      </c>
      <c r="L663" s="2">
        <v>2</v>
      </c>
      <c r="M663" s="2">
        <v>4</v>
      </c>
    </row>
    <row r="664" spans="1:13" x14ac:dyDescent="0.25">
      <c r="A664" s="2">
        <f t="shared" si="10"/>
        <v>656</v>
      </c>
      <c r="B664" s="2">
        <v>177144</v>
      </c>
      <c r="C664" t="s">
        <v>1160</v>
      </c>
      <c r="D664" t="s">
        <v>1161</v>
      </c>
      <c r="E664" t="s">
        <v>43</v>
      </c>
      <c r="F664" t="s">
        <v>6</v>
      </c>
      <c r="G664" s="4">
        <v>984</v>
      </c>
      <c r="H664" s="4">
        <v>29786.697</v>
      </c>
      <c r="I664" s="4">
        <v>29466.766</v>
      </c>
      <c r="J664" s="1">
        <v>1.0857350277258115</v>
      </c>
      <c r="K664" s="3">
        <v>30271.033536585364</v>
      </c>
      <c r="L664" s="2">
        <v>2</v>
      </c>
      <c r="M664" s="2">
        <v>2</v>
      </c>
    </row>
    <row r="665" spans="1:13" x14ac:dyDescent="0.25">
      <c r="A665" s="2">
        <f t="shared" si="10"/>
        <v>657</v>
      </c>
      <c r="B665" s="2">
        <v>487542</v>
      </c>
      <c r="C665" t="s">
        <v>1162</v>
      </c>
      <c r="D665" t="s">
        <v>1163</v>
      </c>
      <c r="E665" t="s">
        <v>148</v>
      </c>
      <c r="F665" t="s">
        <v>6</v>
      </c>
      <c r="G665" s="4">
        <v>2980</v>
      </c>
      <c r="H665" s="4">
        <v>29535.267210000002</v>
      </c>
      <c r="I665" s="4">
        <v>27923.015010000003</v>
      </c>
      <c r="J665" s="1">
        <v>5.7739187527658</v>
      </c>
      <c r="K665" s="3">
        <v>9911.1634932885918</v>
      </c>
      <c r="L665" s="21" t="s">
        <v>1275</v>
      </c>
      <c r="M665" s="2">
        <v>0</v>
      </c>
    </row>
    <row r="666" spans="1:13" x14ac:dyDescent="0.25">
      <c r="A666" s="2">
        <f t="shared" si="10"/>
        <v>658</v>
      </c>
      <c r="B666" s="2">
        <v>218885</v>
      </c>
      <c r="C666" t="s">
        <v>1164</v>
      </c>
      <c r="D666" t="s">
        <v>1165</v>
      </c>
      <c r="E666" t="s">
        <v>305</v>
      </c>
      <c r="F666" t="s">
        <v>82</v>
      </c>
      <c r="G666" s="4">
        <v>4547</v>
      </c>
      <c r="H666" s="4">
        <v>28321.012999999999</v>
      </c>
      <c r="I666" s="4">
        <v>27343.052</v>
      </c>
      <c r="J666" s="1">
        <v>3.5766343859493079</v>
      </c>
      <c r="K666" s="3">
        <v>6228.5051682427975</v>
      </c>
      <c r="L666" s="2">
        <v>2</v>
      </c>
      <c r="M666" s="2">
        <v>1</v>
      </c>
    </row>
    <row r="667" spans="1:13" x14ac:dyDescent="0.25">
      <c r="A667" s="2">
        <f t="shared" si="10"/>
        <v>659</v>
      </c>
      <c r="B667" s="2">
        <v>366711</v>
      </c>
      <c r="C667" t="s">
        <v>1166</v>
      </c>
      <c r="D667" t="s">
        <v>573</v>
      </c>
      <c r="E667" t="s">
        <v>16</v>
      </c>
      <c r="F667" t="s">
        <v>10</v>
      </c>
      <c r="G667" s="4">
        <v>13714</v>
      </c>
      <c r="H667" s="4">
        <v>27957.341</v>
      </c>
      <c r="I667" s="4">
        <v>26288.717000000001</v>
      </c>
      <c r="J667" s="1">
        <v>6.3473010113045829</v>
      </c>
      <c r="K667" s="3">
        <v>2038.5985853871955</v>
      </c>
      <c r="L667" s="2">
        <v>2</v>
      </c>
      <c r="M667" s="2">
        <v>3</v>
      </c>
    </row>
    <row r="668" spans="1:13" x14ac:dyDescent="0.25">
      <c r="A668" s="2">
        <f t="shared" si="10"/>
        <v>660</v>
      </c>
      <c r="B668" s="2">
        <v>110501</v>
      </c>
      <c r="C668" t="s">
        <v>1167</v>
      </c>
      <c r="D668" t="s">
        <v>888</v>
      </c>
      <c r="E668" t="s">
        <v>16</v>
      </c>
      <c r="F668" t="s">
        <v>10</v>
      </c>
      <c r="G668" s="4">
        <v>1273</v>
      </c>
      <c r="H668" s="4">
        <v>27828.185000000001</v>
      </c>
      <c r="I668" s="4">
        <v>25106.296999999999</v>
      </c>
      <c r="J668" s="1">
        <v>10.841455432475765</v>
      </c>
      <c r="K668" s="3">
        <v>21860.318146111549</v>
      </c>
      <c r="L668" s="2">
        <v>2</v>
      </c>
      <c r="M668" s="2">
        <v>0</v>
      </c>
    </row>
    <row r="669" spans="1:13" x14ac:dyDescent="0.25">
      <c r="A669" s="2">
        <f t="shared" si="10"/>
        <v>661</v>
      </c>
      <c r="B669" s="26" t="s">
        <v>1275</v>
      </c>
      <c r="C669" t="s">
        <v>1168</v>
      </c>
      <c r="D669" t="s">
        <v>1169</v>
      </c>
      <c r="E669" t="s">
        <v>1275</v>
      </c>
      <c r="F669" t="s">
        <v>6</v>
      </c>
      <c r="G669" s="4">
        <v>888</v>
      </c>
      <c r="H669" s="4">
        <v>27791.786</v>
      </c>
      <c r="I669" s="4">
        <v>28300.406999999999</v>
      </c>
      <c r="J669" s="1">
        <v>-1.7972215028568317</v>
      </c>
      <c r="K669" s="3">
        <v>31297.056306306305</v>
      </c>
      <c r="L669" s="21" t="s">
        <v>1275</v>
      </c>
      <c r="M669" s="2">
        <v>0</v>
      </c>
    </row>
    <row r="670" spans="1:13" x14ac:dyDescent="0.25">
      <c r="A670" s="2">
        <f t="shared" si="10"/>
        <v>662</v>
      </c>
      <c r="B670" s="2">
        <v>409698</v>
      </c>
      <c r="C670" t="s">
        <v>1170</v>
      </c>
      <c r="D670" t="s">
        <v>1171</v>
      </c>
      <c r="E670" t="s">
        <v>16</v>
      </c>
      <c r="F670" t="s">
        <v>10</v>
      </c>
      <c r="G670" s="4">
        <v>6905</v>
      </c>
      <c r="H670" s="4">
        <v>27497.544000000002</v>
      </c>
      <c r="I670" s="4">
        <v>27083.828000000001</v>
      </c>
      <c r="J670" s="1">
        <v>1.527538869320836</v>
      </c>
      <c r="K670" s="3">
        <v>3982.2656046343232</v>
      </c>
      <c r="L670" s="2">
        <v>2</v>
      </c>
      <c r="M670" s="2">
        <v>3</v>
      </c>
    </row>
    <row r="671" spans="1:13" x14ac:dyDescent="0.25">
      <c r="A671" s="2">
        <f t="shared" si="10"/>
        <v>663</v>
      </c>
      <c r="B671" s="2">
        <v>149231</v>
      </c>
      <c r="C671" t="s">
        <v>1172</v>
      </c>
      <c r="D671" t="s">
        <v>1173</v>
      </c>
      <c r="E671" t="s">
        <v>37</v>
      </c>
      <c r="F671" t="s">
        <v>82</v>
      </c>
      <c r="G671" s="4">
        <v>10942</v>
      </c>
      <c r="H671" s="4">
        <v>27381</v>
      </c>
      <c r="I671" s="4">
        <v>26568</v>
      </c>
      <c r="J671" s="1">
        <v>3.0600722673893408</v>
      </c>
      <c r="K671" s="3">
        <v>2502.3761652348749</v>
      </c>
      <c r="L671" s="2">
        <v>2</v>
      </c>
      <c r="M671" s="2">
        <v>4</v>
      </c>
    </row>
    <row r="672" spans="1:13" x14ac:dyDescent="0.25">
      <c r="A672" s="2">
        <f t="shared" si="10"/>
        <v>664</v>
      </c>
      <c r="B672" s="2">
        <v>147031</v>
      </c>
      <c r="C672" t="s">
        <v>1174</v>
      </c>
      <c r="D672" t="s">
        <v>45</v>
      </c>
      <c r="E672" t="s">
        <v>37</v>
      </c>
      <c r="F672" t="s">
        <v>6</v>
      </c>
      <c r="G672" s="4">
        <v>61</v>
      </c>
      <c r="H672" s="4">
        <v>27378.517</v>
      </c>
      <c r="I672" s="4">
        <v>25442.175999999999</v>
      </c>
      <c r="J672" s="1">
        <v>7.6107523192984754</v>
      </c>
      <c r="K672" s="3">
        <v>448828.14754098363</v>
      </c>
      <c r="L672" s="2">
        <v>2</v>
      </c>
      <c r="M672" s="2">
        <v>5</v>
      </c>
    </row>
    <row r="673" spans="1:13" x14ac:dyDescent="0.25">
      <c r="A673" s="2">
        <f t="shared" si="10"/>
        <v>665</v>
      </c>
      <c r="B673" s="2">
        <v>199184</v>
      </c>
      <c r="C673" t="s">
        <v>1175</v>
      </c>
      <c r="D673" t="s">
        <v>191</v>
      </c>
      <c r="E673" t="s">
        <v>40</v>
      </c>
      <c r="F673" t="s">
        <v>10</v>
      </c>
      <c r="G673" s="4">
        <v>1326</v>
      </c>
      <c r="H673" s="4">
        <v>26987.919000000002</v>
      </c>
      <c r="I673" s="4">
        <v>25457.596000000001</v>
      </c>
      <c r="J673" s="1">
        <v>6.0112628073758421</v>
      </c>
      <c r="K673" s="3">
        <v>20352.880090497736</v>
      </c>
      <c r="L673" s="2">
        <v>2</v>
      </c>
      <c r="M673" s="2">
        <v>5</v>
      </c>
    </row>
    <row r="674" spans="1:13" x14ac:dyDescent="0.25">
      <c r="A674" s="2">
        <f t="shared" si="10"/>
        <v>666</v>
      </c>
      <c r="B674" s="2">
        <v>110486</v>
      </c>
      <c r="C674" t="s">
        <v>1176</v>
      </c>
      <c r="D674" t="s">
        <v>1177</v>
      </c>
      <c r="E674" t="s">
        <v>16</v>
      </c>
      <c r="F674" t="s">
        <v>10</v>
      </c>
      <c r="G674" s="4">
        <v>10280.4</v>
      </c>
      <c r="H674" s="4">
        <v>26944.055</v>
      </c>
      <c r="I674" s="4">
        <v>25474.074000000001</v>
      </c>
      <c r="J674" s="1">
        <v>5.7704982720863569</v>
      </c>
      <c r="K674" s="3">
        <v>2620.9150422162561</v>
      </c>
      <c r="L674" s="2">
        <v>2</v>
      </c>
      <c r="M674" s="2">
        <v>3</v>
      </c>
    </row>
    <row r="675" spans="1:13" x14ac:dyDescent="0.25">
      <c r="A675" s="2">
        <f t="shared" si="10"/>
        <v>667</v>
      </c>
      <c r="B675" s="2">
        <v>197045</v>
      </c>
      <c r="C675" t="s">
        <v>1178</v>
      </c>
      <c r="D675" t="s">
        <v>1179</v>
      </c>
      <c r="E675" t="s">
        <v>34</v>
      </c>
      <c r="F675" t="s">
        <v>6</v>
      </c>
      <c r="G675" s="4">
        <v>5683</v>
      </c>
      <c r="H675" s="4">
        <v>26343.309000000001</v>
      </c>
      <c r="I675" s="4">
        <v>24795.972000000002</v>
      </c>
      <c r="J675" s="1">
        <v>6.2402756383173852</v>
      </c>
      <c r="K675" s="3">
        <v>4635.4582086925921</v>
      </c>
      <c r="L675" s="2">
        <v>2</v>
      </c>
      <c r="M675" s="2">
        <v>3</v>
      </c>
    </row>
    <row r="676" spans="1:13" x14ac:dyDescent="0.25">
      <c r="A676" s="2">
        <f t="shared" si="10"/>
        <v>668</v>
      </c>
      <c r="B676" s="2">
        <v>153375</v>
      </c>
      <c r="C676" t="s">
        <v>1180</v>
      </c>
      <c r="D676" t="s">
        <v>587</v>
      </c>
      <c r="E676" t="s">
        <v>123</v>
      </c>
      <c r="F676" t="s">
        <v>6</v>
      </c>
      <c r="G676" s="4">
        <v>1711</v>
      </c>
      <c r="H676" s="4">
        <v>26172.472000000002</v>
      </c>
      <c r="I676" s="4">
        <v>25734.103999999999</v>
      </c>
      <c r="J676" s="1">
        <v>1.703451575388053</v>
      </c>
      <c r="K676" s="3">
        <v>15296.593804792519</v>
      </c>
      <c r="L676" s="2">
        <v>2</v>
      </c>
      <c r="M676" s="2">
        <v>2</v>
      </c>
    </row>
    <row r="677" spans="1:13" x14ac:dyDescent="0.25">
      <c r="A677" s="2">
        <f t="shared" si="10"/>
        <v>669</v>
      </c>
      <c r="B677" s="2">
        <v>169521</v>
      </c>
      <c r="C677" t="s">
        <v>1181</v>
      </c>
      <c r="D677" t="s">
        <v>871</v>
      </c>
      <c r="E677" t="s">
        <v>27</v>
      </c>
      <c r="F677" t="s">
        <v>10</v>
      </c>
      <c r="G677" s="4">
        <v>4431</v>
      </c>
      <c r="H677" s="4">
        <v>25939.762999999999</v>
      </c>
      <c r="I677" s="4">
        <v>25581.362000000001</v>
      </c>
      <c r="J677" s="1">
        <v>1.401023917334816</v>
      </c>
      <c r="K677" s="3">
        <v>5854.1554953735049</v>
      </c>
      <c r="L677" s="2">
        <v>2</v>
      </c>
      <c r="M677" s="2">
        <v>1</v>
      </c>
    </row>
    <row r="678" spans="1:13" x14ac:dyDescent="0.25">
      <c r="A678" s="2">
        <f t="shared" si="10"/>
        <v>670</v>
      </c>
      <c r="B678" s="2">
        <v>226091</v>
      </c>
      <c r="C678" t="s">
        <v>1182</v>
      </c>
      <c r="D678" t="s">
        <v>1183</v>
      </c>
      <c r="E678" t="s">
        <v>9</v>
      </c>
      <c r="F678" t="s">
        <v>10</v>
      </c>
      <c r="G678" s="23" t="s">
        <v>1275</v>
      </c>
      <c r="H678" s="4">
        <v>25870.448</v>
      </c>
      <c r="I678" s="4">
        <v>26221.502</v>
      </c>
      <c r="J678" s="1">
        <v>-1.338802025909881</v>
      </c>
      <c r="K678" s="24" t="s">
        <v>1275</v>
      </c>
      <c r="L678" s="2">
        <v>2</v>
      </c>
      <c r="M678" s="2">
        <v>4</v>
      </c>
    </row>
    <row r="679" spans="1:13" x14ac:dyDescent="0.25">
      <c r="A679" s="2">
        <f t="shared" si="10"/>
        <v>671</v>
      </c>
      <c r="B679" s="2">
        <v>188340</v>
      </c>
      <c r="C679" t="s">
        <v>1184</v>
      </c>
      <c r="D679" t="s">
        <v>1185</v>
      </c>
      <c r="E679" t="s">
        <v>34</v>
      </c>
      <c r="F679" t="s">
        <v>6</v>
      </c>
      <c r="G679" s="4">
        <v>1483</v>
      </c>
      <c r="H679" s="4">
        <v>25441.289000000001</v>
      </c>
      <c r="I679" s="4">
        <v>24465.329000000002</v>
      </c>
      <c r="J679" s="1">
        <v>3.9891554288928632</v>
      </c>
      <c r="K679" s="3">
        <v>17155.285906945381</v>
      </c>
      <c r="L679" s="2">
        <v>2</v>
      </c>
      <c r="M679" s="2">
        <v>2</v>
      </c>
    </row>
    <row r="680" spans="1:13" x14ac:dyDescent="0.25">
      <c r="A680" s="2">
        <f t="shared" si="10"/>
        <v>672</v>
      </c>
      <c r="B680" s="2">
        <v>237792</v>
      </c>
      <c r="C680" t="s">
        <v>1186</v>
      </c>
      <c r="D680" t="s">
        <v>1187</v>
      </c>
      <c r="E680" t="s">
        <v>352</v>
      </c>
      <c r="F680" t="s">
        <v>82</v>
      </c>
      <c r="G680" s="4">
        <v>2822</v>
      </c>
      <c r="H680" s="4">
        <v>25329.445</v>
      </c>
      <c r="I680" s="4">
        <v>22145.34</v>
      </c>
      <c r="J680" s="1">
        <v>14.37821681672081</v>
      </c>
      <c r="K680" s="3">
        <v>8975.7069454287739</v>
      </c>
      <c r="L680" s="2">
        <v>2</v>
      </c>
      <c r="M680" s="2">
        <v>2</v>
      </c>
    </row>
    <row r="681" spans="1:13" x14ac:dyDescent="0.25">
      <c r="A681" s="2">
        <f t="shared" si="10"/>
        <v>673</v>
      </c>
      <c r="B681" s="2">
        <v>235097</v>
      </c>
      <c r="C681" t="s">
        <v>1188</v>
      </c>
      <c r="D681" t="s">
        <v>1189</v>
      </c>
      <c r="E681" t="s">
        <v>85</v>
      </c>
      <c r="F681" t="s">
        <v>82</v>
      </c>
      <c r="G681" s="4">
        <v>11258</v>
      </c>
      <c r="H681" s="4">
        <v>25277.989000000001</v>
      </c>
      <c r="I681" s="4">
        <v>24194.608</v>
      </c>
      <c r="J681" s="1">
        <v>4.4777786852343304</v>
      </c>
      <c r="K681" s="3">
        <v>2245.3356724107302</v>
      </c>
      <c r="L681" s="2">
        <v>2</v>
      </c>
      <c r="M681" s="2">
        <v>3</v>
      </c>
    </row>
    <row r="682" spans="1:13" x14ac:dyDescent="0.25">
      <c r="A682" s="2">
        <f t="shared" si="10"/>
        <v>674</v>
      </c>
      <c r="B682" s="2">
        <v>182980</v>
      </c>
      <c r="C682" t="s">
        <v>1190</v>
      </c>
      <c r="D682" t="s">
        <v>1191</v>
      </c>
      <c r="E682" t="s">
        <v>64</v>
      </c>
      <c r="F682" t="s">
        <v>6</v>
      </c>
      <c r="G682" s="4">
        <v>3461</v>
      </c>
      <c r="H682" s="4">
        <v>24906.524000000001</v>
      </c>
      <c r="I682" s="4">
        <v>14646.499</v>
      </c>
      <c r="J682" s="1">
        <v>70.051040866489672</v>
      </c>
      <c r="K682" s="3">
        <v>7196.3374747182897</v>
      </c>
      <c r="L682" s="2">
        <v>2</v>
      </c>
      <c r="M682" s="2">
        <v>3</v>
      </c>
    </row>
    <row r="683" spans="1:13" x14ac:dyDescent="0.25">
      <c r="A683" s="2">
        <f t="shared" si="10"/>
        <v>675</v>
      </c>
      <c r="B683" s="2">
        <v>198543</v>
      </c>
      <c r="C683" t="s">
        <v>1192</v>
      </c>
      <c r="D683" t="s">
        <v>1193</v>
      </c>
      <c r="E683" t="s">
        <v>40</v>
      </c>
      <c r="F683" t="s">
        <v>10</v>
      </c>
      <c r="G683" s="4">
        <v>5575</v>
      </c>
      <c r="H683" s="4">
        <v>24767.37</v>
      </c>
      <c r="I683" s="4">
        <v>24340.86</v>
      </c>
      <c r="J683" s="1">
        <v>1.7522388280446954</v>
      </c>
      <c r="K683" s="3">
        <v>4442.5775784753359</v>
      </c>
      <c r="L683" s="2">
        <v>1</v>
      </c>
      <c r="M683" s="2">
        <v>3</v>
      </c>
    </row>
    <row r="684" spans="1:13" x14ac:dyDescent="0.25">
      <c r="A684" s="2">
        <f t="shared" si="10"/>
        <v>676</v>
      </c>
      <c r="B684" s="2">
        <v>214883</v>
      </c>
      <c r="C684" t="s">
        <v>1194</v>
      </c>
      <c r="D684" t="s">
        <v>22</v>
      </c>
      <c r="E684" t="s">
        <v>23</v>
      </c>
      <c r="F684" t="s">
        <v>6</v>
      </c>
      <c r="G684" s="4">
        <v>592</v>
      </c>
      <c r="H684" s="4">
        <v>24542.623</v>
      </c>
      <c r="I684" s="4">
        <v>23556.588</v>
      </c>
      <c r="J684" s="1">
        <v>4.1858141764843024</v>
      </c>
      <c r="K684" s="3">
        <v>41457.133445945947</v>
      </c>
      <c r="L684" s="2">
        <v>2</v>
      </c>
      <c r="M684" s="2">
        <v>2</v>
      </c>
    </row>
    <row r="685" spans="1:13" x14ac:dyDescent="0.25">
      <c r="A685" s="2">
        <f t="shared" si="10"/>
        <v>677</v>
      </c>
      <c r="B685" s="2">
        <v>199281</v>
      </c>
      <c r="C685" t="s">
        <v>1195</v>
      </c>
      <c r="D685" t="s">
        <v>1196</v>
      </c>
      <c r="E685" t="s">
        <v>40</v>
      </c>
      <c r="F685" t="s">
        <v>10</v>
      </c>
      <c r="G685" s="4">
        <v>6258</v>
      </c>
      <c r="H685" s="4">
        <v>24508.720000000001</v>
      </c>
      <c r="I685" s="4">
        <v>24886.205000000002</v>
      </c>
      <c r="J685" s="1">
        <v>-1.5168443722134413</v>
      </c>
      <c r="K685" s="3">
        <v>3916.3822307446467</v>
      </c>
      <c r="L685" s="2">
        <v>2</v>
      </c>
      <c r="M685" s="2">
        <v>3</v>
      </c>
    </row>
    <row r="686" spans="1:13" x14ac:dyDescent="0.25">
      <c r="A686" s="2">
        <f t="shared" si="10"/>
        <v>678</v>
      </c>
      <c r="B686" s="2">
        <v>141486</v>
      </c>
      <c r="C686" t="s">
        <v>1197</v>
      </c>
      <c r="D686" t="s">
        <v>472</v>
      </c>
      <c r="E686" t="s">
        <v>473</v>
      </c>
      <c r="F686" t="s">
        <v>6</v>
      </c>
      <c r="G686" s="4">
        <v>1864</v>
      </c>
      <c r="H686" s="4">
        <v>24162.663</v>
      </c>
      <c r="I686" s="4">
        <v>23398.93</v>
      </c>
      <c r="J686" s="1">
        <v>3.2639654890202241</v>
      </c>
      <c r="K686" s="3">
        <v>12962.802038626609</v>
      </c>
      <c r="L686" s="2">
        <v>2</v>
      </c>
      <c r="M686" s="2">
        <v>3</v>
      </c>
    </row>
    <row r="687" spans="1:13" x14ac:dyDescent="0.25">
      <c r="A687" s="2">
        <f t="shared" si="10"/>
        <v>679</v>
      </c>
      <c r="B687" s="2">
        <v>123943</v>
      </c>
      <c r="C687" t="s">
        <v>1198</v>
      </c>
      <c r="D687" t="s">
        <v>900</v>
      </c>
      <c r="E687" t="s">
        <v>16</v>
      </c>
      <c r="F687" t="s">
        <v>6</v>
      </c>
      <c r="G687" s="4">
        <v>739</v>
      </c>
      <c r="H687" s="4">
        <v>23489.448</v>
      </c>
      <c r="I687" s="4">
        <v>23988.09</v>
      </c>
      <c r="J687" s="1">
        <v>-2.0787065581294719</v>
      </c>
      <c r="K687" s="3">
        <v>31785.450608930987</v>
      </c>
      <c r="L687" s="2">
        <v>2</v>
      </c>
      <c r="M687" s="2">
        <v>5</v>
      </c>
    </row>
    <row r="688" spans="1:13" x14ac:dyDescent="0.25">
      <c r="A688" s="2">
        <f t="shared" si="10"/>
        <v>680</v>
      </c>
      <c r="B688" s="2">
        <v>226383</v>
      </c>
      <c r="C688" t="s">
        <v>1199</v>
      </c>
      <c r="D688" t="s">
        <v>199</v>
      </c>
      <c r="E688" t="s">
        <v>9</v>
      </c>
      <c r="F688" t="s">
        <v>6</v>
      </c>
      <c r="G688" s="4">
        <v>1438</v>
      </c>
      <c r="H688" s="4">
        <v>23366.137999999999</v>
      </c>
      <c r="I688" s="4">
        <v>22015.170999999998</v>
      </c>
      <c r="J688" s="1">
        <v>6.136527397402455</v>
      </c>
      <c r="K688" s="3">
        <v>16249.052851182198</v>
      </c>
      <c r="L688" s="2">
        <v>2</v>
      </c>
      <c r="M688" s="2">
        <v>3</v>
      </c>
    </row>
    <row r="689" spans="1:13" x14ac:dyDescent="0.25">
      <c r="A689" s="2">
        <f t="shared" si="10"/>
        <v>681</v>
      </c>
      <c r="B689" s="2">
        <v>208318</v>
      </c>
      <c r="C689" t="s">
        <v>1200</v>
      </c>
      <c r="D689" t="s">
        <v>1201</v>
      </c>
      <c r="E689" t="s">
        <v>271</v>
      </c>
      <c r="F689" t="s">
        <v>82</v>
      </c>
      <c r="G689" s="4">
        <v>3064</v>
      </c>
      <c r="H689" s="4">
        <v>23263.499</v>
      </c>
      <c r="I689" s="4">
        <v>22458.684000000001</v>
      </c>
      <c r="J689" s="1">
        <v>3.5835358830463973</v>
      </c>
      <c r="K689" s="3">
        <v>7592.5257832898169</v>
      </c>
      <c r="L689" s="2">
        <v>2</v>
      </c>
      <c r="M689" s="2">
        <v>1</v>
      </c>
    </row>
    <row r="690" spans="1:13" x14ac:dyDescent="0.25">
      <c r="A690" s="2">
        <f t="shared" si="10"/>
        <v>682</v>
      </c>
      <c r="B690" s="2">
        <v>226231</v>
      </c>
      <c r="C690" t="s">
        <v>1202</v>
      </c>
      <c r="D690" t="s">
        <v>1203</v>
      </c>
      <c r="E690" t="s">
        <v>9</v>
      </c>
      <c r="F690" t="s">
        <v>6</v>
      </c>
      <c r="G690" s="4">
        <v>1978</v>
      </c>
      <c r="H690" s="4">
        <v>22868.31</v>
      </c>
      <c r="I690" s="4">
        <v>22054.828000000001</v>
      </c>
      <c r="J690" s="1">
        <v>3.6884531586462614</v>
      </c>
      <c r="K690" s="3">
        <v>11561.329625884731</v>
      </c>
      <c r="L690" s="2">
        <v>2</v>
      </c>
      <c r="M690" s="2">
        <v>3</v>
      </c>
    </row>
    <row r="691" spans="1:13" x14ac:dyDescent="0.25">
      <c r="A691" s="2">
        <f t="shared" si="10"/>
        <v>683</v>
      </c>
      <c r="B691" s="2">
        <v>157377</v>
      </c>
      <c r="C691" t="s">
        <v>1204</v>
      </c>
      <c r="D691" t="s">
        <v>1205</v>
      </c>
      <c r="E691" t="s">
        <v>197</v>
      </c>
      <c r="F691" t="s">
        <v>6</v>
      </c>
      <c r="G691" s="4">
        <v>1078</v>
      </c>
      <c r="H691" s="4">
        <v>22718.241999999998</v>
      </c>
      <c r="I691" s="4">
        <v>23483.819</v>
      </c>
      <c r="J691" s="1">
        <v>-3.260019164685267</v>
      </c>
      <c r="K691" s="3">
        <v>21074.435992578849</v>
      </c>
      <c r="L691" s="2">
        <v>2</v>
      </c>
      <c r="M691" s="2">
        <v>3</v>
      </c>
    </row>
    <row r="692" spans="1:13" x14ac:dyDescent="0.25">
      <c r="A692" s="2">
        <f t="shared" si="10"/>
        <v>684</v>
      </c>
      <c r="B692" s="2">
        <v>148584</v>
      </c>
      <c r="C692" t="s">
        <v>1206</v>
      </c>
      <c r="D692" t="s">
        <v>1207</v>
      </c>
      <c r="E692" t="s">
        <v>37</v>
      </c>
      <c r="F692" t="s">
        <v>6</v>
      </c>
      <c r="G692" s="4">
        <v>2430</v>
      </c>
      <c r="H692" s="4">
        <v>22607.585999999999</v>
      </c>
      <c r="I692" s="4">
        <v>20876.72</v>
      </c>
      <c r="J692" s="1">
        <v>8.2908905230323544</v>
      </c>
      <c r="K692" s="3">
        <v>9303.5333333333328</v>
      </c>
      <c r="L692" s="2">
        <v>2</v>
      </c>
      <c r="M692" s="2">
        <v>4</v>
      </c>
    </row>
    <row r="693" spans="1:13" x14ac:dyDescent="0.25">
      <c r="A693" s="2">
        <f t="shared" si="10"/>
        <v>685</v>
      </c>
      <c r="B693" s="2">
        <v>218821</v>
      </c>
      <c r="C693" t="s">
        <v>1208</v>
      </c>
      <c r="D693" t="s">
        <v>607</v>
      </c>
      <c r="E693" t="s">
        <v>305</v>
      </c>
      <c r="F693" t="s">
        <v>6</v>
      </c>
      <c r="G693" s="4">
        <v>905</v>
      </c>
      <c r="H693" s="4">
        <v>22175.144</v>
      </c>
      <c r="I693" s="4">
        <v>22068.661</v>
      </c>
      <c r="J693" s="1">
        <v>0.48250775160305376</v>
      </c>
      <c r="K693" s="3">
        <v>24502.921546961326</v>
      </c>
      <c r="L693" s="2">
        <v>2</v>
      </c>
      <c r="M693" s="2">
        <v>1</v>
      </c>
    </row>
    <row r="694" spans="1:13" x14ac:dyDescent="0.25">
      <c r="A694" s="2">
        <f t="shared" si="10"/>
        <v>686</v>
      </c>
      <c r="B694" s="2">
        <v>196246</v>
      </c>
      <c r="C694" t="s">
        <v>1209</v>
      </c>
      <c r="D694" t="s">
        <v>1210</v>
      </c>
      <c r="E694" t="s">
        <v>34</v>
      </c>
      <c r="F694" t="s">
        <v>82</v>
      </c>
      <c r="G694" s="4">
        <v>4908.2</v>
      </c>
      <c r="H694" s="4">
        <v>21918.807000000001</v>
      </c>
      <c r="I694" s="4">
        <v>21694.583999999999</v>
      </c>
      <c r="J694" s="1">
        <v>1.0335436715449349</v>
      </c>
      <c r="K694" s="3">
        <v>4465.7526180677232</v>
      </c>
      <c r="L694" s="2">
        <v>2</v>
      </c>
      <c r="M694" s="2">
        <v>3</v>
      </c>
    </row>
    <row r="695" spans="1:13" x14ac:dyDescent="0.25">
      <c r="A695" s="2">
        <f t="shared" si="10"/>
        <v>687</v>
      </c>
      <c r="B695" s="2">
        <v>161563</v>
      </c>
      <c r="C695" t="s">
        <v>1211</v>
      </c>
      <c r="D695" t="s">
        <v>284</v>
      </c>
      <c r="E695" t="s">
        <v>148</v>
      </c>
      <c r="F695" t="s">
        <v>6</v>
      </c>
      <c r="G695" s="4">
        <v>726</v>
      </c>
      <c r="H695" s="4">
        <v>21917.514999999999</v>
      </c>
      <c r="I695" s="4">
        <v>19613.644</v>
      </c>
      <c r="J695" s="1">
        <v>11.746267037374595</v>
      </c>
      <c r="K695" s="3">
        <v>30189.414600550965</v>
      </c>
      <c r="L695" s="2">
        <v>2</v>
      </c>
      <c r="M695" s="2">
        <v>3</v>
      </c>
    </row>
    <row r="696" spans="1:13" x14ac:dyDescent="0.25">
      <c r="A696" s="2">
        <f t="shared" si="10"/>
        <v>688</v>
      </c>
      <c r="B696" s="2">
        <v>167260</v>
      </c>
      <c r="C696" t="s">
        <v>1212</v>
      </c>
      <c r="D696" t="s">
        <v>1213</v>
      </c>
      <c r="E696" t="s">
        <v>5</v>
      </c>
      <c r="F696" t="s">
        <v>6</v>
      </c>
      <c r="G696" s="4">
        <v>1311</v>
      </c>
      <c r="H696" s="4">
        <v>21828.052</v>
      </c>
      <c r="I696" s="4">
        <v>17344.973999999998</v>
      </c>
      <c r="J696" s="1">
        <v>25.846553589529741</v>
      </c>
      <c r="K696" s="3">
        <v>16649.925247902363</v>
      </c>
      <c r="L696" s="2">
        <v>2</v>
      </c>
      <c r="M696" s="2">
        <v>5</v>
      </c>
    </row>
    <row r="697" spans="1:13" x14ac:dyDescent="0.25">
      <c r="A697" s="2">
        <f t="shared" si="10"/>
        <v>689</v>
      </c>
      <c r="B697" s="2">
        <v>216764</v>
      </c>
      <c r="C697" t="s">
        <v>1214</v>
      </c>
      <c r="D697" t="s">
        <v>1215</v>
      </c>
      <c r="E697" t="s">
        <v>23</v>
      </c>
      <c r="F697" t="s">
        <v>82</v>
      </c>
      <c r="G697" s="4">
        <v>17669</v>
      </c>
      <c r="H697" s="4">
        <v>21775.112000000001</v>
      </c>
      <c r="I697" s="4">
        <v>20522.287</v>
      </c>
      <c r="J697" s="1">
        <v>6.104704607239924</v>
      </c>
      <c r="K697" s="3">
        <v>1232.3907408455486</v>
      </c>
      <c r="L697" s="2">
        <v>2</v>
      </c>
      <c r="M697" s="2">
        <v>3</v>
      </c>
    </row>
    <row r="698" spans="1:13" x14ac:dyDescent="0.25">
      <c r="A698" s="2">
        <f t="shared" si="10"/>
        <v>690</v>
      </c>
      <c r="B698" s="2">
        <v>186201</v>
      </c>
      <c r="C698" t="s">
        <v>1216</v>
      </c>
      <c r="D698" t="s">
        <v>1217</v>
      </c>
      <c r="E698" t="s">
        <v>19</v>
      </c>
      <c r="F698" t="s">
        <v>95</v>
      </c>
      <c r="G698" s="4">
        <v>5405</v>
      </c>
      <c r="H698" s="4">
        <v>21158.039000000001</v>
      </c>
      <c r="I698" s="4">
        <v>21363.81</v>
      </c>
      <c r="J698" s="1">
        <v>-0.96317557589212788</v>
      </c>
      <c r="K698" s="3">
        <v>3914.5308048103607</v>
      </c>
      <c r="L698" s="2">
        <v>2</v>
      </c>
      <c r="M698" s="2">
        <v>3</v>
      </c>
    </row>
    <row r="699" spans="1:13" x14ac:dyDescent="0.25">
      <c r="A699" s="2">
        <f t="shared" si="10"/>
        <v>691</v>
      </c>
      <c r="B699" s="2">
        <v>202514</v>
      </c>
      <c r="C699" t="s">
        <v>1218</v>
      </c>
      <c r="D699" t="s">
        <v>1219</v>
      </c>
      <c r="E699" t="s">
        <v>69</v>
      </c>
      <c r="F699" t="s">
        <v>6</v>
      </c>
      <c r="G699" s="4">
        <v>505</v>
      </c>
      <c r="H699" s="4">
        <v>19159.517</v>
      </c>
      <c r="I699" s="4">
        <v>18756.508999999998</v>
      </c>
      <c r="J699" s="1">
        <v>2.1486301102193379</v>
      </c>
      <c r="K699" s="3">
        <v>37939.637623762377</v>
      </c>
      <c r="L699" s="2">
        <v>2</v>
      </c>
      <c r="M699" s="2">
        <v>2</v>
      </c>
    </row>
    <row r="700" spans="1:13" x14ac:dyDescent="0.25">
      <c r="A700" s="2">
        <f t="shared" si="10"/>
        <v>692</v>
      </c>
      <c r="B700" s="2">
        <v>204617</v>
      </c>
      <c r="C700" t="s">
        <v>1220</v>
      </c>
      <c r="D700" t="s">
        <v>68</v>
      </c>
      <c r="E700" t="s">
        <v>69</v>
      </c>
      <c r="F700" t="s">
        <v>6</v>
      </c>
      <c r="G700" s="4">
        <v>1492</v>
      </c>
      <c r="H700" s="4">
        <v>18966.548999999999</v>
      </c>
      <c r="I700" s="4">
        <v>20161.258999999998</v>
      </c>
      <c r="J700" s="1">
        <v>-5.9257708062775247</v>
      </c>
      <c r="K700" s="3">
        <v>12712.164209115281</v>
      </c>
      <c r="L700" s="2">
        <v>2</v>
      </c>
      <c r="M700" s="2">
        <v>3</v>
      </c>
    </row>
    <row r="701" spans="1:13" x14ac:dyDescent="0.25">
      <c r="A701" s="2">
        <f t="shared" si="10"/>
        <v>693</v>
      </c>
      <c r="B701" s="2">
        <v>135160</v>
      </c>
      <c r="C701" t="s">
        <v>1221</v>
      </c>
      <c r="D701" t="s">
        <v>1222</v>
      </c>
      <c r="E701" t="s">
        <v>141</v>
      </c>
      <c r="F701" t="s">
        <v>82</v>
      </c>
      <c r="G701" s="4">
        <v>0</v>
      </c>
      <c r="H701" s="4">
        <v>18873.811000000002</v>
      </c>
      <c r="I701" s="4">
        <v>17831.419000000002</v>
      </c>
      <c r="J701" s="1">
        <v>5.8458163088422745</v>
      </c>
      <c r="K701" s="24" t="s">
        <v>1275</v>
      </c>
      <c r="L701" s="2">
        <v>2</v>
      </c>
      <c r="M701" s="2">
        <v>1</v>
      </c>
    </row>
    <row r="702" spans="1:13" x14ac:dyDescent="0.25">
      <c r="A702" s="2">
        <f t="shared" si="10"/>
        <v>694</v>
      </c>
      <c r="B702" s="2">
        <v>210304</v>
      </c>
      <c r="C702" t="s">
        <v>1223</v>
      </c>
      <c r="D702" t="s">
        <v>294</v>
      </c>
      <c r="E702" t="s">
        <v>271</v>
      </c>
      <c r="F702" t="s">
        <v>6</v>
      </c>
      <c r="G702" s="4">
        <v>825</v>
      </c>
      <c r="H702" s="4">
        <v>18371.316999999999</v>
      </c>
      <c r="I702" s="4">
        <v>18928.126</v>
      </c>
      <c r="J702" s="1">
        <v>-2.9417016771760713</v>
      </c>
      <c r="K702" s="3">
        <v>22268.263030303031</v>
      </c>
      <c r="L702" s="2">
        <v>2</v>
      </c>
      <c r="M702" s="2">
        <v>2</v>
      </c>
    </row>
    <row r="703" spans="1:13" x14ac:dyDescent="0.25">
      <c r="A703" s="2">
        <f t="shared" si="10"/>
        <v>695</v>
      </c>
      <c r="B703" s="2">
        <v>170541</v>
      </c>
      <c r="C703" t="s">
        <v>1224</v>
      </c>
      <c r="D703" t="s">
        <v>431</v>
      </c>
      <c r="E703" t="s">
        <v>27</v>
      </c>
      <c r="F703" t="s">
        <v>10</v>
      </c>
      <c r="G703" s="4">
        <v>4239</v>
      </c>
      <c r="H703" s="4">
        <v>17925.002</v>
      </c>
      <c r="I703" s="4">
        <v>17756.152999999998</v>
      </c>
      <c r="J703" s="1">
        <v>0.95093233314671266</v>
      </c>
      <c r="K703" s="3">
        <v>4228.5921207832034</v>
      </c>
      <c r="L703" s="2">
        <v>2</v>
      </c>
      <c r="M703" s="2">
        <v>1</v>
      </c>
    </row>
    <row r="704" spans="1:13" x14ac:dyDescent="0.25">
      <c r="A704" s="11">
        <f t="shared" si="10"/>
        <v>696</v>
      </c>
      <c r="B704" s="27" t="s">
        <v>1275</v>
      </c>
      <c r="C704" s="12" t="s">
        <v>1225</v>
      </c>
      <c r="D704" s="12" t="s">
        <v>1226</v>
      </c>
      <c r="E704" s="12" t="s">
        <v>204</v>
      </c>
      <c r="F704" s="12" t="s">
        <v>6</v>
      </c>
      <c r="G704" s="13">
        <v>3238</v>
      </c>
      <c r="H704" s="13">
        <v>17678.311880400001</v>
      </c>
      <c r="I704" s="13">
        <v>16908.131640600001</v>
      </c>
      <c r="J704" s="14">
        <v>4.5550877895381223</v>
      </c>
      <c r="K704" s="15">
        <v>5459.6392465719582</v>
      </c>
      <c r="L704" s="22" t="s">
        <v>1275</v>
      </c>
      <c r="M704" s="11">
        <v>0</v>
      </c>
    </row>
    <row r="705" spans="1:13" x14ac:dyDescent="0.25">
      <c r="A705" s="2">
        <f t="shared" si="10"/>
        <v>697</v>
      </c>
      <c r="B705" s="2">
        <v>238980</v>
      </c>
      <c r="C705" t="s">
        <v>1227</v>
      </c>
      <c r="D705" t="s">
        <v>1228</v>
      </c>
      <c r="E705" t="s">
        <v>81</v>
      </c>
      <c r="F705" t="s">
        <v>6</v>
      </c>
      <c r="G705" s="4">
        <v>1448</v>
      </c>
      <c r="H705" s="4">
        <v>17504.217000000001</v>
      </c>
      <c r="I705" s="4">
        <v>17730.986000000001</v>
      </c>
      <c r="J705" s="1">
        <v>-1.2789418479040027</v>
      </c>
      <c r="K705" s="3">
        <v>12088.547651933701</v>
      </c>
      <c r="L705" s="2">
        <v>2</v>
      </c>
      <c r="M705" s="2">
        <v>3</v>
      </c>
    </row>
    <row r="706" spans="1:13" x14ac:dyDescent="0.25">
      <c r="A706" s="2">
        <f t="shared" si="10"/>
        <v>698</v>
      </c>
      <c r="B706" s="2">
        <v>110574</v>
      </c>
      <c r="C706" t="s">
        <v>1229</v>
      </c>
      <c r="D706" t="s">
        <v>1230</v>
      </c>
      <c r="E706" t="s">
        <v>16</v>
      </c>
      <c r="F706" t="s">
        <v>10</v>
      </c>
      <c r="G706" s="4">
        <v>12806</v>
      </c>
      <c r="H706" s="4">
        <v>16876.938999999998</v>
      </c>
      <c r="I706" s="4">
        <v>17838.03</v>
      </c>
      <c r="J706" s="1">
        <v>-5.3878763518168764</v>
      </c>
      <c r="K706" s="3">
        <v>1317.8930969857879</v>
      </c>
      <c r="L706" s="2">
        <v>2</v>
      </c>
      <c r="M706" s="2">
        <v>3</v>
      </c>
    </row>
    <row r="707" spans="1:13" x14ac:dyDescent="0.25">
      <c r="A707" s="2">
        <f t="shared" si="10"/>
        <v>699</v>
      </c>
      <c r="B707" s="2">
        <v>219082</v>
      </c>
      <c r="C707" t="s">
        <v>1231</v>
      </c>
      <c r="D707" t="s">
        <v>80</v>
      </c>
      <c r="E707" t="s">
        <v>534</v>
      </c>
      <c r="F707" t="s">
        <v>82</v>
      </c>
      <c r="G707" s="4">
        <v>2464</v>
      </c>
      <c r="H707" s="4">
        <v>16163.78</v>
      </c>
      <c r="I707" s="4">
        <v>15810.803</v>
      </c>
      <c r="J707" s="1">
        <v>2.2325052054598364</v>
      </c>
      <c r="K707" s="3">
        <v>6559.9756493506493</v>
      </c>
      <c r="L707" s="2">
        <v>2</v>
      </c>
      <c r="M707" s="2">
        <v>3</v>
      </c>
    </row>
    <row r="708" spans="1:13" x14ac:dyDescent="0.25">
      <c r="A708" s="2">
        <f t="shared" si="10"/>
        <v>700</v>
      </c>
      <c r="B708" s="2">
        <v>110495</v>
      </c>
      <c r="C708" t="s">
        <v>1232</v>
      </c>
      <c r="D708" t="s">
        <v>1233</v>
      </c>
      <c r="E708" t="s">
        <v>16</v>
      </c>
      <c r="F708" t="s">
        <v>10</v>
      </c>
      <c r="G708" s="4">
        <v>9217</v>
      </c>
      <c r="H708" s="4">
        <v>16131.357</v>
      </c>
      <c r="I708" s="4">
        <v>16552.260999999999</v>
      </c>
      <c r="J708" s="1">
        <v>-2.5428791873206928</v>
      </c>
      <c r="K708" s="3">
        <v>1750.1743517413474</v>
      </c>
      <c r="L708" s="2">
        <v>2</v>
      </c>
      <c r="M708" s="2">
        <v>3</v>
      </c>
    </row>
    <row r="709" spans="1:13" x14ac:dyDescent="0.25">
      <c r="A709" s="2">
        <f t="shared" si="10"/>
        <v>701</v>
      </c>
      <c r="B709" s="26" t="s">
        <v>1275</v>
      </c>
      <c r="C709" t="s">
        <v>1234</v>
      </c>
      <c r="D709" t="s">
        <v>1235</v>
      </c>
      <c r="E709" t="s">
        <v>1236</v>
      </c>
      <c r="F709" t="s">
        <v>6</v>
      </c>
      <c r="G709" s="4">
        <v>3505</v>
      </c>
      <c r="H709" s="4">
        <v>15930.659</v>
      </c>
      <c r="I709" s="4">
        <v>15476.333000000001</v>
      </c>
      <c r="J709" s="1">
        <v>2.9356178882943396</v>
      </c>
      <c r="K709" s="3">
        <v>4545.1238231098432</v>
      </c>
      <c r="L709" s="21" t="s">
        <v>1275</v>
      </c>
      <c r="M709" s="2">
        <v>0</v>
      </c>
    </row>
    <row r="710" spans="1:13" x14ac:dyDescent="0.25">
      <c r="A710" s="2">
        <f t="shared" si="10"/>
        <v>702</v>
      </c>
      <c r="B710" s="2">
        <v>441937</v>
      </c>
      <c r="C710" t="s">
        <v>1237</v>
      </c>
      <c r="D710" t="s">
        <v>1238</v>
      </c>
      <c r="E710" t="s">
        <v>16</v>
      </c>
      <c r="F710" t="s">
        <v>82</v>
      </c>
      <c r="G710" s="4">
        <v>6405.2</v>
      </c>
      <c r="H710" s="4">
        <v>15625.254999999999</v>
      </c>
      <c r="I710" s="4">
        <v>16049.73</v>
      </c>
      <c r="J710" s="1">
        <v>-2.6447485409411873</v>
      </c>
      <c r="K710" s="3">
        <v>2439.4640292262538</v>
      </c>
      <c r="L710" s="2">
        <v>2</v>
      </c>
      <c r="M710" s="2">
        <v>3</v>
      </c>
    </row>
    <row r="711" spans="1:13" x14ac:dyDescent="0.25">
      <c r="A711" s="2">
        <f t="shared" si="10"/>
        <v>703</v>
      </c>
      <c r="B711" s="2">
        <v>193326</v>
      </c>
      <c r="C711" t="s">
        <v>1239</v>
      </c>
      <c r="D711" t="s">
        <v>110</v>
      </c>
      <c r="E711" t="s">
        <v>34</v>
      </c>
      <c r="F711" t="s">
        <v>82</v>
      </c>
      <c r="G711" s="4">
        <v>0</v>
      </c>
      <c r="H711" s="4">
        <v>15384.581</v>
      </c>
      <c r="I711" s="4">
        <v>13164.315000000001</v>
      </c>
      <c r="J711" s="1">
        <v>16.865792105400089</v>
      </c>
      <c r="K711" s="24" t="s">
        <v>1275</v>
      </c>
      <c r="L711" s="2">
        <v>2</v>
      </c>
      <c r="M711" s="2">
        <v>1</v>
      </c>
    </row>
    <row r="712" spans="1:13" x14ac:dyDescent="0.25">
      <c r="A712" s="2">
        <f t="shared" si="10"/>
        <v>704</v>
      </c>
      <c r="B712" s="2">
        <v>101189</v>
      </c>
      <c r="C712" t="s">
        <v>1240</v>
      </c>
      <c r="D712" t="s">
        <v>1241</v>
      </c>
      <c r="E712" t="s">
        <v>177</v>
      </c>
      <c r="F712" t="s">
        <v>6</v>
      </c>
      <c r="G712" s="4">
        <v>3064</v>
      </c>
      <c r="H712" s="4">
        <v>15294.148999999999</v>
      </c>
      <c r="I712" s="4">
        <v>15735.843000000001</v>
      </c>
      <c r="J712" s="1">
        <v>-2.8069293777270148</v>
      </c>
      <c r="K712" s="3">
        <v>4991.562989556136</v>
      </c>
      <c r="L712" s="2">
        <v>2</v>
      </c>
      <c r="M712" s="2">
        <v>3</v>
      </c>
    </row>
    <row r="713" spans="1:13" x14ac:dyDescent="0.25">
      <c r="A713" s="2">
        <f t="shared" ref="A713:A725" si="11">RANK(H713,H$9:H$725,0)</f>
        <v>705</v>
      </c>
      <c r="B713" s="2">
        <v>154059</v>
      </c>
      <c r="C713" t="s">
        <v>1242</v>
      </c>
      <c r="D713" t="s">
        <v>1243</v>
      </c>
      <c r="E713" t="s">
        <v>123</v>
      </c>
      <c r="F713" t="s">
        <v>10</v>
      </c>
      <c r="G713" s="4">
        <v>1891</v>
      </c>
      <c r="H713" s="4">
        <v>14784.188</v>
      </c>
      <c r="I713" s="4">
        <v>13817.982</v>
      </c>
      <c r="J713" s="1">
        <v>6.9923813766728014</v>
      </c>
      <c r="K713" s="3">
        <v>7818.1850872554205</v>
      </c>
      <c r="L713" s="2">
        <v>2</v>
      </c>
      <c r="M713" s="2">
        <v>1</v>
      </c>
    </row>
    <row r="714" spans="1:13" x14ac:dyDescent="0.25">
      <c r="A714" s="2">
        <f t="shared" si="11"/>
        <v>706</v>
      </c>
      <c r="B714" s="2">
        <v>167288</v>
      </c>
      <c r="C714" t="s">
        <v>1244</v>
      </c>
      <c r="D714" t="s">
        <v>1245</v>
      </c>
      <c r="E714" t="s">
        <v>5</v>
      </c>
      <c r="F714" t="s">
        <v>82</v>
      </c>
      <c r="G714" s="4">
        <v>1305.4000000000001</v>
      </c>
      <c r="H714" s="4">
        <v>14664.504999999999</v>
      </c>
      <c r="I714" s="4">
        <v>13544.002</v>
      </c>
      <c r="J714" s="1">
        <v>8.2730569590878691</v>
      </c>
      <c r="K714" s="3">
        <v>11233.725294928756</v>
      </c>
      <c r="L714" s="2">
        <v>2</v>
      </c>
      <c r="M714" s="2">
        <v>2</v>
      </c>
    </row>
    <row r="715" spans="1:13" x14ac:dyDescent="0.25">
      <c r="A715" s="2">
        <f t="shared" si="11"/>
        <v>707</v>
      </c>
      <c r="B715" s="2">
        <v>110547</v>
      </c>
      <c r="C715" t="s">
        <v>1246</v>
      </c>
      <c r="D715" t="s">
        <v>1247</v>
      </c>
      <c r="E715" t="s">
        <v>16</v>
      </c>
      <c r="F715" t="s">
        <v>82</v>
      </c>
      <c r="G715" s="4">
        <v>14971</v>
      </c>
      <c r="H715" s="4">
        <v>13067.588</v>
      </c>
      <c r="I715" s="4">
        <v>12542.519</v>
      </c>
      <c r="J715" s="1">
        <v>4.1863121754091024</v>
      </c>
      <c r="K715" s="3">
        <v>872.86006278805689</v>
      </c>
      <c r="L715" s="2">
        <v>2</v>
      </c>
      <c r="M715" s="2">
        <v>3</v>
      </c>
    </row>
    <row r="716" spans="1:13" x14ac:dyDescent="0.25">
      <c r="A716" s="2">
        <f t="shared" si="11"/>
        <v>708</v>
      </c>
      <c r="B716" s="2">
        <v>221643</v>
      </c>
      <c r="C716" t="s">
        <v>1248</v>
      </c>
      <c r="D716" t="s">
        <v>195</v>
      </c>
      <c r="E716" t="s">
        <v>56</v>
      </c>
      <c r="F716" t="s">
        <v>82</v>
      </c>
      <c r="G716" s="4">
        <v>6855</v>
      </c>
      <c r="H716" s="4">
        <v>11875.267</v>
      </c>
      <c r="I716" s="4">
        <v>11603.64</v>
      </c>
      <c r="J716" s="1">
        <v>2.3408775177444321</v>
      </c>
      <c r="K716" s="3">
        <v>1732.3511305616339</v>
      </c>
      <c r="L716" s="2">
        <v>2</v>
      </c>
      <c r="M716" s="2">
        <v>1</v>
      </c>
    </row>
    <row r="717" spans="1:13" x14ac:dyDescent="0.25">
      <c r="A717" s="2">
        <f t="shared" si="11"/>
        <v>709</v>
      </c>
      <c r="B717" s="2">
        <v>111188</v>
      </c>
      <c r="C717" t="s">
        <v>1249</v>
      </c>
      <c r="D717" t="s">
        <v>1250</v>
      </c>
      <c r="E717" t="s">
        <v>16</v>
      </c>
      <c r="F717" t="s">
        <v>82</v>
      </c>
      <c r="G717" s="4">
        <v>911</v>
      </c>
      <c r="H717" s="4">
        <v>10726.358</v>
      </c>
      <c r="I717" s="4">
        <v>9246.8449999999993</v>
      </c>
      <c r="J717" s="1">
        <v>16.000192498089888</v>
      </c>
      <c r="K717" s="3">
        <v>11774.267837541163</v>
      </c>
      <c r="L717" s="2">
        <v>2</v>
      </c>
      <c r="M717" s="2">
        <v>2</v>
      </c>
    </row>
    <row r="718" spans="1:13" x14ac:dyDescent="0.25">
      <c r="A718" s="2">
        <f t="shared" si="11"/>
        <v>710</v>
      </c>
      <c r="B718" s="2">
        <v>170037</v>
      </c>
      <c r="C718" t="s">
        <v>1251</v>
      </c>
      <c r="D718" t="s">
        <v>1252</v>
      </c>
      <c r="E718" t="s">
        <v>27</v>
      </c>
      <c r="F718" t="s">
        <v>6</v>
      </c>
      <c r="G718" s="4">
        <v>2173</v>
      </c>
      <c r="H718" s="4">
        <v>10574.396000000001</v>
      </c>
      <c r="I718" s="4">
        <v>10434.48</v>
      </c>
      <c r="J718" s="1">
        <v>1.3409005527826974</v>
      </c>
      <c r="K718" s="3">
        <v>4866.2659917165211</v>
      </c>
      <c r="L718" s="2">
        <v>2</v>
      </c>
      <c r="M718" s="2">
        <v>3</v>
      </c>
    </row>
    <row r="719" spans="1:13" x14ac:dyDescent="0.25">
      <c r="A719" s="2">
        <f t="shared" si="11"/>
        <v>711</v>
      </c>
      <c r="B719" s="2">
        <v>218353</v>
      </c>
      <c r="C719" t="s">
        <v>1253</v>
      </c>
      <c r="D719" t="s">
        <v>1254</v>
      </c>
      <c r="E719" t="s">
        <v>305</v>
      </c>
      <c r="F719" t="s">
        <v>82</v>
      </c>
      <c r="G719" s="4">
        <v>6075.7</v>
      </c>
      <c r="H719" s="4">
        <v>9537.4259999999995</v>
      </c>
      <c r="I719" s="4">
        <v>9288.732</v>
      </c>
      <c r="J719" s="1">
        <v>2.6773729718975634</v>
      </c>
      <c r="K719" s="3">
        <v>1569.7657883042284</v>
      </c>
      <c r="L719" s="2">
        <v>2</v>
      </c>
      <c r="M719" s="2">
        <v>1</v>
      </c>
    </row>
    <row r="720" spans="1:13" x14ac:dyDescent="0.25">
      <c r="A720" s="2">
        <f t="shared" si="11"/>
        <v>712</v>
      </c>
      <c r="B720" s="2">
        <v>231536</v>
      </c>
      <c r="C720" t="s">
        <v>1255</v>
      </c>
      <c r="D720" t="s">
        <v>1256</v>
      </c>
      <c r="E720" t="s">
        <v>51</v>
      </c>
      <c r="F720" t="s">
        <v>82</v>
      </c>
      <c r="G720" s="4">
        <v>2086</v>
      </c>
      <c r="H720" s="4">
        <v>9233.0540000000001</v>
      </c>
      <c r="I720" s="4">
        <v>9498.84</v>
      </c>
      <c r="J720" s="1">
        <v>-2.7980890298183776</v>
      </c>
      <c r="K720" s="3">
        <v>4426.2003835091082</v>
      </c>
      <c r="L720" s="2">
        <v>2</v>
      </c>
      <c r="M720" s="2">
        <v>1</v>
      </c>
    </row>
    <row r="721" spans="1:13" x14ac:dyDescent="0.25">
      <c r="A721" s="2">
        <f t="shared" si="11"/>
        <v>713</v>
      </c>
      <c r="B721" s="2">
        <v>213020</v>
      </c>
      <c r="C721" t="s">
        <v>1257</v>
      </c>
      <c r="D721" t="s">
        <v>1003</v>
      </c>
      <c r="E721" t="s">
        <v>23</v>
      </c>
      <c r="F721" t="s">
        <v>10</v>
      </c>
      <c r="G721" s="4">
        <v>8036</v>
      </c>
      <c r="H721" s="4">
        <v>7783.39</v>
      </c>
      <c r="I721" s="4">
        <v>7615.17</v>
      </c>
      <c r="J721" s="1">
        <v>2.2090117489169647</v>
      </c>
      <c r="K721" s="3">
        <v>968.56520657043302</v>
      </c>
      <c r="L721" s="2">
        <v>2</v>
      </c>
      <c r="M721" s="2">
        <v>4</v>
      </c>
    </row>
    <row r="722" spans="1:13" x14ac:dyDescent="0.25">
      <c r="A722" s="2">
        <f t="shared" si="11"/>
        <v>714</v>
      </c>
      <c r="B722" s="2">
        <v>134495</v>
      </c>
      <c r="C722" t="s">
        <v>1258</v>
      </c>
      <c r="D722" t="s">
        <v>380</v>
      </c>
      <c r="E722" t="s">
        <v>141</v>
      </c>
      <c r="F722" t="s">
        <v>82</v>
      </c>
      <c r="G722" s="4">
        <v>14386</v>
      </c>
      <c r="H722" s="4">
        <v>7601.5249999999996</v>
      </c>
      <c r="I722" s="4">
        <v>7219.3230000000003</v>
      </c>
      <c r="J722" s="1">
        <v>5.2941529281900808</v>
      </c>
      <c r="K722" s="3">
        <v>528.39740025024332</v>
      </c>
      <c r="L722" s="2">
        <v>2</v>
      </c>
      <c r="M722" s="2">
        <v>1</v>
      </c>
    </row>
    <row r="723" spans="1:13" x14ac:dyDescent="0.25">
      <c r="A723" s="2">
        <f t="shared" si="11"/>
        <v>715</v>
      </c>
      <c r="B723" s="2">
        <v>144944</v>
      </c>
      <c r="C723" t="s">
        <v>1259</v>
      </c>
      <c r="D723" t="s">
        <v>1260</v>
      </c>
      <c r="E723" t="s">
        <v>37</v>
      </c>
      <c r="F723" t="s">
        <v>82</v>
      </c>
      <c r="G723" s="4">
        <v>5732</v>
      </c>
      <c r="H723" s="4">
        <v>7101.915</v>
      </c>
      <c r="I723" s="4">
        <v>6972.6049999999996</v>
      </c>
      <c r="J723" s="1">
        <v>1.8545436031440186</v>
      </c>
      <c r="K723" s="3">
        <v>1238.9942428471738</v>
      </c>
      <c r="L723" s="2">
        <v>2</v>
      </c>
      <c r="M723" s="2">
        <v>1</v>
      </c>
    </row>
    <row r="724" spans="1:13" x14ac:dyDescent="0.25">
      <c r="A724" s="2">
        <f t="shared" si="11"/>
        <v>716</v>
      </c>
      <c r="B724" s="2">
        <v>193353</v>
      </c>
      <c r="C724" t="s">
        <v>1261</v>
      </c>
      <c r="D724" t="s">
        <v>1262</v>
      </c>
      <c r="E724" t="s">
        <v>34</v>
      </c>
      <c r="F724" t="s">
        <v>6</v>
      </c>
      <c r="G724" s="4">
        <v>1840</v>
      </c>
      <c r="H724" s="4">
        <v>6562.1109999999999</v>
      </c>
      <c r="I724" s="4">
        <v>5997.7569999999996</v>
      </c>
      <c r="J724" s="1">
        <v>9.4094175539289093</v>
      </c>
      <c r="K724" s="3">
        <v>3566.3646739130436</v>
      </c>
      <c r="L724" s="2">
        <v>2</v>
      </c>
      <c r="M724" s="2">
        <v>3</v>
      </c>
    </row>
    <row r="725" spans="1:13" ht="15.75" thickBot="1" x14ac:dyDescent="0.3">
      <c r="A725" s="28">
        <f t="shared" si="11"/>
        <v>717</v>
      </c>
      <c r="B725" s="28">
        <v>147800</v>
      </c>
      <c r="C725" s="29" t="s">
        <v>1263</v>
      </c>
      <c r="D725" s="29" t="s">
        <v>1264</v>
      </c>
      <c r="E725" s="29" t="s">
        <v>37</v>
      </c>
      <c r="F725" s="29" t="s">
        <v>82</v>
      </c>
      <c r="G725" s="30">
        <v>8083</v>
      </c>
      <c r="H725" s="30">
        <v>5547.335</v>
      </c>
      <c r="I725" s="30">
        <v>5605.1139999999996</v>
      </c>
      <c r="J725" s="31">
        <v>-1.0308264916645764</v>
      </c>
      <c r="K725" s="32">
        <v>686.29654831127061</v>
      </c>
      <c r="L725" s="28">
        <v>2</v>
      </c>
      <c r="M725" s="28">
        <v>1</v>
      </c>
    </row>
    <row r="727" spans="1:13" x14ac:dyDescent="0.25">
      <c r="C727" t="s">
        <v>1276</v>
      </c>
      <c r="G727" s="4">
        <v>11494</v>
      </c>
      <c r="H727" s="45">
        <v>903100</v>
      </c>
      <c r="I727" s="45">
        <v>889197</v>
      </c>
      <c r="J727" s="46">
        <f>(H727-I727)/I727</f>
        <v>1.5635455360285742E-2</v>
      </c>
      <c r="K727" s="44">
        <v>145014.45000000001</v>
      </c>
    </row>
    <row r="728" spans="1:13" x14ac:dyDescent="0.25">
      <c r="C728" t="s">
        <v>1277</v>
      </c>
      <c r="G728" s="4">
        <v>4376</v>
      </c>
      <c r="H728" s="45">
        <v>165683</v>
      </c>
      <c r="I728" s="45">
        <v>164722</v>
      </c>
      <c r="J728" s="46">
        <f>(H728-I728)/I728</f>
        <v>5.8340719515304574E-3</v>
      </c>
      <c r="K728" s="44">
        <v>37855.019999999997</v>
      </c>
    </row>
    <row r="730" spans="1:13" ht="15.75" thickBot="1" x14ac:dyDescent="0.3">
      <c r="A730" s="33"/>
      <c r="B730" s="33"/>
      <c r="C730" s="33"/>
      <c r="D730" s="33"/>
      <c r="E730" s="33"/>
      <c r="F730" s="33"/>
      <c r="G730" s="34"/>
      <c r="H730" s="35"/>
      <c r="I730" s="35"/>
      <c r="J730" s="36"/>
      <c r="K730" s="37"/>
      <c r="L730" s="33"/>
      <c r="M730" s="33"/>
    </row>
    <row r="731" spans="1:13" ht="15.75" thickTop="1" x14ac:dyDescent="0.25"/>
    <row r="733" spans="1:13" x14ac:dyDescent="0.25">
      <c r="A733" t="s">
        <v>1342</v>
      </c>
      <c r="G733"/>
      <c r="H733"/>
      <c r="I733"/>
      <c r="J733"/>
      <c r="K733"/>
    </row>
    <row r="734" spans="1:13" x14ac:dyDescent="0.25">
      <c r="A734" t="s">
        <v>1278</v>
      </c>
      <c r="G734"/>
      <c r="H734"/>
      <c r="I734"/>
      <c r="J734"/>
      <c r="K734"/>
    </row>
    <row r="735" spans="1:13" x14ac:dyDescent="0.25">
      <c r="G735"/>
      <c r="H735"/>
      <c r="I735"/>
      <c r="J735"/>
      <c r="K735"/>
    </row>
    <row r="736" spans="1:13" x14ac:dyDescent="0.25">
      <c r="A736" t="s">
        <v>1279</v>
      </c>
      <c r="D736" s="4"/>
      <c r="E736" s="4"/>
      <c r="F736" s="4"/>
      <c r="G736"/>
      <c r="H736"/>
      <c r="I736"/>
      <c r="J736"/>
      <c r="K736"/>
    </row>
    <row r="737" spans="1:13" x14ac:dyDescent="0.25">
      <c r="D737" s="4"/>
      <c r="E737" s="4"/>
      <c r="F737" s="4"/>
      <c r="G737"/>
      <c r="H737"/>
      <c r="I737"/>
      <c r="J737"/>
      <c r="K737"/>
    </row>
    <row r="738" spans="1:13" x14ac:dyDescent="0.25">
      <c r="A738" s="38" t="s">
        <v>1298</v>
      </c>
      <c r="B738" s="39"/>
      <c r="C738" s="39"/>
      <c r="D738" s="39"/>
      <c r="E738" s="39"/>
      <c r="F738" s="39"/>
      <c r="G738" s="39"/>
      <c r="H738" s="39"/>
      <c r="I738" s="39"/>
      <c r="J738" s="39"/>
      <c r="K738" s="39"/>
      <c r="L738" s="39"/>
      <c r="M738" s="39"/>
    </row>
    <row r="739" spans="1:13" x14ac:dyDescent="0.25">
      <c r="A739" s="2"/>
      <c r="G739"/>
      <c r="H739"/>
      <c r="I739"/>
      <c r="J739"/>
      <c r="K739"/>
    </row>
    <row r="740" spans="1:13" ht="17.25" x14ac:dyDescent="0.25">
      <c r="A740" s="2" t="s">
        <v>1343</v>
      </c>
      <c r="G740"/>
      <c r="H740"/>
      <c r="I740"/>
      <c r="J740"/>
      <c r="K740"/>
    </row>
    <row r="741" spans="1:13" x14ac:dyDescent="0.25">
      <c r="A741" s="2" t="s">
        <v>1280</v>
      </c>
      <c r="G741"/>
      <c r="H741"/>
      <c r="I741"/>
      <c r="J741"/>
      <c r="K741"/>
    </row>
    <row r="742" spans="1:13" x14ac:dyDescent="0.25">
      <c r="A742" s="2" t="s">
        <v>1281</v>
      </c>
      <c r="G742"/>
      <c r="H742"/>
      <c r="I742"/>
      <c r="J742"/>
      <c r="K742"/>
    </row>
    <row r="743" spans="1:13" x14ac:dyDescent="0.25">
      <c r="A743" s="2" t="s">
        <v>1282</v>
      </c>
      <c r="G743"/>
      <c r="H743"/>
      <c r="I743"/>
      <c r="J743"/>
      <c r="K743"/>
    </row>
    <row r="744" spans="1:13" x14ac:dyDescent="0.25">
      <c r="A744" s="2" t="s">
        <v>1283</v>
      </c>
      <c r="G744"/>
      <c r="H744"/>
      <c r="I744"/>
      <c r="J744"/>
      <c r="K744"/>
    </row>
    <row r="745" spans="1:13" x14ac:dyDescent="0.25">
      <c r="A745" s="2" t="s">
        <v>1284</v>
      </c>
      <c r="G745"/>
      <c r="H745"/>
      <c r="I745"/>
      <c r="J745"/>
      <c r="K745"/>
    </row>
    <row r="746" spans="1:13" x14ac:dyDescent="0.25">
      <c r="A746" s="40" t="s">
        <v>1285</v>
      </c>
      <c r="B746" s="41"/>
      <c r="C746" s="41"/>
      <c r="D746" s="41"/>
      <c r="E746" s="41"/>
      <c r="F746" s="41"/>
      <c r="G746" s="41"/>
      <c r="H746" s="41"/>
      <c r="I746" s="41"/>
      <c r="J746" s="41"/>
      <c r="K746"/>
    </row>
    <row r="747" spans="1:13" x14ac:dyDescent="0.25">
      <c r="A747" s="2"/>
      <c r="G747"/>
      <c r="H747"/>
      <c r="I747"/>
      <c r="J747"/>
      <c r="K747"/>
    </row>
    <row r="748" spans="1:13" ht="17.25" x14ac:dyDescent="0.25">
      <c r="A748" s="2" t="s">
        <v>1286</v>
      </c>
      <c r="G748"/>
      <c r="H748"/>
      <c r="I748"/>
      <c r="J748"/>
      <c r="K748"/>
    </row>
    <row r="749" spans="1:13" x14ac:dyDescent="0.25">
      <c r="A749" s="2" t="s">
        <v>1287</v>
      </c>
      <c r="G749"/>
      <c r="H749"/>
      <c r="I749"/>
      <c r="J749"/>
      <c r="K749"/>
    </row>
    <row r="750" spans="1:13" x14ac:dyDescent="0.25">
      <c r="A750" s="2"/>
      <c r="G750"/>
      <c r="H750"/>
      <c r="I750"/>
      <c r="J750"/>
      <c r="K750"/>
    </row>
    <row r="751" spans="1:13" ht="17.25" x14ac:dyDescent="0.25">
      <c r="A751" s="2" t="s">
        <v>1299</v>
      </c>
      <c r="G751"/>
      <c r="H751"/>
      <c r="I751"/>
      <c r="J751"/>
      <c r="K751"/>
    </row>
    <row r="752" spans="1:13" x14ac:dyDescent="0.25">
      <c r="A752" s="2"/>
      <c r="G752"/>
      <c r="H752"/>
      <c r="I752"/>
      <c r="J752"/>
      <c r="K752"/>
    </row>
    <row r="753" spans="1:11" ht="17.25" x14ac:dyDescent="0.25">
      <c r="A753" s="2" t="s">
        <v>1288</v>
      </c>
      <c r="G753"/>
      <c r="H753"/>
      <c r="I753"/>
      <c r="J753"/>
      <c r="K753"/>
    </row>
    <row r="754" spans="1:11" x14ac:dyDescent="0.25">
      <c r="A754" s="2" t="s">
        <v>1289</v>
      </c>
      <c r="G754"/>
      <c r="H754"/>
      <c r="I754"/>
      <c r="J754"/>
      <c r="K754"/>
    </row>
    <row r="755" spans="1:11" x14ac:dyDescent="0.25">
      <c r="A755" s="2" t="s">
        <v>1290</v>
      </c>
      <c r="G755"/>
      <c r="H755"/>
      <c r="I755"/>
      <c r="J755"/>
      <c r="K755"/>
    </row>
    <row r="756" spans="1:11" x14ac:dyDescent="0.25">
      <c r="A756" s="2" t="s">
        <v>1305</v>
      </c>
      <c r="D756" s="4"/>
      <c r="E756" s="4"/>
      <c r="F756" s="4"/>
      <c r="G756"/>
      <c r="H756"/>
      <c r="I756"/>
      <c r="J756"/>
      <c r="K756"/>
    </row>
    <row r="757" spans="1:11" x14ac:dyDescent="0.25">
      <c r="A757" s="2"/>
      <c r="G757"/>
      <c r="H757"/>
      <c r="I757"/>
      <c r="J757"/>
      <c r="K757"/>
    </row>
    <row r="758" spans="1:11" ht="17.25" x14ac:dyDescent="0.25">
      <c r="A758" s="2" t="s">
        <v>1307</v>
      </c>
      <c r="G758"/>
      <c r="H758"/>
      <c r="I758"/>
      <c r="J758"/>
      <c r="K758"/>
    </row>
    <row r="759" spans="1:11" x14ac:dyDescent="0.25">
      <c r="A759" s="2"/>
      <c r="G759"/>
      <c r="H759"/>
      <c r="I759"/>
      <c r="J759"/>
      <c r="K759"/>
    </row>
    <row r="760" spans="1:11" x14ac:dyDescent="0.25">
      <c r="A760" s="2" t="s">
        <v>1291</v>
      </c>
      <c r="G760"/>
      <c r="H760"/>
      <c r="I760"/>
      <c r="J760"/>
      <c r="K760"/>
    </row>
    <row r="761" spans="1:11" x14ac:dyDescent="0.25">
      <c r="A761" s="2" t="s">
        <v>1292</v>
      </c>
      <c r="G761"/>
      <c r="H761"/>
      <c r="I761"/>
      <c r="J761"/>
      <c r="K761"/>
    </row>
    <row r="762" spans="1:11" x14ac:dyDescent="0.25">
      <c r="A762" s="2" t="s">
        <v>1293</v>
      </c>
      <c r="G762"/>
      <c r="H762"/>
      <c r="I762"/>
      <c r="J762"/>
      <c r="K762"/>
    </row>
    <row r="763" spans="1:11" x14ac:dyDescent="0.25">
      <c r="A763" s="2" t="s">
        <v>1294</v>
      </c>
      <c r="G763"/>
      <c r="H763"/>
      <c r="I763"/>
      <c r="J763"/>
      <c r="K763"/>
    </row>
    <row r="764" spans="1:11" x14ac:dyDescent="0.25">
      <c r="A764" s="2" t="s">
        <v>1295</v>
      </c>
      <c r="G764"/>
      <c r="H764"/>
      <c r="I764"/>
      <c r="J764"/>
      <c r="K764"/>
    </row>
    <row r="765" spans="1:11" x14ac:dyDescent="0.25">
      <c r="A765" s="2" t="s">
        <v>1311</v>
      </c>
      <c r="G765"/>
      <c r="H765"/>
      <c r="I765"/>
      <c r="J765"/>
      <c r="K765"/>
    </row>
    <row r="766" spans="1:11" x14ac:dyDescent="0.25">
      <c r="A766" s="2" t="s">
        <v>1305</v>
      </c>
      <c r="G766"/>
      <c r="H766"/>
      <c r="I766"/>
      <c r="J766"/>
      <c r="K766"/>
    </row>
    <row r="767" spans="1:11" x14ac:dyDescent="0.25">
      <c r="A767" s="2"/>
      <c r="G767"/>
      <c r="H767"/>
      <c r="I767"/>
      <c r="J767"/>
      <c r="K767"/>
    </row>
    <row r="768" spans="1:11" x14ac:dyDescent="0.25">
      <c r="A768" s="2" t="s">
        <v>1296</v>
      </c>
      <c r="G768"/>
      <c r="H768"/>
      <c r="I768"/>
      <c r="J768"/>
      <c r="K768"/>
    </row>
    <row r="769" spans="1:13" ht="17.25" x14ac:dyDescent="0.25">
      <c r="A769" s="42" t="s">
        <v>1306</v>
      </c>
      <c r="B769" s="43"/>
      <c r="C769" s="43"/>
      <c r="D769" s="43"/>
      <c r="E769" s="43"/>
      <c r="F769" s="43"/>
      <c r="G769" s="43"/>
      <c r="H769" s="43"/>
      <c r="I769" s="43"/>
      <c r="J769" s="43"/>
      <c r="K769" s="43"/>
      <c r="L769" s="43"/>
      <c r="M769" s="43"/>
    </row>
    <row r="770" spans="1:13" ht="17.25" x14ac:dyDescent="0.25">
      <c r="A770" s="2" t="s">
        <v>1297</v>
      </c>
      <c r="G770"/>
      <c r="H770"/>
      <c r="I770"/>
      <c r="J770"/>
      <c r="K770"/>
    </row>
    <row r="771" spans="1:13" ht="17.25" x14ac:dyDescent="0.25">
      <c r="A771" s="2" t="s">
        <v>1310</v>
      </c>
      <c r="G771"/>
      <c r="H771"/>
      <c r="I771"/>
      <c r="J771"/>
      <c r="K771"/>
    </row>
    <row r="772" spans="1:13" ht="17.25" x14ac:dyDescent="0.25">
      <c r="A772" s="42" t="s">
        <v>1313</v>
      </c>
      <c r="B772" s="43"/>
      <c r="C772" s="43"/>
      <c r="D772" s="43"/>
      <c r="E772" s="43"/>
      <c r="F772" s="43"/>
      <c r="G772" s="43"/>
      <c r="H772" s="43"/>
      <c r="I772" s="43"/>
      <c r="J772" s="43"/>
      <c r="K772" s="43"/>
      <c r="L772" s="43"/>
    </row>
    <row r="773" spans="1:13" ht="17.25" x14ac:dyDescent="0.25">
      <c r="A773" s="42" t="s">
        <v>1317</v>
      </c>
      <c r="B773" s="43"/>
      <c r="C773" s="43"/>
      <c r="D773" s="43"/>
      <c r="E773" s="43"/>
      <c r="F773" s="43"/>
      <c r="G773" s="43"/>
      <c r="H773" s="43"/>
      <c r="I773" s="43"/>
      <c r="J773" s="43"/>
      <c r="K773" s="43"/>
      <c r="L773" s="43"/>
      <c r="M773" s="43"/>
    </row>
    <row r="774" spans="1:13" ht="17.25" x14ac:dyDescent="0.25">
      <c r="A774" s="2" t="s">
        <v>1318</v>
      </c>
      <c r="G774"/>
      <c r="H774"/>
      <c r="I774"/>
      <c r="J774"/>
      <c r="K774"/>
    </row>
    <row r="775" spans="1:13" ht="17.25" x14ac:dyDescent="0.25">
      <c r="A775" s="2" t="s">
        <v>1319</v>
      </c>
      <c r="G775"/>
      <c r="H775"/>
      <c r="I775"/>
      <c r="J775"/>
      <c r="K775"/>
    </row>
    <row r="776" spans="1:13" ht="17.25" x14ac:dyDescent="0.25">
      <c r="A776" s="2" t="s">
        <v>1323</v>
      </c>
      <c r="G776"/>
      <c r="H776"/>
      <c r="I776"/>
      <c r="J776"/>
      <c r="K776"/>
    </row>
    <row r="777" spans="1:13" ht="17.25" x14ac:dyDescent="0.25">
      <c r="A777" s="42" t="s">
        <v>1322</v>
      </c>
      <c r="B777" s="43"/>
      <c r="C777" s="43"/>
      <c r="D777" s="43"/>
      <c r="E777" s="43"/>
      <c r="F777" s="43"/>
      <c r="G777" s="43"/>
      <c r="H777" s="43"/>
      <c r="I777" s="43"/>
      <c r="J777"/>
      <c r="K777"/>
    </row>
    <row r="778" spans="1:13" ht="17.25" x14ac:dyDescent="0.25">
      <c r="A778" s="2" t="s">
        <v>1321</v>
      </c>
      <c r="G778"/>
      <c r="H778"/>
      <c r="I778"/>
      <c r="J778"/>
      <c r="K778"/>
    </row>
    <row r="779" spans="1:13" ht="17.25" x14ac:dyDescent="0.25">
      <c r="A779" s="2" t="s">
        <v>1320</v>
      </c>
      <c r="G779"/>
      <c r="H779"/>
      <c r="I779"/>
      <c r="J779"/>
      <c r="K779"/>
    </row>
    <row r="780" spans="1:13" ht="17.25" x14ac:dyDescent="0.25">
      <c r="A780" s="2" t="s">
        <v>1334</v>
      </c>
      <c r="G780"/>
      <c r="H780"/>
      <c r="I780"/>
      <c r="J780"/>
      <c r="K780"/>
    </row>
    <row r="781" spans="1:13" ht="17.25" x14ac:dyDescent="0.25">
      <c r="A781" s="2" t="s">
        <v>1335</v>
      </c>
      <c r="G781"/>
      <c r="H781"/>
      <c r="I781"/>
      <c r="J781"/>
      <c r="K781"/>
    </row>
    <row r="782" spans="1:13" ht="17.25" x14ac:dyDescent="0.25">
      <c r="A782" s="2" t="s">
        <v>1336</v>
      </c>
      <c r="G782"/>
      <c r="H782"/>
      <c r="I782"/>
      <c r="J782"/>
      <c r="K782"/>
    </row>
    <row r="783" spans="1:13" ht="17.25" x14ac:dyDescent="0.25">
      <c r="A783" s="2" t="s">
        <v>1337</v>
      </c>
      <c r="G783"/>
      <c r="H783"/>
      <c r="I783"/>
      <c r="J783"/>
      <c r="K783"/>
    </row>
    <row r="784" spans="1:13" x14ac:dyDescent="0.25">
      <c r="G784"/>
      <c r="H784"/>
      <c r="I784"/>
      <c r="J784"/>
      <c r="K784"/>
    </row>
    <row r="785" spans="7:11" x14ac:dyDescent="0.25">
      <c r="G785" s="4"/>
      <c r="J785"/>
      <c r="K785"/>
    </row>
    <row r="786" spans="7:11" x14ac:dyDescent="0.25">
      <c r="G786" s="4"/>
      <c r="J786"/>
      <c r="K786"/>
    </row>
    <row r="787" spans="7:11" x14ac:dyDescent="0.25">
      <c r="G787" s="4"/>
      <c r="J787"/>
      <c r="K787"/>
    </row>
    <row r="788" spans="7:11" x14ac:dyDescent="0.25">
      <c r="G788" s="4"/>
      <c r="J788"/>
      <c r="K788"/>
    </row>
    <row r="789" spans="7:11" x14ac:dyDescent="0.25">
      <c r="G789" s="4"/>
      <c r="J789"/>
      <c r="K789"/>
    </row>
    <row r="790" spans="7:11" x14ac:dyDescent="0.25">
      <c r="G790" s="4"/>
      <c r="J790"/>
      <c r="K790"/>
    </row>
    <row r="791" spans="7:11" x14ac:dyDescent="0.25">
      <c r="G791" s="4"/>
      <c r="J791"/>
      <c r="K791"/>
    </row>
    <row r="792" spans="7:11" x14ac:dyDescent="0.25">
      <c r="G792" s="4"/>
      <c r="J792"/>
      <c r="K792"/>
    </row>
    <row r="793" spans="7:11" x14ac:dyDescent="0.25">
      <c r="G793" s="4"/>
      <c r="J793"/>
      <c r="K793"/>
    </row>
    <row r="794" spans="7:11" x14ac:dyDescent="0.25">
      <c r="G794" s="4"/>
      <c r="J794"/>
      <c r="K794"/>
    </row>
    <row r="795" spans="7:11" x14ac:dyDescent="0.25">
      <c r="G795" s="4"/>
      <c r="J795"/>
      <c r="K795"/>
    </row>
    <row r="796" spans="7:11" x14ac:dyDescent="0.25">
      <c r="G796" s="4"/>
      <c r="J796"/>
      <c r="K796"/>
    </row>
    <row r="797" spans="7:11" x14ac:dyDescent="0.25">
      <c r="G797" s="4"/>
      <c r="J797"/>
      <c r="K797"/>
    </row>
    <row r="798" spans="7:11" x14ac:dyDescent="0.25">
      <c r="G798" s="4"/>
      <c r="J798"/>
      <c r="K798"/>
    </row>
    <row r="799" spans="7:11" x14ac:dyDescent="0.25">
      <c r="G799" s="4"/>
      <c r="J799"/>
      <c r="K799"/>
    </row>
    <row r="800" spans="7:11" x14ac:dyDescent="0.25">
      <c r="G800" s="4"/>
      <c r="J800"/>
      <c r="K800"/>
    </row>
    <row r="801" spans="7:11" x14ac:dyDescent="0.25">
      <c r="G801" s="4"/>
      <c r="J801"/>
      <c r="K801"/>
    </row>
    <row r="802" spans="7:11" x14ac:dyDescent="0.25">
      <c r="G802" s="4"/>
      <c r="J802"/>
      <c r="K802"/>
    </row>
    <row r="803" spans="7:11" x14ac:dyDescent="0.25">
      <c r="G803" s="4"/>
      <c r="J803"/>
      <c r="K803"/>
    </row>
    <row r="804" spans="7:11" x14ac:dyDescent="0.25">
      <c r="G804" s="4"/>
      <c r="J804"/>
      <c r="K804"/>
    </row>
    <row r="805" spans="7:11" x14ac:dyDescent="0.25">
      <c r="G805" s="4"/>
      <c r="J805"/>
      <c r="K805"/>
    </row>
    <row r="806" spans="7:11" x14ac:dyDescent="0.25">
      <c r="G806" s="4"/>
      <c r="J806"/>
      <c r="K806"/>
    </row>
    <row r="807" spans="7:11" x14ac:dyDescent="0.25">
      <c r="G807" s="4"/>
      <c r="J807"/>
      <c r="K807"/>
    </row>
    <row r="808" spans="7:11" x14ac:dyDescent="0.25">
      <c r="G808" s="4"/>
      <c r="J808"/>
      <c r="K808"/>
    </row>
    <row r="809" spans="7:11" x14ac:dyDescent="0.25">
      <c r="G809" s="4"/>
      <c r="J809"/>
      <c r="K809"/>
    </row>
    <row r="810" spans="7:11" x14ac:dyDescent="0.25">
      <c r="G810" s="4"/>
      <c r="J810"/>
      <c r="K810"/>
    </row>
    <row r="811" spans="7:11" x14ac:dyDescent="0.25">
      <c r="G811" s="4"/>
      <c r="J811"/>
      <c r="K811"/>
    </row>
    <row r="812" spans="7:11" x14ac:dyDescent="0.25">
      <c r="G812" s="4"/>
      <c r="J812"/>
      <c r="K812"/>
    </row>
    <row r="813" spans="7:11" x14ac:dyDescent="0.25">
      <c r="G813" s="4"/>
      <c r="J813"/>
      <c r="K813"/>
    </row>
    <row r="814" spans="7:11" x14ac:dyDescent="0.25">
      <c r="G814" s="4"/>
      <c r="J814"/>
      <c r="K814"/>
    </row>
    <row r="815" spans="7:11" x14ac:dyDescent="0.25">
      <c r="G815" s="4"/>
      <c r="J815"/>
      <c r="K815"/>
    </row>
    <row r="816" spans="7:11" x14ac:dyDescent="0.25">
      <c r="G816" s="4"/>
      <c r="J816"/>
      <c r="K816"/>
    </row>
    <row r="817" spans="7:11" x14ac:dyDescent="0.25">
      <c r="G817" s="4"/>
      <c r="J817"/>
      <c r="K817"/>
    </row>
    <row r="818" spans="7:11" x14ac:dyDescent="0.25">
      <c r="G818" s="4"/>
      <c r="J818"/>
      <c r="K818"/>
    </row>
    <row r="819" spans="7:11" x14ac:dyDescent="0.25">
      <c r="G819" s="4"/>
      <c r="J819"/>
      <c r="K819"/>
    </row>
    <row r="820" spans="7:11" x14ac:dyDescent="0.25">
      <c r="G820" s="4"/>
      <c r="J820"/>
      <c r="K820"/>
    </row>
    <row r="821" spans="7:11" x14ac:dyDescent="0.25">
      <c r="G821" s="4"/>
      <c r="J821"/>
      <c r="K821"/>
    </row>
    <row r="822" spans="7:11" x14ac:dyDescent="0.25">
      <c r="G822" s="4"/>
      <c r="J822"/>
      <c r="K822"/>
    </row>
    <row r="823" spans="7:11" x14ac:dyDescent="0.25">
      <c r="G823" s="4"/>
      <c r="J823"/>
      <c r="K823"/>
    </row>
    <row r="824" spans="7:11" x14ac:dyDescent="0.25">
      <c r="G824" s="4"/>
      <c r="J824"/>
      <c r="K824"/>
    </row>
    <row r="825" spans="7:11" x14ac:dyDescent="0.25">
      <c r="G825" s="4"/>
      <c r="J825"/>
      <c r="K825"/>
    </row>
    <row r="826" spans="7:11" x14ac:dyDescent="0.25">
      <c r="G826" s="4"/>
      <c r="J826"/>
      <c r="K826"/>
    </row>
    <row r="827" spans="7:11" x14ac:dyDescent="0.25">
      <c r="G827" s="4"/>
      <c r="J827"/>
      <c r="K827"/>
    </row>
    <row r="828" spans="7:11" x14ac:dyDescent="0.25">
      <c r="G828" s="4"/>
      <c r="J828"/>
      <c r="K828"/>
    </row>
    <row r="829" spans="7:11" x14ac:dyDescent="0.25">
      <c r="G829" s="4"/>
      <c r="J829"/>
      <c r="K829"/>
    </row>
    <row r="830" spans="7:11" x14ac:dyDescent="0.25">
      <c r="G830" s="4"/>
      <c r="J830"/>
      <c r="K830"/>
    </row>
    <row r="831" spans="7:11" x14ac:dyDescent="0.25">
      <c r="G831" s="4"/>
      <c r="J831"/>
      <c r="K831"/>
    </row>
    <row r="832" spans="7:11" x14ac:dyDescent="0.25">
      <c r="G832" s="4"/>
      <c r="J832"/>
      <c r="K832"/>
    </row>
    <row r="833" spans="7:11" x14ac:dyDescent="0.25">
      <c r="G833" s="4"/>
      <c r="J833"/>
      <c r="K833"/>
    </row>
    <row r="834" spans="7:11" x14ac:dyDescent="0.25">
      <c r="G834" s="4"/>
      <c r="J834"/>
      <c r="K834"/>
    </row>
    <row r="835" spans="7:11" x14ac:dyDescent="0.25">
      <c r="G835" s="4"/>
      <c r="J835"/>
      <c r="K835"/>
    </row>
    <row r="836" spans="7:11" x14ac:dyDescent="0.25">
      <c r="G836" s="4"/>
      <c r="J836"/>
      <c r="K836"/>
    </row>
    <row r="837" spans="7:11" x14ac:dyDescent="0.25">
      <c r="G837" s="4"/>
      <c r="J837"/>
      <c r="K837"/>
    </row>
    <row r="838" spans="7:11" x14ac:dyDescent="0.25">
      <c r="G838" s="4"/>
      <c r="J838"/>
      <c r="K838"/>
    </row>
    <row r="839" spans="7:11" x14ac:dyDescent="0.25">
      <c r="G839" s="4"/>
      <c r="J839"/>
      <c r="K839"/>
    </row>
    <row r="840" spans="7:11" x14ac:dyDescent="0.25">
      <c r="G840" s="4"/>
      <c r="J840"/>
      <c r="K840"/>
    </row>
    <row r="841" spans="7:11" x14ac:dyDescent="0.25">
      <c r="G841" s="4"/>
      <c r="J841"/>
      <c r="K841"/>
    </row>
    <row r="842" spans="7:11" x14ac:dyDescent="0.25">
      <c r="G842" s="4"/>
      <c r="J842"/>
      <c r="K842"/>
    </row>
    <row r="843" spans="7:11" x14ac:dyDescent="0.25">
      <c r="G843" s="4"/>
      <c r="J843"/>
      <c r="K843"/>
    </row>
    <row r="844" spans="7:11" x14ac:dyDescent="0.25">
      <c r="G844" s="4"/>
      <c r="J844"/>
      <c r="K844"/>
    </row>
    <row r="845" spans="7:11" x14ac:dyDescent="0.25">
      <c r="G845" s="4"/>
      <c r="J845"/>
      <c r="K845"/>
    </row>
    <row r="846" spans="7:11" x14ac:dyDescent="0.25">
      <c r="G846" s="4"/>
      <c r="J846"/>
      <c r="K846"/>
    </row>
    <row r="847" spans="7:11" x14ac:dyDescent="0.25">
      <c r="G847" s="4"/>
      <c r="J847"/>
      <c r="K847"/>
    </row>
    <row r="848" spans="7:11" x14ac:dyDescent="0.25">
      <c r="G848" s="4"/>
      <c r="J848"/>
      <c r="K848"/>
    </row>
    <row r="849" spans="7:11" x14ac:dyDescent="0.25">
      <c r="G849" s="4"/>
      <c r="J849"/>
      <c r="K849"/>
    </row>
    <row r="850" spans="7:11" x14ac:dyDescent="0.25">
      <c r="G850" s="4"/>
      <c r="J850"/>
      <c r="K850"/>
    </row>
    <row r="851" spans="7:11" x14ac:dyDescent="0.25">
      <c r="G851" s="4"/>
      <c r="J851"/>
      <c r="K851"/>
    </row>
    <row r="852" spans="7:11" x14ac:dyDescent="0.25">
      <c r="G852" s="4"/>
      <c r="J852"/>
      <c r="K852"/>
    </row>
    <row r="853" spans="7:11" x14ac:dyDescent="0.25">
      <c r="G853" s="4"/>
      <c r="J853"/>
      <c r="K853"/>
    </row>
    <row r="854" spans="7:11" x14ac:dyDescent="0.25">
      <c r="G854" s="4"/>
      <c r="J854"/>
      <c r="K854"/>
    </row>
    <row r="855" spans="7:11" x14ac:dyDescent="0.25">
      <c r="G855" s="4"/>
      <c r="J855"/>
      <c r="K855"/>
    </row>
    <row r="856" spans="7:11" x14ac:dyDescent="0.25">
      <c r="G856" s="4"/>
      <c r="J856"/>
      <c r="K856"/>
    </row>
    <row r="857" spans="7:11" x14ac:dyDescent="0.25">
      <c r="G857" s="4"/>
      <c r="J857"/>
      <c r="K857"/>
    </row>
    <row r="858" spans="7:11" x14ac:dyDescent="0.25">
      <c r="G858" s="4"/>
      <c r="J858"/>
      <c r="K858"/>
    </row>
    <row r="859" spans="7:11" x14ac:dyDescent="0.25">
      <c r="G859" s="4"/>
      <c r="J859"/>
      <c r="K859"/>
    </row>
    <row r="860" spans="7:11" x14ac:dyDescent="0.25">
      <c r="G860" s="4"/>
      <c r="J860"/>
      <c r="K860"/>
    </row>
    <row r="861" spans="7:11" x14ac:dyDescent="0.25">
      <c r="G861" s="4"/>
      <c r="J861"/>
      <c r="K861"/>
    </row>
    <row r="862" spans="7:11" x14ac:dyDescent="0.25">
      <c r="G862" s="4"/>
      <c r="J862"/>
      <c r="K862"/>
    </row>
    <row r="863" spans="7:11" x14ac:dyDescent="0.25">
      <c r="G863" s="4"/>
      <c r="J863"/>
      <c r="K863"/>
    </row>
    <row r="864" spans="7:11" x14ac:dyDescent="0.25">
      <c r="G864" s="4"/>
      <c r="J864"/>
      <c r="K864"/>
    </row>
    <row r="865" spans="7:11" x14ac:dyDescent="0.25">
      <c r="G865" s="4"/>
      <c r="J865"/>
      <c r="K865"/>
    </row>
    <row r="866" spans="7:11" x14ac:dyDescent="0.25">
      <c r="G866" s="4"/>
      <c r="J866"/>
      <c r="K866"/>
    </row>
    <row r="867" spans="7:11" x14ac:dyDescent="0.25">
      <c r="G867" s="4"/>
      <c r="J867"/>
      <c r="K867"/>
    </row>
    <row r="868" spans="7:11" x14ac:dyDescent="0.25">
      <c r="G868" s="4"/>
      <c r="J868"/>
      <c r="K868"/>
    </row>
    <row r="869" spans="7:11" x14ac:dyDescent="0.25">
      <c r="G869" s="4"/>
      <c r="J869"/>
      <c r="K869"/>
    </row>
    <row r="870" spans="7:11" x14ac:dyDescent="0.25">
      <c r="G870" s="4"/>
      <c r="J870"/>
      <c r="K870"/>
    </row>
    <row r="871" spans="7:11" x14ac:dyDescent="0.25">
      <c r="G871" s="4"/>
      <c r="J871"/>
      <c r="K871"/>
    </row>
    <row r="872" spans="7:11" x14ac:dyDescent="0.25">
      <c r="G872" s="4"/>
      <c r="J872"/>
      <c r="K872"/>
    </row>
    <row r="873" spans="7:11" x14ac:dyDescent="0.25">
      <c r="G873" s="4"/>
      <c r="J873"/>
      <c r="K873"/>
    </row>
    <row r="874" spans="7:11" x14ac:dyDescent="0.25">
      <c r="G874" s="4"/>
      <c r="J874"/>
      <c r="K874"/>
    </row>
    <row r="875" spans="7:11" x14ac:dyDescent="0.25">
      <c r="G875" s="4"/>
      <c r="J875"/>
      <c r="K875"/>
    </row>
    <row r="876" spans="7:11" x14ac:dyDescent="0.25">
      <c r="G876" s="4"/>
      <c r="J876"/>
      <c r="K876"/>
    </row>
    <row r="877" spans="7:11" x14ac:dyDescent="0.25">
      <c r="G877" s="4"/>
      <c r="J877"/>
      <c r="K877"/>
    </row>
    <row r="878" spans="7:11" x14ac:dyDescent="0.25">
      <c r="G878" s="4"/>
      <c r="J878"/>
      <c r="K878"/>
    </row>
    <row r="879" spans="7:11" x14ac:dyDescent="0.25">
      <c r="G879" s="4"/>
      <c r="J879"/>
      <c r="K879"/>
    </row>
    <row r="880" spans="7:11" x14ac:dyDescent="0.25">
      <c r="G880" s="4"/>
      <c r="J880"/>
      <c r="K880"/>
    </row>
    <row r="881" spans="7:11" x14ac:dyDescent="0.25">
      <c r="G881" s="4"/>
      <c r="J881"/>
      <c r="K881"/>
    </row>
    <row r="882" spans="7:11" x14ac:dyDescent="0.25">
      <c r="G882" s="4"/>
      <c r="J882"/>
      <c r="K882"/>
    </row>
    <row r="883" spans="7:11" x14ac:dyDescent="0.25">
      <c r="G883" s="4"/>
      <c r="J883"/>
      <c r="K883"/>
    </row>
    <row r="884" spans="7:11" x14ac:dyDescent="0.25">
      <c r="G884" s="4"/>
      <c r="J884"/>
      <c r="K884"/>
    </row>
    <row r="885" spans="7:11" x14ac:dyDescent="0.25">
      <c r="G885" s="4"/>
      <c r="J885"/>
      <c r="K885"/>
    </row>
    <row r="886" spans="7:11" x14ac:dyDescent="0.25">
      <c r="G886" s="4"/>
      <c r="J886"/>
      <c r="K886"/>
    </row>
    <row r="887" spans="7:11" x14ac:dyDescent="0.25">
      <c r="G887" s="4"/>
      <c r="J887"/>
      <c r="K887"/>
    </row>
    <row r="888" spans="7:11" x14ac:dyDescent="0.25">
      <c r="G888" s="4"/>
      <c r="J888"/>
      <c r="K888"/>
    </row>
    <row r="889" spans="7:11" x14ac:dyDescent="0.25">
      <c r="G889" s="4"/>
      <c r="J889"/>
      <c r="K889"/>
    </row>
    <row r="890" spans="7:11" x14ac:dyDescent="0.25">
      <c r="G890" s="4"/>
      <c r="J890"/>
      <c r="K890"/>
    </row>
    <row r="891" spans="7:11" x14ac:dyDescent="0.25">
      <c r="G891" s="4"/>
      <c r="J891"/>
      <c r="K891"/>
    </row>
    <row r="892" spans="7:11" x14ac:dyDescent="0.25">
      <c r="G892" s="4"/>
      <c r="J892"/>
      <c r="K892"/>
    </row>
    <row r="893" spans="7:11" x14ac:dyDescent="0.25">
      <c r="G893" s="4"/>
      <c r="J893"/>
      <c r="K893"/>
    </row>
    <row r="894" spans="7:11" x14ac:dyDescent="0.25">
      <c r="G894" s="4"/>
      <c r="J894"/>
      <c r="K894"/>
    </row>
    <row r="895" spans="7:11" x14ac:dyDescent="0.25">
      <c r="G895" s="4"/>
      <c r="J895"/>
      <c r="K895"/>
    </row>
    <row r="896" spans="7:11" x14ac:dyDescent="0.25">
      <c r="G896" s="4"/>
      <c r="J896"/>
      <c r="K896"/>
    </row>
    <row r="897" spans="7:11" x14ac:dyDescent="0.25">
      <c r="G897" s="4"/>
      <c r="J897"/>
      <c r="K897"/>
    </row>
    <row r="898" spans="7:11" x14ac:dyDescent="0.25">
      <c r="G898" s="4"/>
      <c r="J898"/>
      <c r="K898"/>
    </row>
    <row r="899" spans="7:11" x14ac:dyDescent="0.25">
      <c r="G899" s="4"/>
      <c r="J899"/>
      <c r="K899"/>
    </row>
    <row r="900" spans="7:11" x14ac:dyDescent="0.25">
      <c r="G900" s="4"/>
      <c r="J900"/>
      <c r="K900"/>
    </row>
    <row r="901" spans="7:11" x14ac:dyDescent="0.25">
      <c r="G901" s="4"/>
      <c r="J901"/>
      <c r="K901"/>
    </row>
    <row r="902" spans="7:11" x14ac:dyDescent="0.25">
      <c r="G902" s="4"/>
      <c r="J902"/>
      <c r="K902"/>
    </row>
    <row r="903" spans="7:11" x14ac:dyDescent="0.25">
      <c r="G903" s="4"/>
      <c r="J903"/>
      <c r="K903"/>
    </row>
    <row r="904" spans="7:11" x14ac:dyDescent="0.25">
      <c r="G904" s="4"/>
      <c r="J904"/>
      <c r="K904"/>
    </row>
    <row r="905" spans="7:11" x14ac:dyDescent="0.25">
      <c r="G905" s="4"/>
      <c r="J905"/>
      <c r="K905"/>
    </row>
    <row r="906" spans="7:11" x14ac:dyDescent="0.25">
      <c r="G906" s="4"/>
      <c r="J906"/>
      <c r="K906"/>
    </row>
    <row r="907" spans="7:11" x14ac:dyDescent="0.25">
      <c r="G907" s="4"/>
      <c r="J907"/>
      <c r="K907"/>
    </row>
    <row r="908" spans="7:11" x14ac:dyDescent="0.25">
      <c r="G908" s="4"/>
      <c r="J908"/>
      <c r="K908"/>
    </row>
    <row r="909" spans="7:11" x14ac:dyDescent="0.25">
      <c r="G909" s="4"/>
      <c r="J909"/>
      <c r="K909"/>
    </row>
    <row r="910" spans="7:11" x14ac:dyDescent="0.25">
      <c r="G910" s="4"/>
      <c r="J910"/>
      <c r="K910"/>
    </row>
    <row r="911" spans="7:11" x14ac:dyDescent="0.25">
      <c r="G911" s="4"/>
      <c r="J911"/>
      <c r="K911"/>
    </row>
    <row r="912" spans="7:11" x14ac:dyDescent="0.25">
      <c r="G912" s="4"/>
      <c r="J912"/>
      <c r="K912"/>
    </row>
    <row r="913" spans="7:11" x14ac:dyDescent="0.25">
      <c r="G913" s="4"/>
      <c r="J913"/>
      <c r="K913"/>
    </row>
    <row r="914" spans="7:11" x14ac:dyDescent="0.25">
      <c r="G914" s="4"/>
      <c r="J914"/>
      <c r="K914"/>
    </row>
    <row r="915" spans="7:11" x14ac:dyDescent="0.25">
      <c r="G915" s="4"/>
      <c r="J915"/>
      <c r="K915"/>
    </row>
    <row r="916" spans="7:11" x14ac:dyDescent="0.25">
      <c r="G916" s="4"/>
      <c r="J916"/>
      <c r="K916"/>
    </row>
    <row r="917" spans="7:11" x14ac:dyDescent="0.25">
      <c r="G917" s="4"/>
      <c r="J917"/>
      <c r="K917"/>
    </row>
    <row r="918" spans="7:11" x14ac:dyDescent="0.25">
      <c r="G918" s="4"/>
      <c r="J918"/>
      <c r="K918"/>
    </row>
    <row r="919" spans="7:11" x14ac:dyDescent="0.25">
      <c r="G919" s="4"/>
      <c r="J919"/>
      <c r="K919"/>
    </row>
    <row r="920" spans="7:11" x14ac:dyDescent="0.25">
      <c r="G920" s="4"/>
      <c r="J920"/>
      <c r="K920"/>
    </row>
    <row r="921" spans="7:11" x14ac:dyDescent="0.25">
      <c r="G921" s="4"/>
      <c r="J921"/>
      <c r="K921"/>
    </row>
    <row r="922" spans="7:11" x14ac:dyDescent="0.25">
      <c r="G922" s="4"/>
      <c r="J922"/>
      <c r="K922"/>
    </row>
    <row r="923" spans="7:11" x14ac:dyDescent="0.25">
      <c r="G923" s="4"/>
      <c r="J923"/>
      <c r="K923"/>
    </row>
    <row r="924" spans="7:11" x14ac:dyDescent="0.25">
      <c r="G924" s="4"/>
      <c r="J924"/>
      <c r="K924"/>
    </row>
    <row r="925" spans="7:11" x14ac:dyDescent="0.25">
      <c r="G925" s="4"/>
      <c r="J925"/>
      <c r="K925"/>
    </row>
    <row r="926" spans="7:11" x14ac:dyDescent="0.25">
      <c r="G926" s="4"/>
      <c r="J926"/>
      <c r="K926"/>
    </row>
    <row r="927" spans="7:11" x14ac:dyDescent="0.25">
      <c r="G927" s="4"/>
      <c r="J927"/>
      <c r="K927"/>
    </row>
    <row r="928" spans="7:11" x14ac:dyDescent="0.25">
      <c r="G928" s="4"/>
      <c r="J928"/>
      <c r="K928"/>
    </row>
    <row r="929" spans="7:11" x14ac:dyDescent="0.25">
      <c r="G929" s="4"/>
      <c r="J929"/>
      <c r="K929"/>
    </row>
    <row r="930" spans="7:11" x14ac:dyDescent="0.25">
      <c r="G930" s="4"/>
      <c r="J930"/>
      <c r="K930"/>
    </row>
    <row r="931" spans="7:11" x14ac:dyDescent="0.25">
      <c r="G931" s="4"/>
      <c r="J931"/>
      <c r="K931"/>
    </row>
    <row r="932" spans="7:11" x14ac:dyDescent="0.25">
      <c r="G932" s="4"/>
      <c r="J932"/>
      <c r="K932"/>
    </row>
    <row r="933" spans="7:11" x14ac:dyDescent="0.25">
      <c r="G933" s="4"/>
      <c r="J933"/>
      <c r="K933"/>
    </row>
    <row r="934" spans="7:11" x14ac:dyDescent="0.25">
      <c r="G934" s="4"/>
      <c r="J934"/>
      <c r="K934"/>
    </row>
    <row r="935" spans="7:11" x14ac:dyDescent="0.25">
      <c r="G935" s="4"/>
      <c r="J935"/>
      <c r="K935"/>
    </row>
    <row r="936" spans="7:11" x14ac:dyDescent="0.25">
      <c r="G936" s="4"/>
      <c r="J936"/>
      <c r="K936"/>
    </row>
    <row r="937" spans="7:11" x14ac:dyDescent="0.25">
      <c r="G937" s="4"/>
      <c r="J937"/>
      <c r="K937"/>
    </row>
    <row r="938" spans="7:11" x14ac:dyDescent="0.25">
      <c r="G938" s="4"/>
      <c r="J938"/>
      <c r="K938"/>
    </row>
    <row r="939" spans="7:11" x14ac:dyDescent="0.25">
      <c r="G939" s="4"/>
      <c r="J939"/>
      <c r="K939"/>
    </row>
    <row r="940" spans="7:11" x14ac:dyDescent="0.25">
      <c r="G940" s="4"/>
      <c r="J940"/>
      <c r="K940"/>
    </row>
    <row r="941" spans="7:11" x14ac:dyDescent="0.25">
      <c r="G941" s="4"/>
      <c r="J941"/>
      <c r="K941"/>
    </row>
    <row r="942" spans="7:11" x14ac:dyDescent="0.25">
      <c r="G942" s="4"/>
      <c r="J942"/>
      <c r="K942"/>
    </row>
    <row r="943" spans="7:11" x14ac:dyDescent="0.25">
      <c r="G943" s="4"/>
      <c r="J943"/>
      <c r="K943"/>
    </row>
    <row r="944" spans="7:11" x14ac:dyDescent="0.25">
      <c r="G944" s="4"/>
      <c r="J944"/>
      <c r="K944"/>
    </row>
    <row r="945" spans="7:11" x14ac:dyDescent="0.25">
      <c r="G945" s="4"/>
      <c r="J945"/>
      <c r="K945"/>
    </row>
    <row r="946" spans="7:11" x14ac:dyDescent="0.25">
      <c r="G946" s="4"/>
      <c r="J946"/>
      <c r="K946"/>
    </row>
    <row r="947" spans="7:11" x14ac:dyDescent="0.25">
      <c r="G947" s="4"/>
      <c r="J947"/>
      <c r="K947"/>
    </row>
    <row r="948" spans="7:11" x14ac:dyDescent="0.25">
      <c r="G948" s="4"/>
      <c r="J948"/>
      <c r="K948"/>
    </row>
    <row r="949" spans="7:11" x14ac:dyDescent="0.25">
      <c r="G949" s="4"/>
      <c r="J949"/>
      <c r="K949"/>
    </row>
    <row r="950" spans="7:11" x14ac:dyDescent="0.25">
      <c r="G950" s="4"/>
      <c r="J950"/>
      <c r="K950"/>
    </row>
    <row r="951" spans="7:11" x14ac:dyDescent="0.25">
      <c r="G951" s="4"/>
      <c r="J951"/>
      <c r="K951"/>
    </row>
    <row r="952" spans="7:11" x14ac:dyDescent="0.25">
      <c r="G952" s="4"/>
      <c r="J952"/>
      <c r="K952"/>
    </row>
    <row r="953" spans="7:11" x14ac:dyDescent="0.25">
      <c r="G953" s="4"/>
      <c r="J953"/>
      <c r="K953"/>
    </row>
    <row r="954" spans="7:11" x14ac:dyDescent="0.25">
      <c r="G954" s="4"/>
      <c r="J954"/>
      <c r="K954"/>
    </row>
    <row r="955" spans="7:11" x14ac:dyDescent="0.25">
      <c r="G955" s="4"/>
      <c r="J955"/>
      <c r="K955"/>
    </row>
    <row r="956" spans="7:11" x14ac:dyDescent="0.25">
      <c r="G956" s="4"/>
      <c r="J956"/>
      <c r="K956"/>
    </row>
    <row r="957" spans="7:11" x14ac:dyDescent="0.25">
      <c r="G957" s="4"/>
      <c r="J957"/>
      <c r="K957"/>
    </row>
    <row r="958" spans="7:11" x14ac:dyDescent="0.25">
      <c r="G958" s="4"/>
      <c r="J958"/>
      <c r="K958"/>
    </row>
    <row r="959" spans="7:11" x14ac:dyDescent="0.25">
      <c r="G959" s="4"/>
      <c r="J959"/>
      <c r="K959"/>
    </row>
    <row r="960" spans="7:11" x14ac:dyDescent="0.25">
      <c r="G960" s="4"/>
      <c r="J960"/>
      <c r="K960"/>
    </row>
  </sheetData>
  <sortState xmlns:xlrd2="http://schemas.microsoft.com/office/spreadsheetml/2017/richdata2" ref="A9:M725">
    <sortCondition ref="A78"/>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2020 NTSE Endowment Market Valu</vt:lpstr>
    </vt:vector>
  </TitlesOfParts>
  <Company>IBM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IBM SPSS Export Facility</dc:creator>
  <cp:lastModifiedBy>Ken Redd</cp:lastModifiedBy>
  <dcterms:created xsi:type="dcterms:W3CDTF">2011-08-01T14:22:18Z</dcterms:created>
  <dcterms:modified xsi:type="dcterms:W3CDTF">2021-04-22T12:49:52Z</dcterms:modified>
</cp:coreProperties>
</file>