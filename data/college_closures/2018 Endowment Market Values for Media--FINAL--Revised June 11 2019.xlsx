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P:\AIA\Research\Endowment\2018 NTSE\Public Tables\Final Public Tables\"/>
    </mc:Choice>
  </mc:AlternateContent>
  <xr:revisionPtr revIDLastSave="0" documentId="14_{A068BC1F-EC78-4F66-A84D-A712E2C949BE}" xr6:coauthVersionLast="36" xr6:coauthVersionMax="36" xr10:uidLastSave="{00000000-0000-0000-0000-000000000000}"/>
  <bookViews>
    <workbookView xWindow="0" yWindow="0" windowWidth="24000" windowHeight="8925" xr2:uid="{00000000-000D-0000-FFFF-FFFF00000000}"/>
  </bookViews>
  <sheets>
    <sheet name="2018 Endowment Market Values" sheetId="1" r:id="rId1"/>
  </sheet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A816" i="1" l="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J161" i="1"/>
  <c r="H161" i="1"/>
  <c r="J779" i="1" l="1"/>
  <c r="J732" i="1"/>
  <c r="J710" i="1"/>
  <c r="J680" i="1"/>
  <c r="J678" i="1"/>
  <c r="J499" i="1"/>
  <c r="J439" i="1"/>
  <c r="J438" i="1"/>
  <c r="J423" i="1"/>
  <c r="J407" i="1"/>
  <c r="J174" i="1"/>
  <c r="J153" i="1"/>
  <c r="J615" i="1"/>
  <c r="J110" i="1"/>
  <c r="J71" i="1"/>
  <c r="J22" i="1"/>
  <c r="J498" i="1"/>
  <c r="J64" i="1"/>
  <c r="J291" i="1"/>
  <c r="J325" i="1"/>
  <c r="J561" i="1"/>
  <c r="J63" i="1"/>
  <c r="J337" i="1"/>
  <c r="J137" i="1"/>
  <c r="J784" i="1"/>
  <c r="J733" i="1"/>
  <c r="J627" i="1"/>
  <c r="J608" i="1"/>
  <c r="J408" i="1"/>
  <c r="J328" i="1"/>
  <c r="J292" i="1"/>
  <c r="J253" i="1"/>
  <c r="J200" i="1"/>
  <c r="J195" i="1"/>
  <c r="J190" i="1"/>
  <c r="J156" i="1"/>
  <c r="J140" i="1"/>
  <c r="J107" i="1"/>
  <c r="J98" i="1"/>
  <c r="J78" i="1"/>
  <c r="J61" i="1"/>
  <c r="J534" i="1"/>
  <c r="J227" i="1"/>
  <c r="J588" i="1"/>
  <c r="J752" i="1"/>
  <c r="J644" i="1"/>
  <c r="J44" i="1"/>
  <c r="J10" i="1"/>
  <c r="J604" i="1"/>
  <c r="J790" i="1"/>
  <c r="J334" i="1"/>
  <c r="J301" i="1"/>
  <c r="J693" i="1"/>
  <c r="J705" i="1"/>
  <c r="J628" i="1"/>
  <c r="J402" i="1"/>
  <c r="J509" i="1"/>
  <c r="J124" i="1"/>
  <c r="J170" i="1"/>
  <c r="J252" i="1"/>
  <c r="J521" i="1"/>
  <c r="J470" i="1"/>
  <c r="J602" i="1"/>
  <c r="J777" i="1"/>
  <c r="J404" i="1"/>
  <c r="J176" i="1"/>
  <c r="J783" i="1"/>
  <c r="J396" i="1"/>
  <c r="J184" i="1"/>
  <c r="J572" i="1"/>
  <c r="J41" i="1"/>
  <c r="J111" i="1"/>
  <c r="J730" i="1"/>
  <c r="J458" i="1"/>
  <c r="J237" i="1"/>
  <c r="J490" i="1"/>
  <c r="J281" i="1"/>
  <c r="J589" i="1"/>
  <c r="J76" i="1"/>
  <c r="J199" i="1"/>
  <c r="J586" i="1"/>
  <c r="J403" i="1"/>
  <c r="J46" i="1"/>
  <c r="J395" i="1"/>
  <c r="J294" i="1"/>
  <c r="J660" i="1"/>
  <c r="J643" i="1"/>
  <c r="J709" i="1"/>
  <c r="J469" i="1"/>
  <c r="J80" i="1"/>
  <c r="J481" i="1"/>
  <c r="J352" i="1"/>
  <c r="J274" i="1"/>
  <c r="J375" i="1"/>
  <c r="J632" i="1"/>
  <c r="J714" i="1"/>
  <c r="J503" i="1"/>
  <c r="J764" i="1"/>
  <c r="J517" i="1"/>
  <c r="J104" i="1"/>
  <c r="J544" i="1"/>
  <c r="J231" i="1"/>
  <c r="J121" i="1"/>
  <c r="J95" i="1"/>
  <c r="J570" i="1"/>
  <c r="J603" i="1"/>
  <c r="J91" i="1"/>
  <c r="J8" i="1"/>
  <c r="J614" i="1"/>
  <c r="J504" i="1"/>
  <c r="J813" i="1"/>
  <c r="J75" i="1"/>
  <c r="J14" i="1"/>
  <c r="J336" i="1"/>
  <c r="J771" i="1"/>
  <c r="J275" i="1"/>
  <c r="J73" i="1"/>
  <c r="J342" i="1"/>
  <c r="J450" i="1"/>
  <c r="J479" i="1"/>
  <c r="J26" i="1"/>
  <c r="J346" i="1"/>
  <c r="J515" i="1"/>
  <c r="J755" i="1"/>
  <c r="J767" i="1"/>
  <c r="J742" i="1"/>
  <c r="J412" i="1"/>
  <c r="J599" i="1"/>
  <c r="J393" i="1"/>
  <c r="J559" i="1"/>
  <c r="J657" i="1"/>
  <c r="J90" i="1"/>
  <c r="J97" i="1"/>
  <c r="J413" i="1"/>
  <c r="J217" i="1"/>
  <c r="J30" i="1"/>
  <c r="J583" i="1"/>
  <c r="J610" i="1"/>
  <c r="J675" i="1"/>
  <c r="J220" i="1"/>
  <c r="J243" i="1"/>
  <c r="J483" i="1"/>
  <c r="J319" i="1"/>
  <c r="J388" i="1"/>
  <c r="J619" i="1"/>
  <c r="J443" i="1"/>
  <c r="J535" i="1"/>
  <c r="J343" i="1"/>
  <c r="J299" i="1"/>
  <c r="J332" i="1"/>
  <c r="J626" i="1"/>
  <c r="J765" i="1"/>
  <c r="J501" i="1"/>
  <c r="J235" i="1"/>
  <c r="J165" i="1"/>
  <c r="J550" i="1"/>
  <c r="J664" i="1"/>
  <c r="J266" i="1"/>
  <c r="J510" i="1"/>
  <c r="J600" i="1"/>
  <c r="J523" i="1"/>
  <c r="J249" i="1"/>
  <c r="J302" i="1"/>
  <c r="J289" i="1"/>
  <c r="J355" i="1"/>
  <c r="J36" i="1"/>
  <c r="J609" i="1"/>
  <c r="J512" i="1"/>
  <c r="J444" i="1"/>
  <c r="J665" i="1"/>
  <c r="J425" i="1"/>
  <c r="J162" i="1"/>
  <c r="J173" i="1"/>
  <c r="J379" i="1"/>
  <c r="J277" i="1"/>
  <c r="J645" i="1"/>
  <c r="J702" i="1"/>
  <c r="J34" i="1"/>
  <c r="J373" i="1"/>
  <c r="J221" i="1"/>
  <c r="J711" i="1"/>
  <c r="J13" i="1"/>
  <c r="J757" i="1"/>
  <c r="J33" i="1"/>
  <c r="J663" i="1"/>
  <c r="J637" i="1"/>
  <c r="J273" i="1"/>
  <c r="J673" i="1"/>
  <c r="J634" i="1"/>
  <c r="J411" i="1"/>
  <c r="J717" i="1"/>
  <c r="J692" i="1"/>
  <c r="J329" i="1"/>
  <c r="J86" i="1"/>
  <c r="J575" i="1"/>
  <c r="J138" i="1"/>
  <c r="J532" i="1"/>
  <c r="J724" i="1"/>
  <c r="J442" i="1"/>
  <c r="J582" i="1"/>
  <c r="J191" i="1"/>
  <c r="J256" i="1"/>
  <c r="J598" i="1"/>
  <c r="J247" i="1"/>
  <c r="J546" i="1"/>
  <c r="J236" i="1"/>
  <c r="J144" i="1"/>
  <c r="J214" i="1"/>
  <c r="J716" i="1"/>
  <c r="J287" i="1"/>
  <c r="J507" i="1"/>
  <c r="J49" i="1"/>
  <c r="J134" i="1"/>
  <c r="J129" i="1"/>
  <c r="J641" i="1"/>
  <c r="J571" i="1"/>
  <c r="J522" i="1"/>
  <c r="J313" i="1"/>
  <c r="J286" i="1"/>
  <c r="J179" i="1"/>
  <c r="J580" i="1"/>
  <c r="J106" i="1"/>
  <c r="J68" i="1"/>
  <c r="J428" i="1"/>
  <c r="J119" i="1"/>
  <c r="J363" i="1"/>
  <c r="J255" i="1"/>
  <c r="J452" i="1"/>
  <c r="J753" i="1"/>
  <c r="J297" i="1"/>
  <c r="J181" i="1"/>
  <c r="J29" i="1"/>
  <c r="J762" i="1"/>
  <c r="J128" i="1"/>
  <c r="J548" i="1"/>
  <c r="J686" i="1"/>
  <c r="J422" i="1"/>
  <c r="J186" i="1"/>
  <c r="J538" i="1"/>
  <c r="J219" i="1"/>
  <c r="J309" i="1"/>
  <c r="J635" i="1"/>
  <c r="J513" i="1"/>
  <c r="J135" i="1"/>
  <c r="J775" i="1"/>
  <c r="J183" i="1"/>
  <c r="J659" i="1"/>
  <c r="J83" i="1"/>
  <c r="J722" i="1"/>
  <c r="J62" i="1"/>
  <c r="J474" i="1"/>
  <c r="J419" i="1"/>
  <c r="J370" i="1"/>
  <c r="J666" i="1"/>
  <c r="J314" i="1"/>
  <c r="J681" i="1"/>
  <c r="J691" i="1"/>
  <c r="J531" i="1"/>
  <c r="J661" i="1"/>
  <c r="J633" i="1"/>
  <c r="J89" i="1"/>
  <c r="J399" i="1"/>
  <c r="J750" i="1"/>
  <c r="J487" i="1"/>
  <c r="J94" i="1"/>
  <c r="J759" i="1"/>
  <c r="J271" i="1"/>
  <c r="J318" i="1"/>
  <c r="J37" i="1"/>
  <c r="J640" i="1"/>
  <c r="J597" i="1"/>
  <c r="J462" i="1"/>
  <c r="J484" i="1"/>
  <c r="J605" i="1"/>
  <c r="J552" i="1"/>
  <c r="J761" i="1"/>
  <c r="J288" i="1"/>
  <c r="J338" i="1"/>
  <c r="J20" i="1"/>
  <c r="J141" i="1"/>
  <c r="J361" i="1"/>
  <c r="J476" i="1"/>
  <c r="J171" i="1"/>
  <c r="J584" i="1"/>
  <c r="J551" i="1"/>
  <c r="J108" i="1"/>
  <c r="J746" i="1"/>
  <c r="J464" i="1"/>
  <c r="J210" i="1"/>
  <c r="J263" i="1"/>
  <c r="J87" i="1"/>
  <c r="J489" i="1"/>
  <c r="J151" i="1"/>
  <c r="J230" i="1"/>
  <c r="J460" i="1"/>
  <c r="J669" i="1"/>
  <c r="J268" i="1"/>
  <c r="J568" i="1"/>
  <c r="J576" i="1"/>
  <c r="J699" i="1"/>
  <c r="J54" i="1"/>
  <c r="J52" i="1"/>
  <c r="J126" i="1"/>
  <c r="J707" i="1"/>
  <c r="J344" i="1"/>
  <c r="J360" i="1"/>
  <c r="J485" i="1"/>
  <c r="J32" i="1"/>
  <c r="J541" i="1"/>
  <c r="J616" i="1"/>
  <c r="J225" i="1"/>
  <c r="J579" i="1"/>
  <c r="J810" i="1"/>
  <c r="J293" i="1"/>
  <c r="J719" i="1"/>
  <c r="J502" i="1"/>
  <c r="J311" i="1"/>
  <c r="J350" i="1"/>
  <c r="J791" i="1"/>
  <c r="J262" i="1"/>
  <c r="J409" i="1"/>
  <c r="J621" i="1"/>
  <c r="J180" i="1"/>
  <c r="J305" i="1"/>
  <c r="J556" i="1"/>
  <c r="J118" i="1"/>
  <c r="J158" i="1"/>
  <c r="J424" i="1"/>
  <c r="J18" i="1"/>
  <c r="J123" i="1"/>
  <c r="J339" i="1"/>
  <c r="J429" i="1"/>
  <c r="J251" i="1"/>
  <c r="J433" i="1"/>
  <c r="J357" i="1"/>
  <c r="J751" i="1"/>
  <c r="J369" i="1"/>
  <c r="J209" i="1"/>
  <c r="J356" i="1"/>
  <c r="J283" i="1"/>
  <c r="J88" i="1"/>
  <c r="J595" i="1"/>
  <c r="J770" i="1"/>
  <c r="J11" i="1"/>
  <c r="J105" i="1"/>
  <c r="J447" i="1"/>
  <c r="J494" i="1"/>
  <c r="J625" i="1"/>
  <c r="J524" i="1"/>
  <c r="J392" i="1"/>
  <c r="J28" i="1"/>
  <c r="J696" i="1"/>
  <c r="J70" i="1"/>
  <c r="J459" i="1"/>
  <c r="J182" i="1"/>
  <c r="J718" i="1"/>
  <c r="J684" i="1"/>
  <c r="J547" i="1"/>
  <c r="J197" i="1"/>
  <c r="J163" i="1"/>
  <c r="J194" i="1"/>
  <c r="J518" i="1"/>
  <c r="J187" i="1"/>
  <c r="J591" i="1"/>
  <c r="J341" i="1"/>
  <c r="J553" i="1"/>
  <c r="J622" i="1"/>
  <c r="J35" i="1"/>
  <c r="J607" i="1"/>
  <c r="J148" i="1"/>
  <c r="J482" i="1"/>
  <c r="J500" i="1"/>
  <c r="J354" i="1"/>
  <c r="J679" i="1"/>
  <c r="J426" i="1"/>
  <c r="J132" i="1"/>
  <c r="J671" i="1"/>
  <c r="J653" i="1"/>
  <c r="J229" i="1"/>
  <c r="J804" i="1"/>
  <c r="J776" i="1"/>
  <c r="J506" i="1"/>
  <c r="J788" i="1"/>
  <c r="J454" i="1"/>
  <c r="J39" i="1"/>
  <c r="J15" i="1"/>
  <c r="J778" i="1"/>
  <c r="J296" i="1"/>
  <c r="J310" i="1"/>
  <c r="J437" i="1"/>
  <c r="J801" i="1"/>
  <c r="J528" i="1"/>
  <c r="J611" i="1"/>
  <c r="J749" i="1"/>
  <c r="J359" i="1"/>
  <c r="J386" i="1"/>
  <c r="J259" i="1"/>
  <c r="J441" i="1"/>
  <c r="J378" i="1"/>
  <c r="J192" i="1"/>
  <c r="J42" i="1"/>
  <c r="J324" i="1"/>
  <c r="J630" i="1"/>
  <c r="J461" i="1"/>
  <c r="J56" i="1"/>
  <c r="J789" i="1"/>
  <c r="J146" i="1"/>
  <c r="J612" i="1"/>
  <c r="J12" i="1"/>
  <c r="J349" i="1"/>
  <c r="J677" i="1"/>
  <c r="J143" i="1"/>
  <c r="J631" i="1"/>
  <c r="J520" i="1"/>
  <c r="J421" i="1"/>
  <c r="J495" i="1"/>
  <c r="J213" i="1"/>
  <c r="J47" i="1"/>
  <c r="J796" i="1"/>
  <c r="J240" i="1"/>
  <c r="J278" i="1"/>
  <c r="J642" i="1"/>
  <c r="J218" i="1"/>
  <c r="J471" i="1"/>
  <c r="J50" i="1"/>
  <c r="J431" i="1"/>
  <c r="J304" i="1"/>
  <c r="J703" i="1"/>
  <c r="J516" i="1"/>
  <c r="J308" i="1"/>
  <c r="J31" i="1"/>
  <c r="J491" i="1"/>
  <c r="J321" i="1"/>
  <c r="J694" i="1"/>
  <c r="J139" i="1"/>
  <c r="J74" i="1"/>
  <c r="J264" i="1"/>
  <c r="J82" i="1"/>
  <c r="J131" i="1"/>
  <c r="J371" i="1"/>
  <c r="J539" i="1"/>
  <c r="J84" i="1"/>
  <c r="J257" i="1"/>
  <c r="J100" i="1"/>
  <c r="J585" i="1"/>
  <c r="J400" i="1"/>
  <c r="J656" i="1"/>
  <c r="J67" i="1"/>
  <c r="J763" i="1"/>
  <c r="J638" i="1"/>
  <c r="J527" i="1"/>
  <c r="J391" i="1"/>
  <c r="J734" i="1"/>
  <c r="J658" i="1"/>
  <c r="J377" i="1"/>
  <c r="J690" i="1"/>
  <c r="J77" i="1"/>
  <c r="J109" i="1"/>
  <c r="J58" i="1"/>
  <c r="J743" i="1"/>
  <c r="J317" i="1"/>
  <c r="J555" i="1"/>
  <c r="J727" i="1"/>
  <c r="J545" i="1"/>
  <c r="J445" i="1"/>
  <c r="J250" i="1"/>
  <c r="J290" i="1"/>
  <c r="J505" i="1"/>
  <c r="J345" i="1"/>
  <c r="J327" i="1"/>
  <c r="J19" i="1"/>
  <c r="J348" i="1"/>
  <c r="J601" i="1"/>
  <c r="J48" i="1"/>
  <c r="J432" i="1"/>
  <c r="J475" i="1"/>
  <c r="J729" i="1"/>
  <c r="J410" i="1"/>
  <c r="J465" i="1"/>
  <c r="J525" i="1"/>
  <c r="J519" i="1"/>
  <c r="J216" i="1"/>
  <c r="J157" i="1"/>
  <c r="J322" i="1"/>
  <c r="J201" i="1"/>
  <c r="J773" i="1"/>
  <c r="J446" i="1"/>
  <c r="J168" i="1"/>
  <c r="J695" i="1"/>
  <c r="J812" i="1"/>
  <c r="J16" i="1"/>
  <c r="J558" i="1"/>
  <c r="J453" i="1"/>
  <c r="J456" i="1"/>
  <c r="J472" i="1"/>
  <c r="J740" i="1"/>
  <c r="J674" i="1"/>
  <c r="J172" i="1"/>
  <c r="J511" i="1"/>
  <c r="J387" i="1"/>
  <c r="J434" i="1"/>
  <c r="J303" i="1"/>
  <c r="J420" i="1"/>
  <c r="J333" i="1"/>
  <c r="J43" i="1"/>
  <c r="J468" i="1"/>
  <c r="J178" i="1"/>
  <c r="J21" i="1"/>
  <c r="J265" i="1"/>
  <c r="J376" i="1"/>
  <c r="J760" i="1"/>
  <c r="J226" i="1"/>
  <c r="J405" i="1"/>
  <c r="J96" i="1"/>
  <c r="J57" i="1"/>
  <c r="J23" i="1"/>
  <c r="J312" i="1"/>
  <c r="J655" i="1"/>
  <c r="J116" i="1"/>
  <c r="J306" i="1"/>
  <c r="J295" i="1"/>
  <c r="J728" i="1"/>
  <c r="J228" i="1"/>
  <c r="J646" i="1"/>
  <c r="J536" i="1"/>
  <c r="J463" i="1"/>
  <c r="J112" i="1"/>
  <c r="J202" i="1"/>
  <c r="J668" i="1"/>
  <c r="J169" i="1"/>
  <c r="J562" i="1"/>
  <c r="J581" i="1"/>
  <c r="J647" i="1"/>
  <c r="J427" i="1"/>
  <c r="J613" i="1"/>
  <c r="J382" i="1"/>
  <c r="J672" i="1"/>
  <c r="J167" i="1"/>
  <c r="J65" i="1"/>
  <c r="J358" i="1"/>
  <c r="J166" i="1"/>
  <c r="J81" i="1"/>
  <c r="J9" i="1"/>
  <c r="J113" i="1"/>
  <c r="J175" i="1"/>
  <c r="J708" i="1"/>
  <c r="J380" i="1"/>
  <c r="J189" i="1"/>
  <c r="J364" i="1"/>
  <c r="J651" i="1"/>
  <c r="J241" i="1"/>
  <c r="J260" i="1"/>
  <c r="J590" i="1"/>
  <c r="J542" i="1"/>
  <c r="J150" i="1"/>
  <c r="J149" i="1"/>
  <c r="J451" i="1"/>
  <c r="J17" i="1"/>
  <c r="J27" i="1"/>
  <c r="J748" i="1"/>
  <c r="J649" i="1"/>
  <c r="J362" i="1"/>
  <c r="J242" i="1"/>
  <c r="J115" i="1"/>
  <c r="J398" i="1"/>
  <c r="J676" i="1"/>
  <c r="J272" i="1"/>
  <c r="J367" i="1"/>
  <c r="J51" i="1"/>
  <c r="J415" i="1"/>
  <c r="J130" i="1"/>
  <c r="J208" i="1"/>
  <c r="J215" i="1"/>
  <c r="J406" i="1"/>
  <c r="J347" i="1"/>
  <c r="J205" i="1"/>
  <c r="J125" i="1"/>
  <c r="J486" i="1"/>
  <c r="J636" i="1"/>
  <c r="J261" i="1"/>
  <c r="J652" i="1"/>
  <c r="J639" i="1"/>
  <c r="J687" i="1"/>
  <c r="J136" i="1"/>
  <c r="J351" i="1"/>
  <c r="J747" i="1"/>
  <c r="J372" i="1"/>
  <c r="J72" i="1"/>
  <c r="J654" i="1"/>
  <c r="J467" i="1"/>
  <c r="J385" i="1"/>
  <c r="J593" i="1"/>
  <c r="J316" i="1"/>
  <c r="J40" i="1"/>
  <c r="J629" i="1"/>
  <c r="J394" i="1"/>
  <c r="J335" i="1"/>
  <c r="J414" i="1"/>
  <c r="J120" i="1"/>
  <c r="J160" i="1"/>
  <c r="J254" i="1"/>
  <c r="J756" i="1"/>
  <c r="J366" i="1"/>
  <c r="J145" i="1"/>
  <c r="J79" i="1" l="1"/>
  <c r="H191" i="1" l="1"/>
  <c r="H474" i="1" l="1"/>
  <c r="H820" i="1" l="1"/>
  <c r="H819" i="1"/>
  <c r="H816" i="1" l="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7" i="1"/>
  <c r="H756" i="1"/>
  <c r="H755" i="1"/>
  <c r="H754" i="1"/>
  <c r="H753" i="1"/>
  <c r="H752" i="1"/>
  <c r="H751" i="1"/>
  <c r="H750" i="1"/>
  <c r="H749" i="1"/>
  <c r="H748" i="1"/>
  <c r="H747" i="1"/>
  <c r="H746" i="1"/>
  <c r="H745" i="1"/>
  <c r="H744" i="1"/>
  <c r="H743" i="1"/>
  <c r="H742" i="1"/>
  <c r="H741" i="1"/>
  <c r="H740" i="1"/>
  <c r="H739" i="1"/>
  <c r="H738" i="1"/>
  <c r="H737" i="1"/>
  <c r="H736" i="1"/>
  <c r="H735" i="1"/>
  <c r="H734" i="1"/>
  <c r="H758"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04" i="1"/>
  <c r="H618" i="1"/>
  <c r="H617" i="1"/>
  <c r="H616" i="1"/>
  <c r="H615" i="1"/>
  <c r="H614" i="1"/>
  <c r="H613" i="1"/>
  <c r="H612" i="1"/>
  <c r="H611" i="1"/>
  <c r="H610" i="1"/>
  <c r="H609" i="1"/>
  <c r="H608" i="1"/>
  <c r="H607" i="1"/>
  <c r="H606" i="1"/>
  <c r="H605"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2" i="1"/>
  <c r="H267" i="1"/>
  <c r="H266" i="1"/>
  <c r="H265" i="1"/>
  <c r="H264" i="1"/>
  <c r="H263"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1" i="1"/>
  <c r="H100" i="1"/>
  <c r="H102"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alcChain>
</file>

<file path=xl/sharedStrings.xml><?xml version="1.0" encoding="utf-8"?>
<sst xmlns="http://schemas.openxmlformats.org/spreadsheetml/2006/main" count="2935" uniqueCount="1485">
  <si>
    <t>Rank</t>
  </si>
  <si>
    <t>City</t>
  </si>
  <si>
    <t>State</t>
  </si>
  <si>
    <t>Harvard University</t>
  </si>
  <si>
    <t>Boston</t>
  </si>
  <si>
    <t>MA</t>
  </si>
  <si>
    <t>The University of Texas System</t>
  </si>
  <si>
    <t>Austin</t>
  </si>
  <si>
    <t>TX</t>
  </si>
  <si>
    <t>Yale University</t>
  </si>
  <si>
    <t>New Haven</t>
  </si>
  <si>
    <t>CT</t>
  </si>
  <si>
    <t>Stanford University</t>
  </si>
  <si>
    <t>Stanford</t>
  </si>
  <si>
    <t>CA</t>
  </si>
  <si>
    <t>Princeton University</t>
  </si>
  <si>
    <t>Princeton</t>
  </si>
  <si>
    <t>NJ</t>
  </si>
  <si>
    <t>Massachusetts Institute of Technology</t>
  </si>
  <si>
    <t>Cambridge</t>
  </si>
  <si>
    <t>University of Pennsylvania</t>
  </si>
  <si>
    <t>Philadelphia</t>
  </si>
  <si>
    <t>PA</t>
  </si>
  <si>
    <t>College Station</t>
  </si>
  <si>
    <t>University of Michigan</t>
  </si>
  <si>
    <t>Ann Arbor</t>
  </si>
  <si>
    <t>MI</t>
  </si>
  <si>
    <t>Northwestern University</t>
  </si>
  <si>
    <t>Evanston</t>
  </si>
  <si>
    <t>IL</t>
  </si>
  <si>
    <t>University of California</t>
  </si>
  <si>
    <t>Oakland</t>
  </si>
  <si>
    <t>Columbia University</t>
  </si>
  <si>
    <t>New York</t>
  </si>
  <si>
    <t>NY</t>
  </si>
  <si>
    <t>University of Notre Dame</t>
  </si>
  <si>
    <t>South Bend</t>
  </si>
  <si>
    <t>IN</t>
  </si>
  <si>
    <t>Duke University (DUMAC, Inc.)</t>
  </si>
  <si>
    <t>Durham</t>
  </si>
  <si>
    <t>NC</t>
  </si>
  <si>
    <t>The University of Chicago</t>
  </si>
  <si>
    <t>Chicago</t>
  </si>
  <si>
    <t>Washington University in St. Louis</t>
  </si>
  <si>
    <t>St Louis</t>
  </si>
  <si>
    <t>MO</t>
  </si>
  <si>
    <t>Emory University</t>
  </si>
  <si>
    <t>Atlanta</t>
  </si>
  <si>
    <t>GA</t>
  </si>
  <si>
    <t>Cornell University</t>
  </si>
  <si>
    <t>The University of Virginia</t>
  </si>
  <si>
    <t>Charlottesville</t>
  </si>
  <si>
    <t>VA</t>
  </si>
  <si>
    <t>Rice University</t>
  </si>
  <si>
    <t>Houston</t>
  </si>
  <si>
    <t>University of Southern California</t>
  </si>
  <si>
    <t>Los Angeles</t>
  </si>
  <si>
    <t>Dartmouth College</t>
  </si>
  <si>
    <t>The Ohio State University</t>
  </si>
  <si>
    <t>Columbus</t>
  </si>
  <si>
    <t>OH</t>
  </si>
  <si>
    <t>The Vanderbilt University</t>
  </si>
  <si>
    <t>Nashville</t>
  </si>
  <si>
    <t>TN</t>
  </si>
  <si>
    <t>Johns Hopkins University</t>
  </si>
  <si>
    <t>Baltimore</t>
  </si>
  <si>
    <t>MD</t>
  </si>
  <si>
    <t>The Pennsylvania State University</t>
  </si>
  <si>
    <t>University Park</t>
  </si>
  <si>
    <t>University of Pittsburgh</t>
  </si>
  <si>
    <t>Pittsburgh</t>
  </si>
  <si>
    <t>Minneapolis</t>
  </si>
  <si>
    <t>MN</t>
  </si>
  <si>
    <t>Brown Universtiy</t>
  </si>
  <si>
    <t>Providence</t>
  </si>
  <si>
    <t>RI</t>
  </si>
  <si>
    <t>University of North Carolina at Chapel Hill and Foundations</t>
  </si>
  <si>
    <t>Chapel Hill</t>
  </si>
  <si>
    <t>University of Wisconsin Foundation</t>
  </si>
  <si>
    <t>Madison</t>
  </si>
  <si>
    <t>WI</t>
  </si>
  <si>
    <t>Michigan State University</t>
  </si>
  <si>
    <t>East Lansing</t>
  </si>
  <si>
    <t>California Institute of Technology</t>
  </si>
  <si>
    <t>Pasadena</t>
  </si>
  <si>
    <t>University of Washington</t>
  </si>
  <si>
    <t>Seattle</t>
  </si>
  <si>
    <t>WA</t>
  </si>
  <si>
    <t>The President and Trustees of Williams College</t>
  </si>
  <si>
    <t>Purdue University-Purdue Research Foundation</t>
  </si>
  <si>
    <t>West Layfayette</t>
  </si>
  <si>
    <t>UCLA Foundation</t>
  </si>
  <si>
    <t>University of Richmond</t>
  </si>
  <si>
    <t>Richmond</t>
  </si>
  <si>
    <t>Trustees of Boston College</t>
  </si>
  <si>
    <t>Chestnut Hill</t>
  </si>
  <si>
    <t>Indiana University and Foundation</t>
  </si>
  <si>
    <t>Bloomington</t>
  </si>
  <si>
    <t>Amherst College</t>
  </si>
  <si>
    <t>Amherst</t>
  </si>
  <si>
    <t>Pomona College</t>
  </si>
  <si>
    <t>Claremont</t>
  </si>
  <si>
    <t>University of Rochester</t>
  </si>
  <si>
    <t>Pittsford</t>
  </si>
  <si>
    <t>Boston University</t>
  </si>
  <si>
    <t>The Rockefeller University</t>
  </si>
  <si>
    <t>Swarthmore College</t>
  </si>
  <si>
    <t>Swarthmore</t>
  </si>
  <si>
    <t>Wellesley College</t>
  </si>
  <si>
    <t>Wellesley</t>
  </si>
  <si>
    <t>Georgia Institute of Technology and Related Foundations</t>
  </si>
  <si>
    <t>Trustees of Grinnell College</t>
  </si>
  <si>
    <t>Grinnell</t>
  </si>
  <si>
    <t>IA</t>
  </si>
  <si>
    <t>Virginia Commonwealth University</t>
  </si>
  <si>
    <t>University of California, Berkeley Foundation</t>
  </si>
  <si>
    <t>Berkeley</t>
  </si>
  <si>
    <t>Toronto</t>
  </si>
  <si>
    <t>ON</t>
  </si>
  <si>
    <t>N/A</t>
  </si>
  <si>
    <t>Case Western Reserve University</t>
  </si>
  <si>
    <t>Cleveland</t>
  </si>
  <si>
    <t>Smith College</t>
  </si>
  <si>
    <t>Northampton</t>
  </si>
  <si>
    <t>Tufts University</t>
  </si>
  <si>
    <t>Somerville</t>
  </si>
  <si>
    <t>The George Washington University</t>
  </si>
  <si>
    <t>Georgetown University</t>
  </si>
  <si>
    <t>Washington</t>
  </si>
  <si>
    <t>DC</t>
  </si>
  <si>
    <t>The Kansas University Endowment Association</t>
  </si>
  <si>
    <t>Lawrence</t>
  </si>
  <si>
    <t>KS</t>
  </si>
  <si>
    <t>University of Oklahoma</t>
  </si>
  <si>
    <t>Norman</t>
  </si>
  <si>
    <t>OK</t>
  </si>
  <si>
    <t>University of Florida Foundation, Inc.</t>
  </si>
  <si>
    <t>Gainesville</t>
  </si>
  <si>
    <t>FL</t>
  </si>
  <si>
    <t>University of Nebraska Board of Regents</t>
  </si>
  <si>
    <t>Lincoln</t>
  </si>
  <si>
    <t>NE</t>
  </si>
  <si>
    <t>University of Missouri</t>
  </si>
  <si>
    <t>Columbia</t>
  </si>
  <si>
    <t>University of California San Francisco</t>
  </si>
  <si>
    <t>San Francisco</t>
  </si>
  <si>
    <t>Southern Methodist University</t>
  </si>
  <si>
    <t>Dallas</t>
  </si>
  <si>
    <t>Bowdoin College</t>
  </si>
  <si>
    <t>Brunswick</t>
  </si>
  <si>
    <t>ME</t>
  </si>
  <si>
    <t>Texas Christian University</t>
  </si>
  <si>
    <t>Ft. Worth</t>
  </si>
  <si>
    <t>Washington and Lee University</t>
  </si>
  <si>
    <t>Lexington</t>
  </si>
  <si>
    <t>University of Iowa &amp; University of Iowa Center for Advancement</t>
  </si>
  <si>
    <t>Iowa City</t>
  </si>
  <si>
    <t>Vancouver</t>
  </si>
  <si>
    <t>BC</t>
  </si>
  <si>
    <t>The Board of Trustees of the University of Alabama</t>
  </si>
  <si>
    <t>Tuscaloosa</t>
  </si>
  <si>
    <t>AL</t>
  </si>
  <si>
    <t>Liberty University</t>
  </si>
  <si>
    <t>Lynchburg</t>
  </si>
  <si>
    <t>University of Delaware</t>
  </si>
  <si>
    <t>Newark</t>
  </si>
  <si>
    <t>DE</t>
  </si>
  <si>
    <t>Tulane University</t>
  </si>
  <si>
    <t>New Orleans</t>
  </si>
  <si>
    <t>LA</t>
  </si>
  <si>
    <t>University of Cincinnati</t>
  </si>
  <si>
    <t>Cincinnati</t>
  </si>
  <si>
    <t>University of Kentucky</t>
  </si>
  <si>
    <t>KY</t>
  </si>
  <si>
    <t>University of Colorado Foundation</t>
  </si>
  <si>
    <t>CO</t>
  </si>
  <si>
    <t>Lehigh University</t>
  </si>
  <si>
    <t>Syracuse University</t>
  </si>
  <si>
    <t>Syracuse</t>
  </si>
  <si>
    <t>Rutgers, the State University of New Jersey</t>
  </si>
  <si>
    <t>Piscataway</t>
  </si>
  <si>
    <t>Wake Forest University</t>
  </si>
  <si>
    <t>Winston Salem</t>
  </si>
  <si>
    <t>Baylor University</t>
  </si>
  <si>
    <t>Waco</t>
  </si>
  <si>
    <t>Texas Tech University System</t>
  </si>
  <si>
    <t>The University of Tennessee</t>
  </si>
  <si>
    <t>Knoxville</t>
  </si>
  <si>
    <t>University System of Maryland Foundation</t>
  </si>
  <si>
    <t>Adelphi</t>
  </si>
  <si>
    <t>NC State University and Related Foundations</t>
  </si>
  <si>
    <t>Raleigh</t>
  </si>
  <si>
    <t>Trinity University</t>
  </si>
  <si>
    <t>San Antonio</t>
  </si>
  <si>
    <t>The University of Georgia and Related Foundations</t>
  </si>
  <si>
    <t>Athens</t>
  </si>
  <si>
    <t>Baylor College of Medicine</t>
  </si>
  <si>
    <t>Montreal</t>
  </si>
  <si>
    <t>QC</t>
  </si>
  <si>
    <t>Saint Louis University</t>
  </si>
  <si>
    <t>Fayetteville</t>
  </si>
  <si>
    <t>AR</t>
  </si>
  <si>
    <t>Berea College</t>
  </si>
  <si>
    <t>Berea</t>
  </si>
  <si>
    <t>The University of Utah</t>
  </si>
  <si>
    <t>Sale Lake City</t>
  </si>
  <si>
    <t>UT</t>
  </si>
  <si>
    <t>Virginia Tech Foundation</t>
  </si>
  <si>
    <t>Blacksburg</t>
  </si>
  <si>
    <t>Middlebury College</t>
  </si>
  <si>
    <t>Middlebury</t>
  </si>
  <si>
    <t>VT</t>
  </si>
  <si>
    <t>Princeton Theological Seminary</t>
  </si>
  <si>
    <t>The University of Tulsa</t>
  </si>
  <si>
    <t>Tulsa</t>
  </si>
  <si>
    <t>Edmonton</t>
  </si>
  <si>
    <t>AB</t>
  </si>
  <si>
    <t>Vassar College</t>
  </si>
  <si>
    <t>Poughkeepsie</t>
  </si>
  <si>
    <t>Iowa State University and Foundation</t>
  </si>
  <si>
    <t>Ames</t>
  </si>
  <si>
    <t>Brandeis University</t>
  </si>
  <si>
    <t>Washington State University</t>
  </si>
  <si>
    <t>Pullman</t>
  </si>
  <si>
    <t>Coral Gables</t>
  </si>
  <si>
    <t>Wesleyan University</t>
  </si>
  <si>
    <t>Middletown</t>
  </si>
  <si>
    <t>Carnegie Institution of Washington</t>
  </si>
  <si>
    <t>Santa Clara University</t>
  </si>
  <si>
    <t>Santa Clara</t>
  </si>
  <si>
    <t>Berry College, Inc.</t>
  </si>
  <si>
    <t>Mount Berry</t>
  </si>
  <si>
    <t>University of California, Irvine Foundation</t>
  </si>
  <si>
    <t>Irvine</t>
  </si>
  <si>
    <t>Hamilton College</t>
  </si>
  <si>
    <t>Clinton</t>
  </si>
  <si>
    <t>Oklahoma State University Foundation</t>
  </si>
  <si>
    <t>Edmond</t>
  </si>
  <si>
    <t>The University of Arizona and University of Arizona Foundation</t>
  </si>
  <si>
    <t>Tucson</t>
  </si>
  <si>
    <t>AZ</t>
  </si>
  <si>
    <t>University of Houston System</t>
  </si>
  <si>
    <t>College of William &amp; Mary and Foundations</t>
  </si>
  <si>
    <t>Williamsburg</t>
  </si>
  <si>
    <t>Colgate University</t>
  </si>
  <si>
    <t>Hamilton</t>
  </si>
  <si>
    <t>The Medical College of Wisconsin, Inc.</t>
  </si>
  <si>
    <t>Milwaukee</t>
  </si>
  <si>
    <t>Loma Linda University</t>
  </si>
  <si>
    <t>Loma Linda</t>
  </si>
  <si>
    <t>Rochester Institute of Technology</t>
  </si>
  <si>
    <t>Rochester</t>
  </si>
  <si>
    <t>University of Oregon Foundation</t>
  </si>
  <si>
    <t>Eugene</t>
  </si>
  <si>
    <t>OR</t>
  </si>
  <si>
    <t>Oberlin College</t>
  </si>
  <si>
    <t>Oberlin</t>
  </si>
  <si>
    <t>Bryn Mawr College</t>
  </si>
  <si>
    <t>Bryn Mawr</t>
  </si>
  <si>
    <t>Pepperdine University</t>
  </si>
  <si>
    <t>Malibu</t>
  </si>
  <si>
    <t>Baton Rouge</t>
  </si>
  <si>
    <t>Carleton College</t>
  </si>
  <si>
    <t>Northfield</t>
  </si>
  <si>
    <t>University of Massachusetts Foundation</t>
  </si>
  <si>
    <t>Bucknell University</t>
  </si>
  <si>
    <t>Lewisburg</t>
  </si>
  <si>
    <t>Denison University</t>
  </si>
  <si>
    <t>Granville</t>
  </si>
  <si>
    <t>Claremont McKenna College</t>
  </si>
  <si>
    <t>Northeastern University</t>
  </si>
  <si>
    <t>Lafayette College</t>
  </si>
  <si>
    <t>The President and Trustees of Colby College</t>
  </si>
  <si>
    <t>Waterville</t>
  </si>
  <si>
    <t>Kingston</t>
  </si>
  <si>
    <t>Davidson College</t>
  </si>
  <si>
    <t>Davidson</t>
  </si>
  <si>
    <t>University of South Carolina System and Affiliated Foundations</t>
  </si>
  <si>
    <t>SC</t>
  </si>
  <si>
    <t>College of the Holy Cross</t>
  </si>
  <si>
    <t>Worcester</t>
  </si>
  <si>
    <t>Drexel University</t>
  </si>
  <si>
    <t>Auburn University and Foundation</t>
  </si>
  <si>
    <t>Auburn</t>
  </si>
  <si>
    <t>Mount Holyoke College</t>
  </si>
  <si>
    <t>South Hadley</t>
  </si>
  <si>
    <t>Concord</t>
  </si>
  <si>
    <t>NH</t>
  </si>
  <si>
    <t>Macalester College</t>
  </si>
  <si>
    <t>St. Paul</t>
  </si>
  <si>
    <t>Colorado College</t>
  </si>
  <si>
    <t>Colorado Springs</t>
  </si>
  <si>
    <t>Colorado Seminary dba University of Denver</t>
  </si>
  <si>
    <t>Denver</t>
  </si>
  <si>
    <t>St. John's University, New York</t>
  </si>
  <si>
    <t>Queens</t>
  </si>
  <si>
    <t>Oklahoma State Regents for Higher Education</t>
  </si>
  <si>
    <t>Oklahoma City</t>
  </si>
  <si>
    <t>Portland</t>
  </si>
  <si>
    <t>Clemson University Foundation</t>
  </si>
  <si>
    <t>Clemson</t>
  </si>
  <si>
    <t>UC San Diego Foundation</t>
  </si>
  <si>
    <t>La Jolla</t>
  </si>
  <si>
    <t>American University of Beirut</t>
  </si>
  <si>
    <t>DePauw University</t>
  </si>
  <si>
    <t>Greencastle</t>
  </si>
  <si>
    <t>Fordham University</t>
  </si>
  <si>
    <t>Bronx</t>
  </si>
  <si>
    <t>University at Buffalo Foundation</t>
  </si>
  <si>
    <t>Buffalo</t>
  </si>
  <si>
    <t>Arizona State University &amp; Foundation</t>
  </si>
  <si>
    <t>Tempe</t>
  </si>
  <si>
    <t>Villanova University</t>
  </si>
  <si>
    <t>Villanova</t>
  </si>
  <si>
    <t>University of Mississippi Foundation</t>
  </si>
  <si>
    <t>Oxford</t>
  </si>
  <si>
    <t>MS</t>
  </si>
  <si>
    <t>University of Louisville Foundation</t>
  </si>
  <si>
    <t>Louisville</t>
  </si>
  <si>
    <t>Furman University</t>
  </si>
  <si>
    <t>Greenville</t>
  </si>
  <si>
    <t>American University</t>
  </si>
  <si>
    <t>Howard University</t>
  </si>
  <si>
    <t>The Principia Corporation</t>
  </si>
  <si>
    <t>Florida State University Foundation</t>
  </si>
  <si>
    <t>Tallahassee</t>
  </si>
  <si>
    <t>Marquette University</t>
  </si>
  <si>
    <t>Yeshiva University</t>
  </si>
  <si>
    <t>Loyola University of Chicago</t>
  </si>
  <si>
    <t>Temple University</t>
  </si>
  <si>
    <t>Rush University Medical Center</t>
  </si>
  <si>
    <t>Trinity College</t>
  </si>
  <si>
    <t>Hartford</t>
  </si>
  <si>
    <t>WVU Foundation Inc.</t>
  </si>
  <si>
    <t>Morgantown</t>
  </si>
  <si>
    <t>WV</t>
  </si>
  <si>
    <t>Oregon State University Foundation</t>
  </si>
  <si>
    <t>Corvallis</t>
  </si>
  <si>
    <t>DePaul University</t>
  </si>
  <si>
    <t>Reed College</t>
  </si>
  <si>
    <t>Hofstra University</t>
  </si>
  <si>
    <t>Hempstead</t>
  </si>
  <si>
    <t>Ohio University and The Ohio University Foundation</t>
  </si>
  <si>
    <t>Creighton University</t>
  </si>
  <si>
    <t>Omaha</t>
  </si>
  <si>
    <t>Dayton</t>
  </si>
  <si>
    <t>Whitman College</t>
  </si>
  <si>
    <t>Walla Walla</t>
  </si>
  <si>
    <t>The American University in Cairo</t>
  </si>
  <si>
    <t>Miami University</t>
  </si>
  <si>
    <t>St. Olaf College</t>
  </si>
  <si>
    <t>University of San Diego</t>
  </si>
  <si>
    <t>San Diego</t>
  </si>
  <si>
    <t>Quinnipiac University</t>
  </si>
  <si>
    <t>Hamden</t>
  </si>
  <si>
    <t>Lebanese American University</t>
  </si>
  <si>
    <t>Haverford College</t>
  </si>
  <si>
    <t>Haverford</t>
  </si>
  <si>
    <t>Worcester Polytechnic Institute</t>
  </si>
  <si>
    <t>Whitehead Institute for Biomedical Research</t>
  </si>
  <si>
    <t>University of St. Thomas</t>
  </si>
  <si>
    <t>University of Wyoming Foundation</t>
  </si>
  <si>
    <t>Laramie</t>
  </si>
  <si>
    <t>WY</t>
  </si>
  <si>
    <t>College of the Ozarks</t>
  </si>
  <si>
    <t>Point Lookout</t>
  </si>
  <si>
    <t>Mississippi State University &amp; Foundation</t>
  </si>
  <si>
    <t>Mississippi State</t>
  </si>
  <si>
    <t>National Academy of Sciences</t>
  </si>
  <si>
    <t>VMI Foundation Inc</t>
  </si>
  <si>
    <t>Halifax</t>
  </si>
  <si>
    <t>NS</t>
  </si>
  <si>
    <t>Wheaton College (Illinois)</t>
  </si>
  <si>
    <t>Wheaton</t>
  </si>
  <si>
    <t>Miami Dade College</t>
  </si>
  <si>
    <t>Miami</t>
  </si>
  <si>
    <t>Kansas State University Foundation</t>
  </si>
  <si>
    <t>Manhattan</t>
  </si>
  <si>
    <t>University of South Florida Foundation, Inc.</t>
  </si>
  <si>
    <t>Tampa</t>
  </si>
  <si>
    <t>Loyola Marymount University</t>
  </si>
  <si>
    <t>Medical College of Virginia (MCV) Foundation</t>
  </si>
  <si>
    <t>The University of Toledo and The University of Toledo Foundation</t>
  </si>
  <si>
    <t>Toledo</t>
  </si>
  <si>
    <t>University of the Pacific</t>
  </si>
  <si>
    <t>Stockton</t>
  </si>
  <si>
    <t>University of New Mexico Foundation, Inc.</t>
  </si>
  <si>
    <t>Albuquerque</t>
  </si>
  <si>
    <t>NM</t>
  </si>
  <si>
    <t>Union College</t>
  </si>
  <si>
    <t>Schenectady</t>
  </si>
  <si>
    <t>University of Connecticut and Foundations</t>
  </si>
  <si>
    <t>Storrs</t>
  </si>
  <si>
    <t>The University of California Davis Foundation</t>
  </si>
  <si>
    <t>Davis</t>
  </si>
  <si>
    <t>Clark University</t>
  </si>
  <si>
    <t>Dickinson College</t>
  </si>
  <si>
    <t>Carlisle</t>
  </si>
  <si>
    <t>Occidental College</t>
  </si>
  <si>
    <t>Earlham College</t>
  </si>
  <si>
    <t>Abilene</t>
  </si>
  <si>
    <t>Babson College</t>
  </si>
  <si>
    <t>Babson Park</t>
  </si>
  <si>
    <t>Kenyon College</t>
  </si>
  <si>
    <t>Gambier</t>
  </si>
  <si>
    <t>The University of the South</t>
  </si>
  <si>
    <t>Sewanee</t>
  </si>
  <si>
    <t>Philadelphia College of Osteopathic Medicine</t>
  </si>
  <si>
    <t>Western Michigan University Foundation</t>
  </si>
  <si>
    <t>Kalamazoo</t>
  </si>
  <si>
    <t>Orange</t>
  </si>
  <si>
    <t>University of San Francisco</t>
  </si>
  <si>
    <t>The New School</t>
  </si>
  <si>
    <t>Spelman College</t>
  </si>
  <si>
    <t>Franklin W. Olin College of Engineering</t>
  </si>
  <si>
    <t>Needham</t>
  </si>
  <si>
    <t>Rollins College</t>
  </si>
  <si>
    <t>Winter Park</t>
  </si>
  <si>
    <t>Wayne State University Foundation</t>
  </si>
  <si>
    <t>Detroit</t>
  </si>
  <si>
    <t>Skidmore College</t>
  </si>
  <si>
    <t>Saratoga Springs</t>
  </si>
  <si>
    <t>Utah State University</t>
  </si>
  <si>
    <t>Logan</t>
  </si>
  <si>
    <t>University of South Alabama Foundation</t>
  </si>
  <si>
    <t>Mobile</t>
  </si>
  <si>
    <t>Burnaby</t>
  </si>
  <si>
    <t>Brookings Institution</t>
  </si>
  <si>
    <t>Medical University of South Carolina Foundation</t>
  </si>
  <si>
    <t>Charleston</t>
  </si>
  <si>
    <t>Duquesne University of the Holy Spirit</t>
  </si>
  <si>
    <t>The University of Puget Sound</t>
  </si>
  <si>
    <t>Tacoma</t>
  </si>
  <si>
    <t>Michigan State University Foundation</t>
  </si>
  <si>
    <t>Reno</t>
  </si>
  <si>
    <t>NV</t>
  </si>
  <si>
    <t>Berklee College of Music, Inc.</t>
  </si>
  <si>
    <t>Fairfield University</t>
  </si>
  <si>
    <t>Fairfield</t>
  </si>
  <si>
    <t>Scripps College</t>
  </si>
  <si>
    <t>Rhodes College</t>
  </si>
  <si>
    <t>Memphis</t>
  </si>
  <si>
    <t>Colorado State University Foundation</t>
  </si>
  <si>
    <t>Fort Collins</t>
  </si>
  <si>
    <t>University of Maryland College Park Foundation</t>
  </si>
  <si>
    <t>College Park</t>
  </si>
  <si>
    <t>University of California Santa Barbara</t>
  </si>
  <si>
    <t>Santa Barbara</t>
  </si>
  <si>
    <t>Franklin &amp; Marshall College</t>
  </si>
  <si>
    <t>Lancaster</t>
  </si>
  <si>
    <t>The Catholic University of America</t>
  </si>
  <si>
    <t>Rhode Island School of Design</t>
  </si>
  <si>
    <t>Wabash College</t>
  </si>
  <si>
    <t>Crawfordsville</t>
  </si>
  <si>
    <t>Barnard College</t>
  </si>
  <si>
    <t>Lawrence University of Wisconsin</t>
  </si>
  <si>
    <t>Victoria</t>
  </si>
  <si>
    <t>University of Alaska Foundation</t>
  </si>
  <si>
    <t>Fairbanks</t>
  </si>
  <si>
    <t>AK</t>
  </si>
  <si>
    <t>The College of Wooster</t>
  </si>
  <si>
    <t>Wooster</t>
  </si>
  <si>
    <t>Gettysburg College</t>
  </si>
  <si>
    <t>Gettysburg</t>
  </si>
  <si>
    <t>Centre College</t>
  </si>
  <si>
    <t>Danville</t>
  </si>
  <si>
    <t>University of Hawai`i Foundation</t>
  </si>
  <si>
    <t>Honolulu</t>
  </si>
  <si>
    <t>HI</t>
  </si>
  <si>
    <t>Jewell Educational Fund - Baker College</t>
  </si>
  <si>
    <t>Flint</t>
  </si>
  <si>
    <t>Connecticut College</t>
  </si>
  <si>
    <t>New London</t>
  </si>
  <si>
    <t>Harvey Mudd College</t>
  </si>
  <si>
    <t>Teacher's College, Columbia University</t>
  </si>
  <si>
    <t>Bates College</t>
  </si>
  <si>
    <t>Lewiston</t>
  </si>
  <si>
    <t>Bradley University</t>
  </si>
  <si>
    <t>Peoria</t>
  </si>
  <si>
    <t>The Citadel</t>
  </si>
  <si>
    <t>West Point Association of Graduates</t>
  </si>
  <si>
    <t>West Point</t>
  </si>
  <si>
    <t>Ithaca College</t>
  </si>
  <si>
    <t>Ithaca</t>
  </si>
  <si>
    <t>St. Lawrence University</t>
  </si>
  <si>
    <t>Canton</t>
  </si>
  <si>
    <t>SUNY, Stony Brook Foundation</t>
  </si>
  <si>
    <t>Stony Brook</t>
  </si>
  <si>
    <t>Colorado School of Mines Foundation</t>
  </si>
  <si>
    <t>Golden</t>
  </si>
  <si>
    <t>University of North Carolina at Greensboro Investment Fund</t>
  </si>
  <si>
    <t>Greensboro</t>
  </si>
  <si>
    <t>San Diego State University</t>
  </si>
  <si>
    <t>Muhlenberg College</t>
  </si>
  <si>
    <t>Allentown</t>
  </si>
  <si>
    <t>Hampton University</t>
  </si>
  <si>
    <t>Hampton</t>
  </si>
  <si>
    <t>Southwestern University</t>
  </si>
  <si>
    <t>Georgetown</t>
  </si>
  <si>
    <t>University of Idaho Foundation</t>
  </si>
  <si>
    <t>Moscow</t>
  </si>
  <si>
    <t>ID</t>
  </si>
  <si>
    <t>Saint Joseph's University</t>
  </si>
  <si>
    <t>Bentley University</t>
  </si>
  <si>
    <t>Waltham</t>
  </si>
  <si>
    <t>University of North Dakota Foundation</t>
  </si>
  <si>
    <t>Grand Forks</t>
  </si>
  <si>
    <t>ND</t>
  </si>
  <si>
    <t>University of Nevada, Las Vegas Foundation (UNLV Foundation)</t>
  </si>
  <si>
    <t>Las Vegas</t>
  </si>
  <si>
    <t>Gonzaga University</t>
  </si>
  <si>
    <t>Spokane</t>
  </si>
  <si>
    <t>The RAND Corporation</t>
  </si>
  <si>
    <t>Santa Monica</t>
  </si>
  <si>
    <t>Seton Hall University</t>
  </si>
  <si>
    <t>South Orange</t>
  </si>
  <si>
    <t>Youngstown State University Foundation</t>
  </si>
  <si>
    <t>Youngstown</t>
  </si>
  <si>
    <t>Wichita State University Foundation</t>
  </si>
  <si>
    <t>Wichita</t>
  </si>
  <si>
    <t>Salem</t>
  </si>
  <si>
    <t>The Curtis Institute of Music</t>
  </si>
  <si>
    <t>Elon University</t>
  </si>
  <si>
    <t>Elon</t>
  </si>
  <si>
    <t>Johnson &amp; Wales University</t>
  </si>
  <si>
    <t>Valparaiso University</t>
  </si>
  <si>
    <t>Valparaiso</t>
  </si>
  <si>
    <t>Suffolk University</t>
  </si>
  <si>
    <t>Fredericton</t>
  </si>
  <si>
    <t>NB</t>
  </si>
  <si>
    <t>Mercy College</t>
  </si>
  <si>
    <t>Dobbs Ferry</t>
  </si>
  <si>
    <t>Norfolk</t>
  </si>
  <si>
    <t>Stetson University, Inc.</t>
  </si>
  <si>
    <t>DeLand</t>
  </si>
  <si>
    <t>Kalamazoo College</t>
  </si>
  <si>
    <t>Ohio Wesleyan University</t>
  </si>
  <si>
    <t>Delaware</t>
  </si>
  <si>
    <t>Medical College of Georgia Foundation, Inc.</t>
  </si>
  <si>
    <t>Augusta</t>
  </si>
  <si>
    <t>University of South Dakota Foundation</t>
  </si>
  <si>
    <t>Vermillion</t>
  </si>
  <si>
    <t>SD</t>
  </si>
  <si>
    <t>Lewis &amp; Clark College</t>
  </si>
  <si>
    <t>Inter American University of Puerto Rico</t>
  </si>
  <si>
    <t>San Juan</t>
  </si>
  <si>
    <t>PR</t>
  </si>
  <si>
    <t>Providence College</t>
  </si>
  <si>
    <t>Illinois Institute of Technology</t>
  </si>
  <si>
    <t>Washington College</t>
  </si>
  <si>
    <t>Chestertown</t>
  </si>
  <si>
    <t>Hobart and William Smith Colleges</t>
  </si>
  <si>
    <t>Geneva</t>
  </si>
  <si>
    <t>Agnes Scott College</t>
  </si>
  <si>
    <t>Decatur</t>
  </si>
  <si>
    <t>Florida Atlantic University Foundation, Inc.</t>
  </si>
  <si>
    <t>Boca Raton</t>
  </si>
  <si>
    <t>Loyola University Maryland, Inc.</t>
  </si>
  <si>
    <t>John Carroll University</t>
  </si>
  <si>
    <t>University Heights</t>
  </si>
  <si>
    <t>Hope College</t>
  </si>
  <si>
    <t>Holland</t>
  </si>
  <si>
    <t>Long Island University</t>
  </si>
  <si>
    <t>Brookville</t>
  </si>
  <si>
    <t>Columbia Theological Seminary</t>
  </si>
  <si>
    <t>Allegheny College</t>
  </si>
  <si>
    <t>Meadville</t>
  </si>
  <si>
    <t>The University of Akron Foundation</t>
  </si>
  <si>
    <t>Akron</t>
  </si>
  <si>
    <t>University of Maine Foundation</t>
  </si>
  <si>
    <t>Orono</t>
  </si>
  <si>
    <t>California Polytechnic State University</t>
  </si>
  <si>
    <t>San Luis Obispo</t>
  </si>
  <si>
    <t>Drake University</t>
  </si>
  <si>
    <t>Des Moines</t>
  </si>
  <si>
    <t>University of North Carolina at Charlotte</t>
  </si>
  <si>
    <t>Charlotte</t>
  </si>
  <si>
    <t>The University of Memphis</t>
  </si>
  <si>
    <t>Ottawa</t>
  </si>
  <si>
    <t>Goucher College</t>
  </si>
  <si>
    <t>Butler University</t>
  </si>
  <si>
    <t>Indianapolis</t>
  </si>
  <si>
    <t>Ball State University Foundation</t>
  </si>
  <si>
    <t>Muncie</t>
  </si>
  <si>
    <t>Wheaton College</t>
  </si>
  <si>
    <t>Norton</t>
  </si>
  <si>
    <t>Stonehill College, Inc.</t>
  </si>
  <si>
    <t>Easton</t>
  </si>
  <si>
    <t>Florida International University Foundation, Inc</t>
  </si>
  <si>
    <t>Rose-Hulman Institute of Technology</t>
  </si>
  <si>
    <t>Terre Haute</t>
  </si>
  <si>
    <t>Lycoming College</t>
  </si>
  <si>
    <t>Williamsport</t>
  </si>
  <si>
    <t>Rowan University</t>
  </si>
  <si>
    <t>Glassboro</t>
  </si>
  <si>
    <t>North Dakota State University Foundation</t>
  </si>
  <si>
    <t>Fargo</t>
  </si>
  <si>
    <t>Wofford College</t>
  </si>
  <si>
    <t>Spartanburg</t>
  </si>
  <si>
    <t>Illinois Wesleyan University</t>
  </si>
  <si>
    <t>The University of Scranton</t>
  </si>
  <si>
    <t>Scranton</t>
  </si>
  <si>
    <t>Hendrix College</t>
  </si>
  <si>
    <t>Conway</t>
  </si>
  <si>
    <t>Texas State University</t>
  </si>
  <si>
    <t>San Marcos</t>
  </si>
  <si>
    <t>Simmons University</t>
  </si>
  <si>
    <t>East Carolina University</t>
  </si>
  <si>
    <t>Clarkson University</t>
  </si>
  <si>
    <t>Potsdam</t>
  </si>
  <si>
    <t>University of Montana Foundation</t>
  </si>
  <si>
    <t>Missoula</t>
  </si>
  <si>
    <t>MT</t>
  </si>
  <si>
    <t>Saint John's University</t>
  </si>
  <si>
    <t>Collegeville</t>
  </si>
  <si>
    <t>St. Mary's University of San Antonio</t>
  </si>
  <si>
    <t>Belmont University</t>
  </si>
  <si>
    <t>Pratt Institute</t>
  </si>
  <si>
    <t>Brooklyn</t>
  </si>
  <si>
    <t>Saint Mary's College Notre Dame IN</t>
  </si>
  <si>
    <t>Notre Dame</t>
  </si>
  <si>
    <t>University of North Texas Foundation</t>
  </si>
  <si>
    <t>Denton</t>
  </si>
  <si>
    <t>Mills College</t>
  </si>
  <si>
    <t>Indiana Wesleyan University</t>
  </si>
  <si>
    <t>Marion</t>
  </si>
  <si>
    <t>Lesley University</t>
  </si>
  <si>
    <t>Le Moyne College</t>
  </si>
  <si>
    <t>Claremont Graduate University</t>
  </si>
  <si>
    <t>Hollins University</t>
  </si>
  <si>
    <t>Roanoke</t>
  </si>
  <si>
    <t>Northern Arizona University Foundation</t>
  </si>
  <si>
    <t>Flagstaff</t>
  </si>
  <si>
    <t>Gustavus Adolphus College</t>
  </si>
  <si>
    <t>Saint Peter</t>
  </si>
  <si>
    <t>Bryant University</t>
  </si>
  <si>
    <t>Smithfield</t>
  </si>
  <si>
    <t>Stevens Institute of Technology</t>
  </si>
  <si>
    <t>Hoboken</t>
  </si>
  <si>
    <t>Adelphi University</t>
  </si>
  <si>
    <t>Garden City</t>
  </si>
  <si>
    <t>Gallaudet University</t>
  </si>
  <si>
    <t>Central Michigan University</t>
  </si>
  <si>
    <t>Mt. Pleasant</t>
  </si>
  <si>
    <t>Pace University</t>
  </si>
  <si>
    <t>Valhalla</t>
  </si>
  <si>
    <t>Campbell University</t>
  </si>
  <si>
    <t>Buies Creek</t>
  </si>
  <si>
    <t>Saint Mary's College of California</t>
  </si>
  <si>
    <t>Moraga</t>
  </si>
  <si>
    <t>Xavier University</t>
  </si>
  <si>
    <t>University of Hartford</t>
  </si>
  <si>
    <t>West Hartford</t>
  </si>
  <si>
    <t>Montana State University Foundation, Inc.</t>
  </si>
  <si>
    <t>Bozeman</t>
  </si>
  <si>
    <t>University of South Alabama</t>
  </si>
  <si>
    <t>University of Redlands</t>
  </si>
  <si>
    <t>Redlands</t>
  </si>
  <si>
    <t>Drew University</t>
  </si>
  <si>
    <t>New Mexico State University and New Mexico State University Foundation, Inc.</t>
  </si>
  <si>
    <t>Las Cruces</t>
  </si>
  <si>
    <t>Baldwin Wallace University</t>
  </si>
  <si>
    <t>Transylvania University</t>
  </si>
  <si>
    <t>California Institute of the Arts</t>
  </si>
  <si>
    <t>Valencia</t>
  </si>
  <si>
    <t>University of the Sciences in Philadelphia</t>
  </si>
  <si>
    <t>Columbia College</t>
  </si>
  <si>
    <t>Hampden-Sydney College</t>
  </si>
  <si>
    <t>Hampden-Sydney</t>
  </si>
  <si>
    <t>Augustana College</t>
  </si>
  <si>
    <t>Rock Island</t>
  </si>
  <si>
    <t>Luther College</t>
  </si>
  <si>
    <t>Decorah</t>
  </si>
  <si>
    <t>Albion College</t>
  </si>
  <si>
    <t>Albion</t>
  </si>
  <si>
    <t>Susquehanna University</t>
  </si>
  <si>
    <t>Selinsgrove</t>
  </si>
  <si>
    <t>Sacred Heart University</t>
  </si>
  <si>
    <t>Georgia State University Foundation, Inc.</t>
  </si>
  <si>
    <t>The University of Central Florida</t>
  </si>
  <si>
    <t>Orlando</t>
  </si>
  <si>
    <t>Western Kentucky University and Foundations</t>
  </si>
  <si>
    <t>Bowling Green</t>
  </si>
  <si>
    <t>Mennonite Education Agency Investment Fund LLC</t>
  </si>
  <si>
    <t>Elkhart</t>
  </si>
  <si>
    <t>California State University Fresno Foundation</t>
  </si>
  <si>
    <t>Fresno</t>
  </si>
  <si>
    <t>Calvin College</t>
  </si>
  <si>
    <t>Grand Rapids</t>
  </si>
  <si>
    <t>Knox College</t>
  </si>
  <si>
    <t>Galesburg</t>
  </si>
  <si>
    <t>Meharry Medical College</t>
  </si>
  <si>
    <t>Ada</t>
  </si>
  <si>
    <t>Washburn University Foundation</t>
  </si>
  <si>
    <t>Topeka</t>
  </si>
  <si>
    <t>St. Ambrose University</t>
  </si>
  <si>
    <t>Davenport</t>
  </si>
  <si>
    <t>Saint Anselm College</t>
  </si>
  <si>
    <t>Manchester</t>
  </si>
  <si>
    <t>Hardin-Simmons University</t>
  </si>
  <si>
    <t>Biola University</t>
  </si>
  <si>
    <t>La Mirada</t>
  </si>
  <si>
    <t>Randolph-Macon College</t>
  </si>
  <si>
    <t>Ashland</t>
  </si>
  <si>
    <t>Whitworth University</t>
  </si>
  <si>
    <t>Concordia Seminary, St. Louis</t>
  </si>
  <si>
    <t>St. Louis</t>
  </si>
  <si>
    <t>San Jose State University and Tower Foundation</t>
  </si>
  <si>
    <t>San Jose</t>
  </si>
  <si>
    <t>Queens University of Charlotte</t>
  </si>
  <si>
    <t>Asbury Theological Seminary</t>
  </si>
  <si>
    <t>Wilmore</t>
  </si>
  <si>
    <t>Southern Illinois University Foundation</t>
  </si>
  <si>
    <t>Carbondale</t>
  </si>
  <si>
    <t>St. Norbert College</t>
  </si>
  <si>
    <t>De Pere</t>
  </si>
  <si>
    <t>Roanoke College</t>
  </si>
  <si>
    <t>Board of Trustees of Beloit College</t>
  </si>
  <si>
    <t>Beloit</t>
  </si>
  <si>
    <t>Morehouse College</t>
  </si>
  <si>
    <t>Mount Saint Mary's University</t>
  </si>
  <si>
    <t>St. Louis College of Pharmacy</t>
  </si>
  <si>
    <t>Sackville</t>
  </si>
  <si>
    <t>Iona College</t>
  </si>
  <si>
    <t>New Rochelle</t>
  </si>
  <si>
    <t>Hanover College</t>
  </si>
  <si>
    <t>Hanover</t>
  </si>
  <si>
    <t>Messiah College</t>
  </si>
  <si>
    <t>Mechanicsburg</t>
  </si>
  <si>
    <t>University of the Incarnate Word</t>
  </si>
  <si>
    <t>Austin College</t>
  </si>
  <si>
    <t>Sherman</t>
  </si>
  <si>
    <t>Harding University, Inc.</t>
  </si>
  <si>
    <t>Searcy</t>
  </si>
  <si>
    <t>Pitzer College</t>
  </si>
  <si>
    <t>Weber State University</t>
  </si>
  <si>
    <t>Ogden</t>
  </si>
  <si>
    <t>The University of Rhode Island Foundation</t>
  </si>
  <si>
    <t>Kent State University Foundation</t>
  </si>
  <si>
    <t>Kent</t>
  </si>
  <si>
    <t>Bowling Green State University</t>
  </si>
  <si>
    <t>Illinois College</t>
  </si>
  <si>
    <t>Jacksonville</t>
  </si>
  <si>
    <t>Emmanuel College</t>
  </si>
  <si>
    <t>University of Mount Union</t>
  </si>
  <si>
    <t>Alliance</t>
  </si>
  <si>
    <t>Webster University</t>
  </si>
  <si>
    <t>The Culinary Institute of America</t>
  </si>
  <si>
    <t>Hyde Park</t>
  </si>
  <si>
    <t>Washington &amp; Jefferson College</t>
  </si>
  <si>
    <t>Concordia College</t>
  </si>
  <si>
    <t>Moorhead</t>
  </si>
  <si>
    <t>Embry-Riddle Aeronautical University, Inc</t>
  </si>
  <si>
    <t>Daytona Beach</t>
  </si>
  <si>
    <t>Oklahoma Baptist University</t>
  </si>
  <si>
    <t>Shawnee</t>
  </si>
  <si>
    <t>Canisius College</t>
  </si>
  <si>
    <t>University of Chattanooga Foundation, Inc.</t>
  </si>
  <si>
    <t>Chattanooga</t>
  </si>
  <si>
    <t>McDaniel College</t>
  </si>
  <si>
    <t>Westminster</t>
  </si>
  <si>
    <t>Indiana Institute Of Technology, Inc.</t>
  </si>
  <si>
    <t>Fort Wayne</t>
  </si>
  <si>
    <t>Alfred University</t>
  </si>
  <si>
    <t>Alfred</t>
  </si>
  <si>
    <t>Illinois State University Foundation</t>
  </si>
  <si>
    <t>Normal</t>
  </si>
  <si>
    <t>University of Northern Iowa Foundation</t>
  </si>
  <si>
    <t>Cedar Falls</t>
  </si>
  <si>
    <t>The Marshall University Foundation, Inc.</t>
  </si>
  <si>
    <t>Huntington</t>
  </si>
  <si>
    <t>Grand Valley State University</t>
  </si>
  <si>
    <t>Allendale</t>
  </si>
  <si>
    <t>Linfield College</t>
  </si>
  <si>
    <t>McMinnville</t>
  </si>
  <si>
    <t>South Dakota State University Foundation</t>
  </si>
  <si>
    <t>Brookings</t>
  </si>
  <si>
    <t>Alma College</t>
  </si>
  <si>
    <t>Alma</t>
  </si>
  <si>
    <t>Juniata College</t>
  </si>
  <si>
    <t>Huntingdon</t>
  </si>
  <si>
    <t>East Tennessee State University</t>
  </si>
  <si>
    <t>Johnson City</t>
  </si>
  <si>
    <t>Westminster College (PA)</t>
  </si>
  <si>
    <t>New Wilmington</t>
  </si>
  <si>
    <t>Buena Vista University</t>
  </si>
  <si>
    <t>Storm Lake</t>
  </si>
  <si>
    <t>Roosevelt University</t>
  </si>
  <si>
    <t>New Jersey Institute of Technology</t>
  </si>
  <si>
    <t>John Brown University</t>
  </si>
  <si>
    <t>Siloam Springs</t>
  </si>
  <si>
    <t>Troy University Foundation</t>
  </si>
  <si>
    <t>Troy</t>
  </si>
  <si>
    <t>Sam Houston State University</t>
  </si>
  <si>
    <t>Huntsville</t>
  </si>
  <si>
    <t>Whittier College</t>
  </si>
  <si>
    <t>Whittier</t>
  </si>
  <si>
    <t>Wittenberg University</t>
  </si>
  <si>
    <t>Springfield</t>
  </si>
  <si>
    <t>North Central College</t>
  </si>
  <si>
    <t>Naperville</t>
  </si>
  <si>
    <t>Michigan Technological University</t>
  </si>
  <si>
    <t>Houghton</t>
  </si>
  <si>
    <t>University of the Ozarks</t>
  </si>
  <si>
    <t>Clarksville</t>
  </si>
  <si>
    <t>Monmouth College</t>
  </si>
  <si>
    <t>Monmouth</t>
  </si>
  <si>
    <t>The Foundation of the State University of New York at Binghamton, Inc.</t>
  </si>
  <si>
    <t>Binghamton</t>
  </si>
  <si>
    <t>Seattle Pacific University</t>
  </si>
  <si>
    <t>Doane University</t>
  </si>
  <si>
    <t>Crete</t>
  </si>
  <si>
    <t>Sarah Lawrence College</t>
  </si>
  <si>
    <t>Bronxville</t>
  </si>
  <si>
    <t>Wentworth Institute of Technology</t>
  </si>
  <si>
    <t>Meredith College</t>
  </si>
  <si>
    <t>University of North Florida Foundation, Inc.</t>
  </si>
  <si>
    <t>Union Theological Seminary</t>
  </si>
  <si>
    <t>Goshen College</t>
  </si>
  <si>
    <t>Goshen</t>
  </si>
  <si>
    <t>Cottey College</t>
  </si>
  <si>
    <t>Nevada</t>
  </si>
  <si>
    <t>California State University, Northridge</t>
  </si>
  <si>
    <t>Northridge</t>
  </si>
  <si>
    <t>Elmhurst College</t>
  </si>
  <si>
    <t>Elmhurst</t>
  </si>
  <si>
    <t>University of Lynchburg</t>
  </si>
  <si>
    <t>Carthage College</t>
  </si>
  <si>
    <t>Kenosha</t>
  </si>
  <si>
    <t>Assumption College</t>
  </si>
  <si>
    <t>Millikin University</t>
  </si>
  <si>
    <t>Boise State University Foundation, Inc.</t>
  </si>
  <si>
    <t>Boise</t>
  </si>
  <si>
    <t>Capital University</t>
  </si>
  <si>
    <t>University of Indianapolis</t>
  </si>
  <si>
    <t>Appalachian State University and Foundation</t>
  </si>
  <si>
    <t>Boone</t>
  </si>
  <si>
    <t>Northern Kentucky University Foundation, Inc.</t>
  </si>
  <si>
    <t>Highland Heights</t>
  </si>
  <si>
    <t>California Lutheran University</t>
  </si>
  <si>
    <t>Thousand Oaks</t>
  </si>
  <si>
    <t>St. Edward's University</t>
  </si>
  <si>
    <t>University of California Santa Cruz Foundation</t>
  </si>
  <si>
    <t>Santa Cruz</t>
  </si>
  <si>
    <t>James Madison University Foundation, Inc.</t>
  </si>
  <si>
    <t>Harrisonburg</t>
  </si>
  <si>
    <t>Luther Seminary</t>
  </si>
  <si>
    <t>Middle Tennessee State University</t>
  </si>
  <si>
    <t>Murfreesboro</t>
  </si>
  <si>
    <t>Lenoir-Rhyne University</t>
  </si>
  <si>
    <t>Hickory</t>
  </si>
  <si>
    <t>Niagara University</t>
  </si>
  <si>
    <t>University of La Verne</t>
  </si>
  <si>
    <t>La Verne</t>
  </si>
  <si>
    <t>University of North Carolina at Wilmington</t>
  </si>
  <si>
    <t>Wilmington</t>
  </si>
  <si>
    <t>University of Southern Mississippi Foundation</t>
  </si>
  <si>
    <t>Hattiesburg</t>
  </si>
  <si>
    <t>SUNY Health Science Center at Syracuse</t>
  </si>
  <si>
    <t>Manhattan College</t>
  </si>
  <si>
    <t>Pacific Lutheran University</t>
  </si>
  <si>
    <t>Hood College of Frederick Maryland</t>
  </si>
  <si>
    <t>Frederick</t>
  </si>
  <si>
    <t>California State Polytechnic University, Pomona</t>
  </si>
  <si>
    <t>Pomona</t>
  </si>
  <si>
    <t>Northwood University</t>
  </si>
  <si>
    <t>Midland</t>
  </si>
  <si>
    <t>Monmouth University</t>
  </si>
  <si>
    <t>West Long Branch</t>
  </si>
  <si>
    <t>Curry College</t>
  </si>
  <si>
    <t>Milton</t>
  </si>
  <si>
    <t>Eastern Virginia Medical School Foundation</t>
  </si>
  <si>
    <t>Fort Hays State University Foundation</t>
  </si>
  <si>
    <t>Hays</t>
  </si>
  <si>
    <t>ArtCenter College of Design</t>
  </si>
  <si>
    <t>Drury University</t>
  </si>
  <si>
    <t>Hamline University</t>
  </si>
  <si>
    <t>Saint Paul</t>
  </si>
  <si>
    <t>Presbyterian College</t>
  </si>
  <si>
    <t>Bridgewater College</t>
  </si>
  <si>
    <t>Bridgewater</t>
  </si>
  <si>
    <t>Texas Lutheran University</t>
  </si>
  <si>
    <t>Seguin</t>
  </si>
  <si>
    <t>Taylor University</t>
  </si>
  <si>
    <t>Upland</t>
  </si>
  <si>
    <t>Oakland University</t>
  </si>
  <si>
    <t>Chatham University</t>
  </si>
  <si>
    <t>Wright State University Foundation, Inc.</t>
  </si>
  <si>
    <t>Ripon College</t>
  </si>
  <si>
    <t>Ripon</t>
  </si>
  <si>
    <t>College of Charleston Foundation</t>
  </si>
  <si>
    <t>Lake Forest College</t>
  </si>
  <si>
    <t>Lake Forest</t>
  </si>
  <si>
    <t>Widener University</t>
  </si>
  <si>
    <t>Chester</t>
  </si>
  <si>
    <t>Franklin University</t>
  </si>
  <si>
    <t>San Francisco State University Foundation</t>
  </si>
  <si>
    <t>McMurry University</t>
  </si>
  <si>
    <t>Maryland Institute College of Art</t>
  </si>
  <si>
    <t>Saint Michael's College</t>
  </si>
  <si>
    <t>Colchester</t>
  </si>
  <si>
    <t>College of St. Scholastica</t>
  </si>
  <si>
    <t>Duluth</t>
  </si>
  <si>
    <t>University of Evansville</t>
  </si>
  <si>
    <t>Evansville</t>
  </si>
  <si>
    <t>Endicott College</t>
  </si>
  <si>
    <t>Beverly</t>
  </si>
  <si>
    <t>Concordia University</t>
  </si>
  <si>
    <t>Mequon</t>
  </si>
  <si>
    <t>Center Valley</t>
  </si>
  <si>
    <t>Roger Williams University</t>
  </si>
  <si>
    <t>Bristol</t>
  </si>
  <si>
    <t>Fairleigh Dickinson University</t>
  </si>
  <si>
    <t>Teaneck</t>
  </si>
  <si>
    <t>Franklin College</t>
  </si>
  <si>
    <t>Franklin</t>
  </si>
  <si>
    <t>University of Northern Colorado Foundation, Inc.</t>
  </si>
  <si>
    <t>Greeley</t>
  </si>
  <si>
    <t>Emporia State University Foundation</t>
  </si>
  <si>
    <t>Emporia</t>
  </si>
  <si>
    <t>Kettering University</t>
  </si>
  <si>
    <t>Eastern Illinois University Foundation</t>
  </si>
  <si>
    <t>Saginaw Valley State University Foundation</t>
  </si>
  <si>
    <t>University Center</t>
  </si>
  <si>
    <t>Western Carolina University</t>
  </si>
  <si>
    <t>CULLOWHEE</t>
  </si>
  <si>
    <t>LaSalle University</t>
  </si>
  <si>
    <t>George Mason University Foundation, Inc.</t>
  </si>
  <si>
    <t>Fairfax</t>
  </si>
  <si>
    <t>Brite Divinity School</t>
  </si>
  <si>
    <t>Fort Worth</t>
  </si>
  <si>
    <t>Lipscomb University</t>
  </si>
  <si>
    <t>Palm Beach Atlantic University</t>
  </si>
  <si>
    <t>West Palm Beach</t>
  </si>
  <si>
    <t>Westmont College</t>
  </si>
  <si>
    <t>Marietta College</t>
  </si>
  <si>
    <t>Marietta</t>
  </si>
  <si>
    <t>Murray State University</t>
  </si>
  <si>
    <t>Murray</t>
  </si>
  <si>
    <t>University of Arkansas Fort Smith Foundation, Inc.</t>
  </si>
  <si>
    <t>Fort Smith</t>
  </si>
  <si>
    <t>New York Medical College</t>
  </si>
  <si>
    <t>Florida Institute of Technology</t>
  </si>
  <si>
    <t>Melbourne</t>
  </si>
  <si>
    <t>McCormick Theological Seminary</t>
  </si>
  <si>
    <t>Salt Lake City</t>
  </si>
  <si>
    <t>Central College</t>
  </si>
  <si>
    <t>Pella</t>
  </si>
  <si>
    <t>Elizabethtown College</t>
  </si>
  <si>
    <t>Elizabethtown</t>
  </si>
  <si>
    <t>Reformed Theological Seminary</t>
  </si>
  <si>
    <t>Jackson</t>
  </si>
  <si>
    <t>Muskingum University</t>
  </si>
  <si>
    <t>New Concord</t>
  </si>
  <si>
    <t>Big Rapids</t>
  </si>
  <si>
    <t>Converse College</t>
  </si>
  <si>
    <t>Wagner College</t>
  </si>
  <si>
    <t>Staten Island</t>
  </si>
  <si>
    <t>Guilford College</t>
  </si>
  <si>
    <t>College of Saint Benedict</t>
  </si>
  <si>
    <t>Saint Joseph</t>
  </si>
  <si>
    <t>Arkansas State University System Foundation, Inc.</t>
  </si>
  <si>
    <t>State University</t>
  </si>
  <si>
    <t>Cornell College</t>
  </si>
  <si>
    <t>Mount Vernon</t>
  </si>
  <si>
    <t>Hartwick College</t>
  </si>
  <si>
    <t>Oneonta</t>
  </si>
  <si>
    <t>California State University, Long Beach</t>
  </si>
  <si>
    <t>Long Beach</t>
  </si>
  <si>
    <t>North Park University</t>
  </si>
  <si>
    <t>University of Dallas</t>
  </si>
  <si>
    <t>Irving</t>
  </si>
  <si>
    <t>Eastern Michigan University Foundation</t>
  </si>
  <si>
    <t>Ypsilanti</t>
  </si>
  <si>
    <t>Springfield College</t>
  </si>
  <si>
    <t>Florida Southern College</t>
  </si>
  <si>
    <t>Lakeland</t>
  </si>
  <si>
    <t>University of West Florida Foundation</t>
  </si>
  <si>
    <t>Pensacola</t>
  </si>
  <si>
    <t>Lewis University</t>
  </si>
  <si>
    <t>Romeoville</t>
  </si>
  <si>
    <t>Valencia College Foundation</t>
  </si>
  <si>
    <t>Pittsburg State University Foundation, Inc.</t>
  </si>
  <si>
    <t>Pittsburg</t>
  </si>
  <si>
    <t>Montclair State University Foundation</t>
  </si>
  <si>
    <t>Montclair</t>
  </si>
  <si>
    <t>St. Francis College</t>
  </si>
  <si>
    <t>University of Wisconsin - Eau Claire Foundation, Inc.</t>
  </si>
  <si>
    <t>Eau Claire</t>
  </si>
  <si>
    <t>Texas Woman's University</t>
  </si>
  <si>
    <t>Arcadia University</t>
  </si>
  <si>
    <t>Glenside</t>
  </si>
  <si>
    <t>Western Washington University Foundation</t>
  </si>
  <si>
    <t>Bellingham</t>
  </si>
  <si>
    <t>University at Albany Foundation</t>
  </si>
  <si>
    <t>Albany</t>
  </si>
  <si>
    <t>College of Central Florida Foundation, Inc.</t>
  </si>
  <si>
    <t>Ocala</t>
  </si>
  <si>
    <t>Lebanon Valley College</t>
  </si>
  <si>
    <t>Annville</t>
  </si>
  <si>
    <t>St. Bonaventure University</t>
  </si>
  <si>
    <t>St. Bonaventure</t>
  </si>
  <si>
    <t>Longwood University Foundation</t>
  </si>
  <si>
    <t>Farmville</t>
  </si>
  <si>
    <t>Eastern Kentucky University Foundation</t>
  </si>
  <si>
    <t>Nazareth College of Rochester</t>
  </si>
  <si>
    <t>Pacific University</t>
  </si>
  <si>
    <t>Forest Grove</t>
  </si>
  <si>
    <t>Flagler College, Inc.</t>
  </si>
  <si>
    <t>St. Augustine</t>
  </si>
  <si>
    <t>Indiana</t>
  </si>
  <si>
    <t>Tennessee Tech University</t>
  </si>
  <si>
    <t>Cookeville</t>
  </si>
  <si>
    <t>Webb Institute</t>
  </si>
  <si>
    <t>Glen Cove</t>
  </si>
  <si>
    <t>Bellarmine University</t>
  </si>
  <si>
    <t>Shenandoah University</t>
  </si>
  <si>
    <t>Winchester</t>
  </si>
  <si>
    <t>Indiana State University Foundation, Inc.</t>
  </si>
  <si>
    <t>Keck Graduate Institute</t>
  </si>
  <si>
    <t>Clark College Foundation</t>
  </si>
  <si>
    <t>Regis University</t>
  </si>
  <si>
    <t>Saint Mary's University of Minnesota</t>
  </si>
  <si>
    <t>Winona</t>
  </si>
  <si>
    <t>Cal State Fullerton Philanthropic Foundation</t>
  </si>
  <si>
    <t>Fullerton</t>
  </si>
  <si>
    <t>California State University, Chico</t>
  </si>
  <si>
    <t>Chico</t>
  </si>
  <si>
    <t>Columbus State University Foundation</t>
  </si>
  <si>
    <t>Rider University</t>
  </si>
  <si>
    <t>Lawrenceville</t>
  </si>
  <si>
    <t>Broward College Foundation, Inc.</t>
  </si>
  <si>
    <t>Fort Lauderdale</t>
  </si>
  <si>
    <t>North Carolina A&amp;T State University and Foundation</t>
  </si>
  <si>
    <t>Gannon University</t>
  </si>
  <si>
    <t>Erie</t>
  </si>
  <si>
    <t>Howard Payne University</t>
  </si>
  <si>
    <t>Brownwood</t>
  </si>
  <si>
    <t>Salve Regina University</t>
  </si>
  <si>
    <t>Newport</t>
  </si>
  <si>
    <t>Manchester University</t>
  </si>
  <si>
    <t>North Manchester</t>
  </si>
  <si>
    <t>Carroll University</t>
  </si>
  <si>
    <t>Waukesha</t>
  </si>
  <si>
    <t>Texas Wesleyan University</t>
  </si>
  <si>
    <t>High Point University</t>
  </si>
  <si>
    <t>High Point</t>
  </si>
  <si>
    <t>Salisbury University Foundation</t>
  </si>
  <si>
    <t>Salisbury</t>
  </si>
  <si>
    <t>Minnesota State University, Mankato Foundation, Inc.</t>
  </si>
  <si>
    <t>Mankato</t>
  </si>
  <si>
    <t>Prince George</t>
  </si>
  <si>
    <t>Wilkes University</t>
  </si>
  <si>
    <t>Wilkes-Barre</t>
  </si>
  <si>
    <t>Tennessee State University Foundation</t>
  </si>
  <si>
    <t>University of Detroit Mercy</t>
  </si>
  <si>
    <t>Merrimack College</t>
  </si>
  <si>
    <t>North Andover</t>
  </si>
  <si>
    <t>Eckerd College</t>
  </si>
  <si>
    <t>Saint Petersburg</t>
  </si>
  <si>
    <t>Texas Southern University</t>
  </si>
  <si>
    <t>Wilson College</t>
  </si>
  <si>
    <t>Chambersburg</t>
  </si>
  <si>
    <t>New York Chiropractic College</t>
  </si>
  <si>
    <t>Seneca Falls</t>
  </si>
  <si>
    <t>Albright College</t>
  </si>
  <si>
    <t>Portsmouth</t>
  </si>
  <si>
    <t>Foundation for the University of the Virgin Islands (FUVI)</t>
  </si>
  <si>
    <t>St. Thomas</t>
  </si>
  <si>
    <t>VI</t>
  </si>
  <si>
    <t>Freed-Hardeman University</t>
  </si>
  <si>
    <t>Henderson</t>
  </si>
  <si>
    <t>Radford University Foundation, Inc.</t>
  </si>
  <si>
    <t>Radford</t>
  </si>
  <si>
    <t>Houghton College</t>
  </si>
  <si>
    <t>Minneapolis College of Art and Design</t>
  </si>
  <si>
    <t>Episcopal Divinity School</t>
  </si>
  <si>
    <t>Maryville University</t>
  </si>
  <si>
    <t>Saint Louis</t>
  </si>
  <si>
    <t>Georgian Court University</t>
  </si>
  <si>
    <t>Lakewood</t>
  </si>
  <si>
    <t>Winthrop University Foundation</t>
  </si>
  <si>
    <t>Rock Hill</t>
  </si>
  <si>
    <t>Virginia State University and Foundation</t>
  </si>
  <si>
    <t>Petersburg</t>
  </si>
  <si>
    <t>Viterbo University, Inc.</t>
  </si>
  <si>
    <t>La Crosse</t>
  </si>
  <si>
    <t>California Baptist University</t>
  </si>
  <si>
    <t>Riverside</t>
  </si>
  <si>
    <t>Western New England University</t>
  </si>
  <si>
    <t>Hampshire College</t>
  </si>
  <si>
    <t>Ferrum College</t>
  </si>
  <si>
    <t>Ferrum</t>
  </si>
  <si>
    <t>Warren Wilson College</t>
  </si>
  <si>
    <t>Asheville</t>
  </si>
  <si>
    <t>Misericordia University</t>
  </si>
  <si>
    <t>Heidelberg University</t>
  </si>
  <si>
    <t>Tiffin</t>
  </si>
  <si>
    <t>Holy Names University</t>
  </si>
  <si>
    <t>Northampton County Area Community College Foundation</t>
  </si>
  <si>
    <t>Bethlehem</t>
  </si>
  <si>
    <t>Friends University</t>
  </si>
  <si>
    <t>Gateway Seminary</t>
  </si>
  <si>
    <t>Ontario</t>
  </si>
  <si>
    <t>University of North Carolina at Asheville</t>
  </si>
  <si>
    <t>Bloomsburg University Foundation</t>
  </si>
  <si>
    <t>Bloomsburg</t>
  </si>
  <si>
    <t>Bay Path University</t>
  </si>
  <si>
    <t>Longmeadow</t>
  </si>
  <si>
    <t>University of Mary Washington</t>
  </si>
  <si>
    <t>Fredericksburg</t>
  </si>
  <si>
    <t>Erikson Institute</t>
  </si>
  <si>
    <t>Saint Francis University</t>
  </si>
  <si>
    <t>Loretto</t>
  </si>
  <si>
    <t>Ringling College of Art and Design</t>
  </si>
  <si>
    <t>Sarasota</t>
  </si>
  <si>
    <t>Florida State College at Jacksonville Foundation, Inc.</t>
  </si>
  <si>
    <t>Georgia Southern University Foundation</t>
  </si>
  <si>
    <t>Statesboro</t>
  </si>
  <si>
    <t>Sonoma State University</t>
  </si>
  <si>
    <t>Rohnert Park</t>
  </si>
  <si>
    <t>University of Baltimore Foundation</t>
  </si>
  <si>
    <t>Hartford Seminary</t>
  </si>
  <si>
    <t>Golden Gate University</t>
  </si>
  <si>
    <t>Augsburg University</t>
  </si>
  <si>
    <t>University Foundation at Sacramento State</t>
  </si>
  <si>
    <t>Sacramento</t>
  </si>
  <si>
    <t>Brenau University</t>
  </si>
  <si>
    <t>McPherson College</t>
  </si>
  <si>
    <t>McPherson</t>
  </si>
  <si>
    <t>Dallas Theological Seminary</t>
  </si>
  <si>
    <t>Morningside College</t>
  </si>
  <si>
    <t>Sioux City</t>
  </si>
  <si>
    <t>Cleveland Institute of Music</t>
  </si>
  <si>
    <t>Marymount University</t>
  </si>
  <si>
    <t>Arlington</t>
  </si>
  <si>
    <t>Winston-Salem State University and Foundation</t>
  </si>
  <si>
    <t>Winston-Salem</t>
  </si>
  <si>
    <t>Alabama A&amp;M University</t>
  </si>
  <si>
    <t>Salus University</t>
  </si>
  <si>
    <t>Coker College</t>
  </si>
  <si>
    <t>Hartsville</t>
  </si>
  <si>
    <t>West Chester</t>
  </si>
  <si>
    <t>Ashland University</t>
  </si>
  <si>
    <t>SUNY Cortland College Foundation</t>
  </si>
  <si>
    <t>Cortland</t>
  </si>
  <si>
    <t>Jacksonville University</t>
  </si>
  <si>
    <t>The College of Saint Rose</t>
  </si>
  <si>
    <t>Bethany Lutheran College, Inc</t>
  </si>
  <si>
    <t>Barry University Inc.</t>
  </si>
  <si>
    <t>Miami Shores</t>
  </si>
  <si>
    <t>Mount Aloysius College</t>
  </si>
  <si>
    <t>Cresson</t>
  </si>
  <si>
    <t>McKendree University</t>
  </si>
  <si>
    <t>Lebanon</t>
  </si>
  <si>
    <t>Southern Adventist University</t>
  </si>
  <si>
    <t>Collegedale</t>
  </si>
  <si>
    <t>The San Francisco Conservatory of Music</t>
  </si>
  <si>
    <t>Lasell College</t>
  </si>
  <si>
    <t>Newton</t>
  </si>
  <si>
    <t>Covenant College</t>
  </si>
  <si>
    <t>Lookout Mountain</t>
  </si>
  <si>
    <t>Concordia University, St. Paul</t>
  </si>
  <si>
    <t>St Paul</t>
  </si>
  <si>
    <t>Carroll College</t>
  </si>
  <si>
    <t>Helena</t>
  </si>
  <si>
    <t>University of Mary</t>
  </si>
  <si>
    <t>Bismarck</t>
  </si>
  <si>
    <t>Montana Tech Foundation</t>
  </si>
  <si>
    <t>Butte</t>
  </si>
  <si>
    <t>Shippensburg University Foundation</t>
  </si>
  <si>
    <t>Shippensburg</t>
  </si>
  <si>
    <t>Rust College, Inc.</t>
  </si>
  <si>
    <t>Holly Springs</t>
  </si>
  <si>
    <t>California State University Los Angeles Foundation</t>
  </si>
  <si>
    <t>Mount St. Joseph University</t>
  </si>
  <si>
    <t>Western University of Health Sciences</t>
  </si>
  <si>
    <t>San Bernardino</t>
  </si>
  <si>
    <t>Northwest College Foundation</t>
  </si>
  <si>
    <t>Powell</t>
  </si>
  <si>
    <t>Loras College</t>
  </si>
  <si>
    <t>Dubuque</t>
  </si>
  <si>
    <t>University of Jamestown</t>
  </si>
  <si>
    <t>Jamestown</t>
  </si>
  <si>
    <t>Marywood University</t>
  </si>
  <si>
    <t>University of Wyoming</t>
  </si>
  <si>
    <t>University of New England</t>
  </si>
  <si>
    <t>Biddeford</t>
  </si>
  <si>
    <t>Olivet Nazarene University</t>
  </si>
  <si>
    <t>Bourbonnais</t>
  </si>
  <si>
    <t>Colby-Sawyer College</t>
  </si>
  <si>
    <t>Oswego College Foundation, Inc.</t>
  </si>
  <si>
    <t>Oswego</t>
  </si>
  <si>
    <t>Clarion University Foundation, Inc. (Clarion University of Pennsylvania)</t>
  </si>
  <si>
    <t>Clarion</t>
  </si>
  <si>
    <t>The Sage Colleges</t>
  </si>
  <si>
    <t>Sinclair Community College Foundation</t>
  </si>
  <si>
    <t>Robert Morris University</t>
  </si>
  <si>
    <t>Moon Township</t>
  </si>
  <si>
    <t>Notre Dame of Maryland University</t>
  </si>
  <si>
    <t>Fredonia State University of New York</t>
  </si>
  <si>
    <t>Fredonia</t>
  </si>
  <si>
    <t>Wisconsin Lutheran College</t>
  </si>
  <si>
    <t>The Cuesta College Foundation</t>
  </si>
  <si>
    <t>Roberts Wesleyan College</t>
  </si>
  <si>
    <t>University of Saint Joseph</t>
  </si>
  <si>
    <t>Mary Baldwin University</t>
  </si>
  <si>
    <t>Staunton</t>
  </si>
  <si>
    <t>Rockhurst University</t>
  </si>
  <si>
    <t>Kansas City</t>
  </si>
  <si>
    <t>Philadelphia University</t>
  </si>
  <si>
    <t>SUNY Potsdam College Foundation, Inc.</t>
  </si>
  <si>
    <t>Broome Community College Foundation, Inc</t>
  </si>
  <si>
    <t>Eastern Mennonite University</t>
  </si>
  <si>
    <t>St. Mary's College of Maryland Foundation, Inc</t>
  </si>
  <si>
    <t>St Mary's City</t>
  </si>
  <si>
    <t>Delaware Valley University</t>
  </si>
  <si>
    <t>Doylestown</t>
  </si>
  <si>
    <t>Mercyhurst University</t>
  </si>
  <si>
    <t>Rocky Mountain College</t>
  </si>
  <si>
    <t>Billings</t>
  </si>
  <si>
    <t>Manhattanville College</t>
  </si>
  <si>
    <t>Purchase</t>
  </si>
  <si>
    <t>Georgia Southwestern Foundation</t>
  </si>
  <si>
    <t>Americus</t>
  </si>
  <si>
    <t>Central Piedmont Community College Foundation, Inc.</t>
  </si>
  <si>
    <t>Cedarville University</t>
  </si>
  <si>
    <t>Cedarville</t>
  </si>
  <si>
    <t>Colorado Mesa University Foundation</t>
  </si>
  <si>
    <t>Grand Junction</t>
  </si>
  <si>
    <t>Kutztown University Foundation, Inc.</t>
  </si>
  <si>
    <t>Kutztown</t>
  </si>
  <si>
    <t>Humboldt State University Advancement Foundation</t>
  </si>
  <si>
    <t>Arcata</t>
  </si>
  <si>
    <t>Maryville</t>
  </si>
  <si>
    <t>Clarke University</t>
  </si>
  <si>
    <t>St. Thomas University</t>
  </si>
  <si>
    <t>Miami Gardens</t>
  </si>
  <si>
    <t>Huntington University</t>
  </si>
  <si>
    <t>Walla Walla University</t>
  </si>
  <si>
    <t>College Place</t>
  </si>
  <si>
    <t>Southern Connecticut State University Foundation</t>
  </si>
  <si>
    <t>Culver-Stockton College</t>
  </si>
  <si>
    <t>American University in Bulgaria</t>
  </si>
  <si>
    <t>University of Central Oklahoma Foundation</t>
  </si>
  <si>
    <t>Mount Mercy University</t>
  </si>
  <si>
    <t>Cedar Rapids</t>
  </si>
  <si>
    <t>The College of New Jersey Foundation, Inc</t>
  </si>
  <si>
    <t>Ewing</t>
  </si>
  <si>
    <t>Bradford Educational Foundation - University of Pittsburgh at Bradford</t>
  </si>
  <si>
    <t>Bradford</t>
  </si>
  <si>
    <t>Husson University</t>
  </si>
  <si>
    <t>Bangor</t>
  </si>
  <si>
    <t>California State University Bakersfield Foundation</t>
  </si>
  <si>
    <t>Bakersfield</t>
  </si>
  <si>
    <t>Tri-County Technical College Foundation, Inc.</t>
  </si>
  <si>
    <t>Pendleton</t>
  </si>
  <si>
    <t>Meadville Lombard Theological School</t>
  </si>
  <si>
    <t>California State University Foundation</t>
  </si>
  <si>
    <t>Lamar University</t>
  </si>
  <si>
    <t>Beaumont</t>
  </si>
  <si>
    <t>Grand View University</t>
  </si>
  <si>
    <t>California State University San Marcos Foundation</t>
  </si>
  <si>
    <t>Norfolk State University Foundation</t>
  </si>
  <si>
    <t>Utica College</t>
  </si>
  <si>
    <t>Utica</t>
  </si>
  <si>
    <t>California Western School of Law</t>
  </si>
  <si>
    <t>Marshall B. Ketchum University</t>
  </si>
  <si>
    <t>Delta College</t>
  </si>
  <si>
    <t>University of North Carolina at Pembroke</t>
  </si>
  <si>
    <t>Pembroke</t>
  </si>
  <si>
    <t>Vaughn College of Aeronautics and Technology</t>
  </si>
  <si>
    <t>Flushing</t>
  </si>
  <si>
    <t>California State University Monterey Bay</t>
  </si>
  <si>
    <t>Seaside</t>
  </si>
  <si>
    <t>University of Rio Grande</t>
  </si>
  <si>
    <t>Rio Grande</t>
  </si>
  <si>
    <t>Edwardsville</t>
  </si>
  <si>
    <t>Lubbock Christian University</t>
  </si>
  <si>
    <t>Lubbock</t>
  </si>
  <si>
    <t>Spring Hill College</t>
  </si>
  <si>
    <t>Peirce College</t>
  </si>
  <si>
    <t>UNC School of the Arts</t>
  </si>
  <si>
    <t>Chaminade University of Honolulu</t>
  </si>
  <si>
    <t>Fayetteville State University</t>
  </si>
  <si>
    <t>Ohio Dominican University</t>
  </si>
  <si>
    <t>Johnson County Community College</t>
  </si>
  <si>
    <t>Overland Park</t>
  </si>
  <si>
    <t>Averett University</t>
  </si>
  <si>
    <t>Eastern Washington University Foundation</t>
  </si>
  <si>
    <t>Cheney</t>
  </si>
  <si>
    <t>Spartanburg Methodist College</t>
  </si>
  <si>
    <t>LeTourneau University</t>
  </si>
  <si>
    <t>Longview</t>
  </si>
  <si>
    <t>Central Oregon Community College Foundation</t>
  </si>
  <si>
    <t>Bend</t>
  </si>
  <si>
    <t>SUNY Plattsburgh - Plattsburgh College Foundation</t>
  </si>
  <si>
    <t>Plattsburgh</t>
  </si>
  <si>
    <t>Ramapo College of New Jersey</t>
  </si>
  <si>
    <t>Mahwah</t>
  </si>
  <si>
    <t>Stephen F. Austin State University</t>
  </si>
  <si>
    <t>Nacogdoches</t>
  </si>
  <si>
    <t>Fitchburg State University</t>
  </si>
  <si>
    <t>Fitchburg</t>
  </si>
  <si>
    <t>University of St. Francis</t>
  </si>
  <si>
    <t>Joliet</t>
  </si>
  <si>
    <t>Shawnee State University Development Foundation</t>
  </si>
  <si>
    <t>Defiance College</t>
  </si>
  <si>
    <t>Defiance</t>
  </si>
  <si>
    <t>Spring Arbor University</t>
  </si>
  <si>
    <t>Spring Arbor</t>
  </si>
  <si>
    <t>Cardinal Stritch University Inc</t>
  </si>
  <si>
    <t>Glendale</t>
  </si>
  <si>
    <t>Kalamazoo Valley Community College</t>
  </si>
  <si>
    <t>Cal State East Bay Educational Foundation</t>
  </si>
  <si>
    <t>Hayward</t>
  </si>
  <si>
    <t>Lakeland University Foundation, Inc.</t>
  </si>
  <si>
    <t>Plymouth</t>
  </si>
  <si>
    <t>California State University, Stanislaus Foundation</t>
  </si>
  <si>
    <t>Turlock</t>
  </si>
  <si>
    <t>Church Divinity School of the Pacific</t>
  </si>
  <si>
    <t>Shepherd University Foundation</t>
  </si>
  <si>
    <t>Shepherdstown</t>
  </si>
  <si>
    <t>Langley</t>
  </si>
  <si>
    <t>Dakota State University Foundation</t>
  </si>
  <si>
    <t>California State University Channel Islands</t>
  </si>
  <si>
    <t>Camarillo</t>
  </si>
  <si>
    <t>The Foundation for Florida Gateway College</t>
  </si>
  <si>
    <t>Lake City</t>
  </si>
  <si>
    <t>Northern Michigan University</t>
  </si>
  <si>
    <t>Marquette</t>
  </si>
  <si>
    <t>Nichols College</t>
  </si>
  <si>
    <t>Dudley</t>
  </si>
  <si>
    <t>Polytechnic University of Puerto Rico</t>
  </si>
  <si>
    <t>Keuka College</t>
  </si>
  <si>
    <t>Keuka Park</t>
  </si>
  <si>
    <t>New England College</t>
  </si>
  <si>
    <t>Henniker</t>
  </si>
  <si>
    <t>SUNY Canton College Foundation</t>
  </si>
  <si>
    <t>Massachusetts College of Liberal Arts Foundation, Inc.</t>
  </si>
  <si>
    <t>North Adams</t>
  </si>
  <si>
    <t>North Iowa Area Community College</t>
  </si>
  <si>
    <t>Mason City</t>
  </si>
  <si>
    <t>Boston Architectural College</t>
  </si>
  <si>
    <t>Weber State University Foundation</t>
  </si>
  <si>
    <t>Northeast State Community College Foundation</t>
  </si>
  <si>
    <t>Blountville</t>
  </si>
  <si>
    <t>Pellissippi State Community College Foundation</t>
  </si>
  <si>
    <t>J. Sargeant Reynolds Community College Educational Foundation</t>
  </si>
  <si>
    <t>Cornerstone University</t>
  </si>
  <si>
    <t>California State University, Dominguez Hills Philanthropic Foundation</t>
  </si>
  <si>
    <t>Carson</t>
  </si>
  <si>
    <t>Austin Community College Foundation</t>
  </si>
  <si>
    <t>Walsh College of Accountancy and Business Administration</t>
  </si>
  <si>
    <t>The California Maritime Academy Foundation, Inc.</t>
  </si>
  <si>
    <t>Vallejo</t>
  </si>
  <si>
    <t>Blue Ridge Community College Educational Foundation, Inc.</t>
  </si>
  <si>
    <t>Weyers Cave</t>
  </si>
  <si>
    <t>Midlands Technical College Foundation</t>
  </si>
  <si>
    <t>West Columbia</t>
  </si>
  <si>
    <t>Elgin Community College Foundation</t>
  </si>
  <si>
    <t>Elgin</t>
  </si>
  <si>
    <t>The Hillsborough Community College Foundation, Inc.</t>
  </si>
  <si>
    <t>Mount Saint Mary College</t>
  </si>
  <si>
    <t>Newburgh</t>
  </si>
  <si>
    <t>Metropolitan State University Foundation</t>
  </si>
  <si>
    <t>Oakton Community College Educational Foundation</t>
  </si>
  <si>
    <t>Des Plaines</t>
  </si>
  <si>
    <t>Texas College</t>
  </si>
  <si>
    <t>Tyler</t>
  </si>
  <si>
    <t>Lakeland Community College</t>
  </si>
  <si>
    <t>Kirtland</t>
  </si>
  <si>
    <t>John Tyler Community College Foundation</t>
  </si>
  <si>
    <t>Midlothian</t>
  </si>
  <si>
    <t>Music Institute of Chicago</t>
  </si>
  <si>
    <t>Institution Name</t>
  </si>
  <si>
    <r>
      <t>Unitid</t>
    </r>
    <r>
      <rPr>
        <b/>
        <vertAlign val="superscript"/>
        <sz val="11"/>
        <color theme="1"/>
        <rFont val="Calibri"/>
        <family val="2"/>
        <scheme val="minor"/>
      </rPr>
      <t>1</t>
    </r>
  </si>
  <si>
    <r>
      <t>Change in Market Value (%)</t>
    </r>
    <r>
      <rPr>
        <b/>
        <vertAlign val="superscript"/>
        <sz val="11"/>
        <color theme="1"/>
        <rFont val="Calibri"/>
        <family val="2"/>
        <scheme val="minor"/>
      </rPr>
      <t>2</t>
    </r>
  </si>
  <si>
    <r>
      <t>IPEDS Sector</t>
    </r>
    <r>
      <rPr>
        <b/>
        <vertAlign val="superscript"/>
        <sz val="11"/>
        <color theme="1"/>
        <rFont val="Calibri"/>
        <family val="2"/>
        <scheme val="minor"/>
      </rPr>
      <t>4</t>
    </r>
  </si>
  <si>
    <r>
      <t>IPEDS HBCU Indicator</t>
    </r>
    <r>
      <rPr>
        <b/>
        <vertAlign val="superscript"/>
        <sz val="11"/>
        <color theme="1"/>
        <rFont val="Calibri"/>
        <family val="2"/>
        <scheme val="minor"/>
      </rPr>
      <t>5</t>
    </r>
  </si>
  <si>
    <r>
      <t>IPEDS Carnegie Classification</t>
    </r>
    <r>
      <rPr>
        <b/>
        <vertAlign val="superscript"/>
        <sz val="11"/>
        <color theme="1"/>
        <rFont val="Calibri"/>
        <family val="2"/>
        <scheme val="minor"/>
      </rPr>
      <t>6</t>
    </r>
  </si>
  <si>
    <t>FY18 Endowment (in $1,000s)</t>
  </si>
  <si>
    <t>FY17 Endowment (in $1,000s)</t>
  </si>
  <si>
    <r>
      <t>Fall 2017 Full-time Equivalent (FTE) Students</t>
    </r>
    <r>
      <rPr>
        <b/>
        <vertAlign val="superscript"/>
        <sz val="11"/>
        <color theme="1"/>
        <rFont val="Calibri"/>
        <family val="2"/>
        <scheme val="minor"/>
      </rPr>
      <t>3</t>
    </r>
  </si>
  <si>
    <r>
      <t>University of Toronto</t>
    </r>
    <r>
      <rPr>
        <vertAlign val="superscript"/>
        <sz val="11"/>
        <color theme="1"/>
        <rFont val="Calibri"/>
        <family val="2"/>
        <scheme val="minor"/>
      </rPr>
      <t>#</t>
    </r>
  </si>
  <si>
    <r>
      <t>University of British Columbia</t>
    </r>
    <r>
      <rPr>
        <vertAlign val="superscript"/>
        <sz val="11"/>
        <color theme="1"/>
        <rFont val="Calibri"/>
        <family val="2"/>
        <scheme val="minor"/>
      </rPr>
      <t>#</t>
    </r>
  </si>
  <si>
    <r>
      <t>McGill University</t>
    </r>
    <r>
      <rPr>
        <vertAlign val="superscript"/>
        <sz val="11"/>
        <color theme="1"/>
        <rFont val="Calibri"/>
        <family val="2"/>
        <scheme val="minor"/>
      </rPr>
      <t>#</t>
    </r>
  </si>
  <si>
    <r>
      <t>University of Alberta</t>
    </r>
    <r>
      <rPr>
        <vertAlign val="superscript"/>
        <sz val="11"/>
        <color theme="1"/>
        <rFont val="Calibri"/>
        <family val="2"/>
        <scheme val="minor"/>
      </rPr>
      <t>#</t>
    </r>
  </si>
  <si>
    <r>
      <t>Queen's University</t>
    </r>
    <r>
      <rPr>
        <vertAlign val="superscript"/>
        <sz val="11"/>
        <color theme="1"/>
        <rFont val="Calibri"/>
        <family val="2"/>
        <scheme val="minor"/>
      </rPr>
      <t>#</t>
    </r>
  </si>
  <si>
    <r>
      <t>Dalhousie University</t>
    </r>
    <r>
      <rPr>
        <vertAlign val="superscript"/>
        <sz val="11"/>
        <color theme="1"/>
        <rFont val="Calibri"/>
        <family val="2"/>
        <scheme val="minor"/>
      </rPr>
      <t>#</t>
    </r>
  </si>
  <si>
    <r>
      <t>Simon Fraser University</t>
    </r>
    <r>
      <rPr>
        <vertAlign val="superscript"/>
        <sz val="11"/>
        <color theme="1"/>
        <rFont val="Calibri"/>
        <family val="2"/>
        <scheme val="minor"/>
      </rPr>
      <t>#</t>
    </r>
  </si>
  <si>
    <r>
      <t>University of Victoria Foundation</t>
    </r>
    <r>
      <rPr>
        <vertAlign val="superscript"/>
        <sz val="11"/>
        <color theme="1"/>
        <rFont val="Calibri"/>
        <family val="2"/>
        <scheme val="minor"/>
      </rPr>
      <t>#</t>
    </r>
  </si>
  <si>
    <r>
      <t>University of New Brunswick</t>
    </r>
    <r>
      <rPr>
        <vertAlign val="superscript"/>
        <sz val="11"/>
        <color theme="1"/>
        <rFont val="Calibri"/>
        <family val="2"/>
        <scheme val="minor"/>
      </rPr>
      <t>#</t>
    </r>
  </si>
  <si>
    <r>
      <t>University of Ottawa</t>
    </r>
    <r>
      <rPr>
        <vertAlign val="superscript"/>
        <sz val="11"/>
        <color theme="1"/>
        <rFont val="Calibri"/>
        <family val="2"/>
        <scheme val="minor"/>
      </rPr>
      <t>#</t>
    </r>
  </si>
  <si>
    <r>
      <t>Carleton University</t>
    </r>
    <r>
      <rPr>
        <vertAlign val="superscript"/>
        <sz val="11"/>
        <color theme="1"/>
        <rFont val="Calibri"/>
        <family val="2"/>
        <scheme val="minor"/>
      </rPr>
      <t>#</t>
    </r>
  </si>
  <si>
    <r>
      <t>Mount Allison University</t>
    </r>
    <r>
      <rPr>
        <vertAlign val="superscript"/>
        <sz val="11"/>
        <color theme="1"/>
        <rFont val="Calibri"/>
        <family val="2"/>
        <scheme val="minor"/>
      </rPr>
      <t>#</t>
    </r>
  </si>
  <si>
    <r>
      <t>University of Northern British Columbia</t>
    </r>
    <r>
      <rPr>
        <vertAlign val="superscript"/>
        <sz val="11"/>
        <color theme="1"/>
        <rFont val="Calibri"/>
        <family val="2"/>
        <scheme val="minor"/>
      </rPr>
      <t>#</t>
    </r>
  </si>
  <si>
    <r>
      <t>Trinity Western University</t>
    </r>
    <r>
      <rPr>
        <vertAlign val="superscript"/>
        <sz val="11"/>
        <color theme="1"/>
        <rFont val="Calibri"/>
        <family val="2"/>
        <scheme val="minor"/>
      </rPr>
      <t>#</t>
    </r>
  </si>
  <si>
    <t>FY18 Endowment Value per FTE Student ($)</t>
  </si>
  <si>
    <t>Average</t>
  </si>
  <si>
    <t>Median</t>
  </si>
  <si>
    <t xml:space="preserve">Footnotes: </t>
  </si>
  <si>
    <t xml:space="preserve">N/A=Not Available. </t>
  </si>
  <si>
    <t>IPEDS (the Integrated Postsecondary Education Data System) is conducted each year by the National Center for Education Statistics.</t>
  </si>
  <si>
    <t xml:space="preserve">    1) withdrawals to fund institutional operations and capital expenses;</t>
  </si>
  <si>
    <t xml:space="preserve">    2) the payment of endowment management and investment fees;</t>
  </si>
  <si>
    <t xml:space="preserve">    3) additions from donor gifts and other contributions; and</t>
  </si>
  <si>
    <t xml:space="preserve">    4) investment gains or losses.</t>
  </si>
  <si>
    <t xml:space="preserve">The market values also include the estimated valuations of real estate and other “illiquid” assets, which may have large increases or decreases in value during a relatively short period of time. In addition, transfers to the endowment from other institutional budget accounts, and changes in foreign currency exchange rates for non-U.S. investments, may account for large changes in endowment market values. </t>
  </si>
  <si>
    <r>
      <t xml:space="preserve">These factors suggest that any large increases or decreases in endowments over the past year may be exaggerated. </t>
    </r>
    <r>
      <rPr>
        <b/>
        <u/>
        <sz val="11"/>
        <color theme="1"/>
        <rFont val="Calibri"/>
        <family val="2"/>
        <scheme val="minor"/>
      </rPr>
      <t>As such, large percentage changes should be interpreted very cautiously.</t>
    </r>
  </si>
  <si>
    <r>
      <rPr>
        <vertAlign val="superscript"/>
        <sz val="11"/>
        <color theme="1"/>
        <rFont val="Calibri"/>
        <family val="2"/>
        <scheme val="minor"/>
      </rPr>
      <t>3.</t>
    </r>
    <r>
      <rPr>
        <sz val="11"/>
        <color theme="1"/>
        <rFont val="Calibri"/>
        <family val="2"/>
        <scheme val="minor"/>
      </rPr>
      <t xml:space="preserve"> Endowment per FTE is calculated by dividing FY18 endowment values by Fall 2017 FTE enrollment. Endowment per FTE and FTE enrollment are provided for U.S. colleges and universities and affiliated foundations only. </t>
    </r>
  </si>
  <si>
    <t xml:space="preserve">Due to rounding, calculations for endowment per FTE details may not equal total values. </t>
  </si>
  <si>
    <r>
      <rPr>
        <vertAlign val="superscript"/>
        <sz val="11"/>
        <color theme="1"/>
        <rFont val="Calibri"/>
        <family val="2"/>
        <scheme val="minor"/>
      </rPr>
      <t>4</t>
    </r>
    <r>
      <rPr>
        <sz val="11"/>
        <color theme="1"/>
        <rFont val="Calibri"/>
        <family val="2"/>
        <scheme val="minor"/>
      </rPr>
      <t>. HBCU indicates the institution's Historically Black College or University status .</t>
    </r>
  </si>
  <si>
    <t>1=HBCU</t>
  </si>
  <si>
    <r>
      <rPr>
        <vertAlign val="superscript"/>
        <sz val="11"/>
        <color theme="1"/>
        <rFont val="Calibri"/>
        <family val="2"/>
        <scheme val="minor"/>
      </rPr>
      <t>5</t>
    </r>
    <r>
      <rPr>
        <sz val="11"/>
        <color theme="1"/>
        <rFont val="Calibri"/>
        <family val="2"/>
        <scheme val="minor"/>
      </rPr>
      <t xml:space="preserve">. Sector indicates the type of institution. Sector is provided by IPEDS and is added for U.S. colleges, universities, and state system offices only. </t>
    </r>
  </si>
  <si>
    <t xml:space="preserve">   0=State system office (does not directly enroll students)</t>
  </si>
  <si>
    <t xml:space="preserve">   1=4-year public college or university</t>
  </si>
  <si>
    <t xml:space="preserve">  2=4-year private non-profit college or university</t>
  </si>
  <si>
    <t xml:space="preserve">  4=2-year public college (community college)</t>
  </si>
  <si>
    <t xml:space="preserve">  5=2-year private non-profit college</t>
  </si>
  <si>
    <r>
      <rPr>
        <vertAlign val="superscript"/>
        <sz val="11"/>
        <color theme="1"/>
        <rFont val="Calibri"/>
        <family val="2"/>
        <scheme val="minor"/>
      </rPr>
      <t>6</t>
    </r>
    <r>
      <rPr>
        <sz val="11"/>
        <color theme="1"/>
        <rFont val="Calibri"/>
        <family val="2"/>
        <scheme val="minor"/>
      </rPr>
      <t>. Carnegie Classification identifies colleges and universities by their highest degree awarded and research intensity. For more information on the Carnegie Classification system, go to https://en.wikipedia.org/wiki/Carnegie_Classification_of_Institutions_of_Higher_Education</t>
    </r>
  </si>
  <si>
    <t>0=State system office (does not directly enroll students)</t>
  </si>
  <si>
    <t xml:space="preserve">1=Associate's </t>
  </si>
  <si>
    <t>2=Doctoral/Research</t>
  </si>
  <si>
    <t>3=Master's</t>
  </si>
  <si>
    <t>4=Baccalaureate</t>
  </si>
  <si>
    <t>5=Special focus (law, medicine, theology, etc.)</t>
  </si>
  <si>
    <r>
      <rPr>
        <vertAlign val="superscript"/>
        <sz val="11"/>
        <color theme="1"/>
        <rFont val="Calibri"/>
        <family val="2"/>
        <scheme val="minor"/>
      </rPr>
      <t>ii</t>
    </r>
    <r>
      <rPr>
        <sz val="11"/>
        <color theme="1"/>
        <rFont val="Calibri"/>
        <family val="2"/>
        <scheme val="minor"/>
      </rPr>
      <t>. Fiscal year end date for New York University is August 31 but the endowment market values are reported for the year ending June 30.</t>
    </r>
  </si>
  <si>
    <r>
      <rPr>
        <vertAlign val="superscript"/>
        <sz val="11"/>
        <color theme="1"/>
        <rFont val="Calibri"/>
        <family val="2"/>
        <scheme val="minor"/>
      </rPr>
      <t>vi</t>
    </r>
    <r>
      <rPr>
        <sz val="11"/>
        <color theme="1"/>
        <rFont val="Calibri"/>
        <family val="2"/>
        <scheme val="minor"/>
      </rPr>
      <t xml:space="preserve">.  University of Miami's fiscal year-end is 5/31. Endowment values for FY18 and FY17 are reported for May 31, 2018 and May 31, 2017, respectively. </t>
    </r>
  </si>
  <si>
    <r>
      <rPr>
        <vertAlign val="superscript"/>
        <sz val="11"/>
        <color theme="1"/>
        <rFont val="Calibri"/>
        <family val="2"/>
        <scheme val="minor"/>
      </rPr>
      <t>vii</t>
    </r>
    <r>
      <rPr>
        <sz val="11"/>
        <color theme="1"/>
        <rFont val="Calibri"/>
        <family val="2"/>
        <scheme val="minor"/>
      </rPr>
      <t xml:space="preserve">. Total endowment includes data from all institutions in the LSU System. However, the full 2018 NTSE report is based on data solely from the LSU Foundation, the largest segment.  </t>
    </r>
  </si>
  <si>
    <r>
      <rPr>
        <vertAlign val="superscript"/>
        <sz val="11"/>
        <color theme="1"/>
        <rFont val="Calibri"/>
        <family val="2"/>
        <scheme val="minor"/>
      </rPr>
      <t>ix</t>
    </r>
    <r>
      <rPr>
        <sz val="11"/>
        <color theme="1"/>
        <rFont val="Calibri"/>
        <family val="2"/>
        <scheme val="minor"/>
      </rPr>
      <t>. Total includes combined endowment assets from the Oregon Health and Sciences University Foundation and the Doernbecher Children’s Hospital Foundation.</t>
    </r>
  </si>
  <si>
    <r>
      <rPr>
        <vertAlign val="superscript"/>
        <sz val="11"/>
        <color theme="1"/>
        <rFont val="Calibri"/>
        <family val="2"/>
        <scheme val="minor"/>
      </rPr>
      <t>x</t>
    </r>
    <r>
      <rPr>
        <sz val="11"/>
        <color theme="1"/>
        <rFont val="Calibri"/>
        <family val="2"/>
        <scheme val="minor"/>
      </rPr>
      <t>.  Abilene Christian University's fiscal year-end is 5/31 but endowment values are reported for 6/30.</t>
    </r>
  </si>
  <si>
    <r>
      <rPr>
        <vertAlign val="superscript"/>
        <sz val="11"/>
        <color theme="1"/>
        <rFont val="Calibri"/>
        <family val="2"/>
        <scheme val="minor"/>
      </rPr>
      <t>1</t>
    </r>
    <r>
      <rPr>
        <sz val="11"/>
        <color theme="1"/>
        <rFont val="Calibri"/>
        <family val="2"/>
        <scheme val="minor"/>
      </rPr>
      <t xml:space="preserve">. IPEDS Unit ID Number (Unitid) is available only for U.S. colleges, universities, and state university system offices. There are no IPEDS ID numbers for Canadian institutions or for non-profit higher education organizations that do not enroll students. </t>
    </r>
  </si>
  <si>
    <r>
      <rPr>
        <vertAlign val="superscript"/>
        <sz val="11"/>
        <color theme="1"/>
        <rFont val="Calibri"/>
        <family val="2"/>
        <scheme val="minor"/>
      </rPr>
      <t>#</t>
    </r>
    <r>
      <rPr>
        <sz val="11"/>
        <color theme="1"/>
        <rFont val="Calibri"/>
        <family val="2"/>
        <scheme val="minor"/>
      </rPr>
      <t xml:space="preserve">Endowment market value data for Canadian institutions are expressed in U.S. dollars, based on the U.S./Canadian dollar conversion rates in effect on or around June 30, 2018 (for FY18) and June 30, 2016 (for FY17), as reported by the Bank of Canada Web site (https://www.bankofcanada.ca/rates/exchange/). Data from Canadian institutions is NOT included in the full 2018 NTSE report.  </t>
    </r>
  </si>
  <si>
    <t>2=Non-HBCU (records with N/A should also be considered non-HBCUs)</t>
  </si>
  <si>
    <r>
      <rPr>
        <vertAlign val="superscript"/>
        <sz val="11"/>
        <color theme="1"/>
        <rFont val="Calibri"/>
        <family val="2"/>
        <scheme val="minor"/>
      </rPr>
      <t>i</t>
    </r>
    <r>
      <rPr>
        <sz val="11"/>
        <color theme="1"/>
        <rFont val="Calibri"/>
        <family val="2"/>
        <scheme val="minor"/>
      </rPr>
      <t xml:space="preserve">.Total includes the endowment assets from The Texas A&amp;M University System and multiple supporting foundations, including the Texas A&amp;M Foundation. The full 2018 NTSE report includes separate information for the Texas A&amp;M University System, Texas A&amp;M Foundation, and the Baylor Oral Health Foundation (which provides financial support to the Texas A&amp;M University Baylor College of Dentistry).  </t>
    </r>
  </si>
  <si>
    <r>
      <rPr>
        <vertAlign val="superscript"/>
        <sz val="11"/>
        <color theme="1"/>
        <rFont val="Calibri"/>
        <family val="2"/>
        <scheme val="minor"/>
      </rPr>
      <t>iii</t>
    </r>
    <r>
      <rPr>
        <sz val="11"/>
        <color theme="1"/>
        <rFont val="Calibri"/>
        <family val="2"/>
        <scheme val="minor"/>
      </rPr>
      <t xml:space="preserve">. Total includes the combined endowment assets from the University of Minnesota and the University of Minnesota Foundation. The full 2018 NTSE report incorporates separate information for each of these individual institutions.  </t>
    </r>
  </si>
  <si>
    <r>
      <rPr>
        <vertAlign val="superscript"/>
        <sz val="11"/>
        <color theme="1"/>
        <rFont val="Calibri"/>
        <family val="2"/>
        <scheme val="minor"/>
      </rPr>
      <t>iv</t>
    </r>
    <r>
      <rPr>
        <sz val="11"/>
        <color theme="1"/>
        <rFont val="Calibri"/>
        <family val="2"/>
        <scheme val="minor"/>
      </rPr>
      <t xml:space="preserve">. Total includes the combined endowment assets from the University of Illinois and the University of Illinois Foundation. The full 2018 NTSE report incorporates separate information for each of these individual institutions.  </t>
    </r>
  </si>
  <si>
    <r>
      <rPr>
        <vertAlign val="superscript"/>
        <sz val="11"/>
        <color theme="1"/>
        <rFont val="Calibri"/>
        <family val="2"/>
        <scheme val="minor"/>
      </rPr>
      <t>viii</t>
    </r>
    <r>
      <rPr>
        <sz val="11"/>
        <color theme="1"/>
        <rFont val="Calibri"/>
        <family val="2"/>
        <scheme val="minor"/>
      </rPr>
      <t xml:space="preserve">. Total includes the combined endowment assets from the University System of New Hampshire and the University of New Hampshire Foundation. The full 2018 NTSE report incorporates separate information for each of these individual institutions.  </t>
    </r>
  </si>
  <si>
    <r>
      <t>U.S. and Canadian Institutions Listed by Fiscal Year (FY) 2018 Endowment Market Value and Change in Endowment Market Value</t>
    </r>
    <r>
      <rPr>
        <b/>
        <u/>
        <vertAlign val="superscript"/>
        <sz val="11"/>
        <color theme="1"/>
        <rFont val="Calibri"/>
        <family val="2"/>
        <scheme val="minor"/>
      </rPr>
      <t>2</t>
    </r>
    <r>
      <rPr>
        <b/>
        <u/>
        <sz val="11"/>
        <color theme="1"/>
        <rFont val="Calibri"/>
        <family val="2"/>
        <scheme val="minor"/>
      </rPr>
      <t xml:space="preserve"> from FY17 to FY18</t>
    </r>
  </si>
  <si>
    <t>Appleton</t>
  </si>
  <si>
    <t>Rochester Hills</t>
  </si>
  <si>
    <t>DeSales University</t>
  </si>
  <si>
    <t>Coastal Educational Foundation--Coastal Carolina University</t>
  </si>
  <si>
    <t>Elkins Park</t>
  </si>
  <si>
    <r>
      <t>The Texas A&amp;M University System</t>
    </r>
    <r>
      <rPr>
        <vertAlign val="superscript"/>
        <sz val="11"/>
        <color theme="1"/>
        <rFont val="Calibri"/>
        <family val="2"/>
        <scheme val="minor"/>
      </rPr>
      <t>i</t>
    </r>
  </si>
  <si>
    <r>
      <t>New York University</t>
    </r>
    <r>
      <rPr>
        <vertAlign val="superscript"/>
        <sz val="11"/>
        <color theme="1"/>
        <rFont val="Calibri"/>
        <family val="2"/>
        <scheme val="minor"/>
      </rPr>
      <t>ii</t>
    </r>
  </si>
  <si>
    <r>
      <t>University of Minnesota &amp; Foundation</t>
    </r>
    <r>
      <rPr>
        <vertAlign val="superscript"/>
        <sz val="11"/>
        <color theme="1"/>
        <rFont val="Calibri"/>
        <family val="2"/>
        <scheme val="minor"/>
      </rPr>
      <t>iii</t>
    </r>
  </si>
  <si>
    <r>
      <t>University of Illinois &amp; Foundation</t>
    </r>
    <r>
      <rPr>
        <vertAlign val="superscript"/>
        <sz val="11"/>
        <color theme="1"/>
        <rFont val="Calibri"/>
        <family val="2"/>
        <scheme val="minor"/>
      </rPr>
      <t>iv</t>
    </r>
  </si>
  <si>
    <r>
      <t>Carnegie Mellon University</t>
    </r>
    <r>
      <rPr>
        <vertAlign val="superscript"/>
        <sz val="11"/>
        <color theme="1"/>
        <rFont val="Calibri"/>
        <family val="2"/>
        <scheme val="minor"/>
      </rPr>
      <t>v</t>
    </r>
  </si>
  <si>
    <r>
      <t>University of Miami</t>
    </r>
    <r>
      <rPr>
        <vertAlign val="superscript"/>
        <sz val="11"/>
        <color theme="1"/>
        <rFont val="Calibri"/>
        <family val="2"/>
        <scheme val="minor"/>
      </rPr>
      <t>vi</t>
    </r>
  </si>
  <si>
    <r>
      <t>LSU System</t>
    </r>
    <r>
      <rPr>
        <vertAlign val="superscript"/>
        <sz val="11"/>
        <color theme="1"/>
        <rFont val="Calibri"/>
        <family val="2"/>
        <scheme val="minor"/>
      </rPr>
      <t>vii</t>
    </r>
  </si>
  <si>
    <r>
      <t>University System of New Hampshire &amp; Foundation</t>
    </r>
    <r>
      <rPr>
        <vertAlign val="superscript"/>
        <sz val="11"/>
        <color theme="1"/>
        <rFont val="Calibri"/>
        <family val="2"/>
        <scheme val="minor"/>
      </rPr>
      <t>viii</t>
    </r>
  </si>
  <si>
    <r>
      <t>Oregon Health &amp; Science University Foundation</t>
    </r>
    <r>
      <rPr>
        <vertAlign val="superscript"/>
        <sz val="11"/>
        <color theme="1"/>
        <rFont val="Calibri"/>
        <family val="2"/>
        <scheme val="minor"/>
      </rPr>
      <t>ix</t>
    </r>
  </si>
  <si>
    <r>
      <t>Abilene Christian University</t>
    </r>
    <r>
      <rPr>
        <vertAlign val="superscript"/>
        <sz val="11"/>
        <color theme="1"/>
        <rFont val="Calibri"/>
        <family val="2"/>
        <scheme val="minor"/>
      </rPr>
      <t>x</t>
    </r>
  </si>
  <si>
    <r>
      <t>Chapman University</t>
    </r>
    <r>
      <rPr>
        <vertAlign val="superscript"/>
        <sz val="11"/>
        <color theme="1"/>
        <rFont val="Calibri"/>
        <family val="2"/>
        <scheme val="minor"/>
      </rPr>
      <t>xi</t>
    </r>
  </si>
  <si>
    <r>
      <rPr>
        <vertAlign val="superscript"/>
        <sz val="11"/>
        <color theme="1"/>
        <rFont val="Calibri"/>
        <family val="2"/>
        <scheme val="minor"/>
      </rPr>
      <t xml:space="preserve">xi. </t>
    </r>
    <r>
      <rPr>
        <sz val="11"/>
        <color theme="1"/>
        <rFont val="Calibri"/>
        <family val="2"/>
        <scheme val="minor"/>
      </rPr>
      <t xml:space="preserve">Chapman University’s fiscal year-end date is 5/31. The endowment values show are for 5/31/2018 (for FY18) and 5/31/2017 (for FY17). </t>
    </r>
  </si>
  <si>
    <r>
      <t>University of Nevada, Reno (UNR)</t>
    </r>
    <r>
      <rPr>
        <vertAlign val="superscript"/>
        <sz val="11"/>
        <color theme="1"/>
        <rFont val="Calibri"/>
        <family val="2"/>
        <scheme val="minor"/>
      </rPr>
      <t>xii</t>
    </r>
  </si>
  <si>
    <r>
      <t>Willamette University</t>
    </r>
    <r>
      <rPr>
        <vertAlign val="superscript"/>
        <sz val="11"/>
        <color theme="1"/>
        <rFont val="Calibri"/>
        <family val="2"/>
        <scheme val="minor"/>
      </rPr>
      <t>xiii</t>
    </r>
  </si>
  <si>
    <r>
      <t>Old Dominion University Educational Foundation</t>
    </r>
    <r>
      <rPr>
        <vertAlign val="superscript"/>
        <sz val="11"/>
        <color theme="1"/>
        <rFont val="Calibri"/>
        <family val="2"/>
        <scheme val="minor"/>
      </rPr>
      <t>xiv</t>
    </r>
  </si>
  <si>
    <r>
      <t>Ohio Northern University</t>
    </r>
    <r>
      <rPr>
        <vertAlign val="superscript"/>
        <sz val="11"/>
        <color theme="1"/>
        <rFont val="Calibri"/>
        <family val="2"/>
        <scheme val="minor"/>
      </rPr>
      <t>xv</t>
    </r>
  </si>
  <si>
    <r>
      <t>Indiana University of Pennsylvania &amp; Foundation</t>
    </r>
    <r>
      <rPr>
        <vertAlign val="superscript"/>
        <sz val="11"/>
        <color theme="1"/>
        <rFont val="Calibri"/>
        <family val="2"/>
        <scheme val="minor"/>
      </rPr>
      <t>xvi</t>
    </r>
  </si>
  <si>
    <r>
      <rPr>
        <vertAlign val="superscript"/>
        <sz val="11"/>
        <color theme="1"/>
        <rFont val="Calibri"/>
        <family val="2"/>
        <scheme val="minor"/>
      </rPr>
      <t>xiii</t>
    </r>
    <r>
      <rPr>
        <sz val="11"/>
        <color theme="1"/>
        <rFont val="Calibri"/>
        <family val="2"/>
        <scheme val="minor"/>
      </rPr>
      <t>. Willamette University's fiscal year-end is 5/31 but endowment values are reported for the year ending 6/30.</t>
    </r>
  </si>
  <si>
    <r>
      <rPr>
        <vertAlign val="superscript"/>
        <sz val="11"/>
        <color theme="1"/>
        <rFont val="Calibri"/>
        <family val="2"/>
        <scheme val="minor"/>
      </rPr>
      <t>xiv</t>
    </r>
    <r>
      <rPr>
        <sz val="11"/>
        <color theme="1"/>
        <rFont val="Calibri"/>
        <family val="2"/>
        <scheme val="minor"/>
      </rPr>
      <t>. Total includes the combined assets from the Old Dominion University endowment, the Educational Foundation, the Athletic Foundation, and the Real Estate Foundation.</t>
    </r>
  </si>
  <si>
    <r>
      <rPr>
        <vertAlign val="superscript"/>
        <sz val="11"/>
        <color theme="1"/>
        <rFont val="Calibri"/>
        <family val="2"/>
        <scheme val="minor"/>
      </rPr>
      <t>xv</t>
    </r>
    <r>
      <rPr>
        <sz val="11"/>
        <color theme="1"/>
        <rFont val="Calibri"/>
        <family val="2"/>
        <scheme val="minor"/>
      </rPr>
      <t>. Ohio Northern University's fiscal year-end is 5/31 but endowment values are reported for 6/30.</t>
    </r>
  </si>
  <si>
    <r>
      <rPr>
        <vertAlign val="superscript"/>
        <sz val="11"/>
        <color theme="1"/>
        <rFont val="Calibri"/>
        <family val="2"/>
        <scheme val="minor"/>
      </rPr>
      <t>xvi</t>
    </r>
    <r>
      <rPr>
        <sz val="11"/>
        <color theme="1"/>
        <rFont val="Calibri"/>
        <family val="2"/>
        <scheme val="minor"/>
      </rPr>
      <t>. Total includes the combined endowment assets from the Indiana University of Pennsylvania and the Indiana University of Pennsylvania Foundation. The full 2018 NTSE report includes separate information from each of these individual institutions.</t>
    </r>
  </si>
  <si>
    <r>
      <rPr>
        <vertAlign val="superscript"/>
        <sz val="11"/>
        <color theme="1"/>
        <rFont val="Calibri"/>
        <family val="2"/>
        <scheme val="minor"/>
      </rPr>
      <t>xvii</t>
    </r>
    <r>
      <rPr>
        <sz val="11"/>
        <color theme="1"/>
        <rFont val="Calibri"/>
        <family val="2"/>
        <scheme val="minor"/>
      </rPr>
      <t>. Total includes the combined endowment assets from the West Chester University of Pennsylvania and the West Chester University of Pennsylvania Foundation. The full 2018 NTSE report includes separate information from each of these individual institutions.</t>
    </r>
  </si>
  <si>
    <r>
      <t>West Chester University &amp; Foundation</t>
    </r>
    <r>
      <rPr>
        <vertAlign val="superscript"/>
        <sz val="11"/>
        <color theme="1"/>
        <rFont val="Calibri"/>
        <family val="2"/>
        <scheme val="minor"/>
      </rPr>
      <t>xvii</t>
    </r>
  </si>
  <si>
    <t>State University of New York College at Oneonta</t>
  </si>
  <si>
    <t>Southern Illinois University Edwardsville Foundation</t>
  </si>
  <si>
    <t>University of Dayton</t>
  </si>
  <si>
    <t>Westminster College of Salt Lake City</t>
  </si>
  <si>
    <t>University of Arkansas Foundation</t>
  </si>
  <si>
    <t>Little Rock</t>
  </si>
  <si>
    <t>Reading</t>
  </si>
  <si>
    <t>Austin Presbyterian Theological Seminary</t>
  </si>
  <si>
    <t>Ferris State University (The Ferris Foundation)</t>
  </si>
  <si>
    <t>California State University San Bernardino Philanthropic Foundation</t>
  </si>
  <si>
    <t>National-Louis University</t>
  </si>
  <si>
    <t>Northwest Missouri State University (Northwest Foundation)</t>
  </si>
  <si>
    <r>
      <rPr>
        <vertAlign val="superscript"/>
        <sz val="11"/>
        <color theme="1"/>
        <rFont val="Calibri"/>
        <family val="2"/>
        <scheme val="minor"/>
      </rPr>
      <t>xii</t>
    </r>
    <r>
      <rPr>
        <sz val="11"/>
        <color theme="1"/>
        <rFont val="Calibri"/>
        <family val="2"/>
        <scheme val="minor"/>
      </rPr>
      <t>.Total includes the combined assets from the University of Nevada, Reno (UNR) endowment, UNR Foundation, and the Athletic Association of Nevada, Reno Endowment.</t>
    </r>
  </si>
  <si>
    <r>
      <rPr>
        <vertAlign val="superscript"/>
        <sz val="11"/>
        <color theme="1"/>
        <rFont val="Calibri"/>
        <family val="2"/>
        <scheme val="minor"/>
      </rPr>
      <t>v</t>
    </r>
    <r>
      <rPr>
        <sz val="11"/>
        <color theme="1"/>
        <rFont val="Calibri"/>
        <family val="2"/>
        <scheme val="minor"/>
      </rPr>
      <t xml:space="preserve">. Total includes the combined endowment assets of Carnegie Mellon University and a portion of assets held by the Dietrich Foundation reflecting CMU’s allocation as a named beneficiary. The full 2018 NTSE report reflects information for the CMU endowment only.  </t>
    </r>
  </si>
  <si>
    <r>
      <rPr>
        <vertAlign val="superscript"/>
        <sz val="11"/>
        <color theme="1"/>
        <rFont val="Calibri"/>
        <family val="2"/>
        <scheme val="minor"/>
      </rPr>
      <t>2</t>
    </r>
    <r>
      <rPr>
        <sz val="11"/>
        <color theme="1"/>
        <rFont val="Calibri"/>
        <family val="2"/>
        <scheme val="minor"/>
      </rPr>
      <t xml:space="preserve">. The change in market values listed for the participating institutions </t>
    </r>
    <r>
      <rPr>
        <b/>
        <u/>
        <sz val="11"/>
        <color theme="1"/>
        <rFont val="Calibri"/>
        <family val="2"/>
        <scheme val="minor"/>
      </rPr>
      <t>DOES NOT</t>
    </r>
    <r>
      <rPr>
        <sz val="11"/>
        <color theme="1"/>
        <rFont val="Calibri"/>
        <family val="2"/>
        <scheme val="minor"/>
      </rPr>
      <t xml:space="preserve"> represent the investment rate of return for the endowments’ investments. Rather, the change in the market value of an endowment from FY117 to FY18 reflects the net impact of:</t>
    </r>
  </si>
  <si>
    <t>Rensselaer Polytechnic Institute</t>
  </si>
  <si>
    <t xml:space="preserve">Source: NACUBO and TIAA, 2018 NACUBO-TIAA Study of Endowments. This table was created in January 2019 and revised in June 2019. Any changes made after January are not reflected in the full 2018 NTSE final report.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</si>
</sst>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_(* #,##0_);_(* \(#,##0\);_(* &quot;-&quot;??_);_(@_)"/>
  </numFmts>
  <fonts count="8" x14ac:knownFonts="1">
    <font>
      <sz val="11"/>
      <color theme="1"/>
      <name val="Calibri"/>
      <family val="2"/>
      <scheme val="minor"/>
    </font>
    <font>
      <sz val="11"/>
      <color theme="1"/>
      <name val="Calibri"/>
      <family val="2"/>
      <scheme val="minor"/>
    </font>
    <font>
      <b/>
      <sz val="11"/>
      <color theme="1"/>
      <name val="Calibri"/>
      <family val="2"/>
      <scheme val="minor"/>
    </font>
    <font>
      <b/>
      <vertAlign val="superscript"/>
      <sz val="11"/>
      <color theme="1"/>
      <name val="Calibri"/>
      <family val="2"/>
      <scheme val="minor"/>
    </font>
    <font>
      <vertAlign val="superscript"/>
      <sz val="11"/>
      <color theme="1"/>
      <name val="Calibri"/>
      <family val="2"/>
      <scheme val="minor"/>
    </font>
    <font>
      <b/>
      <u/>
      <sz val="11"/>
      <color theme="1"/>
      <name val="Calibri"/>
      <family val="2"/>
      <scheme val="minor"/>
    </font>
    <font>
      <b/>
      <u/>
      <vertAlign val="superscript"/>
      <sz val="11"/>
      <color theme="1"/>
      <name val="Calibri"/>
      <family val="2"/>
      <scheme val="minor"/>
    </font>
    <font>
      <sz val="11"/>
      <color theme="1"/>
      <name val="Times New Roman"/>
      <family val="1"/>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2">
    <xf numFmtId="0" fontId="0" fillId="0" borderId="0"/>
    <xf numFmtId="43" fontId="1" fillId="0" borderId="0" applyFont="0" applyFill="0" applyBorder="0" applyAlignment="0" applyProtection="0"/>
  </cellStyleXfs>
  <cellXfs count="35">
    <xf numFmtId="0" fontId="0" fillId="0" borderId="0" xfId="0"/>
    <xf numFmtId="164" fontId="0" fillId="0" borderId="0" xfId="0" applyNumberFormat="1"/>
    <xf numFmtId="1" fontId="0" fillId="0" borderId="0" xfId="0" applyNumberFormat="1"/>
    <xf numFmtId="0" fontId="2" fillId="2" borderId="1" xfId="0" applyFont="1" applyFill="1" applyBorder="1"/>
    <xf numFmtId="1" fontId="2" fillId="2" borderId="1" xfId="0" applyNumberFormat="1" applyFont="1" applyFill="1" applyBorder="1"/>
    <xf numFmtId="3" fontId="2" fillId="2" borderId="1" xfId="0" applyNumberFormat="1" applyFont="1" applyFill="1" applyBorder="1" applyAlignment="1">
      <alignment wrapText="1"/>
    </xf>
    <xf numFmtId="0" fontId="2" fillId="2" borderId="1" xfId="0" applyFont="1" applyFill="1" applyBorder="1" applyAlignment="1">
      <alignment wrapText="1"/>
    </xf>
    <xf numFmtId="165" fontId="2" fillId="2" borderId="1" xfId="1" applyNumberFormat="1" applyFont="1" applyFill="1" applyBorder="1" applyAlignment="1">
      <alignment wrapText="1"/>
    </xf>
    <xf numFmtId="1" fontId="2" fillId="2" borderId="1" xfId="0" applyNumberFormat="1" applyFont="1" applyFill="1" applyBorder="1" applyAlignment="1">
      <alignment wrapText="1"/>
    </xf>
    <xf numFmtId="165" fontId="0" fillId="0" borderId="0" xfId="1" applyNumberFormat="1" applyFont="1"/>
    <xf numFmtId="0" fontId="0" fillId="0" borderId="0" xfId="0" applyAlignment="1">
      <alignment horizontal="right"/>
    </xf>
    <xf numFmtId="0" fontId="0" fillId="0" borderId="0" xfId="0" applyNumberFormat="1" applyAlignment="1">
      <alignment horizontal="right"/>
    </xf>
    <xf numFmtId="10" fontId="0" fillId="0" borderId="0" xfId="0" applyNumberFormat="1" applyAlignment="1">
      <alignment horizontal="right"/>
    </xf>
    <xf numFmtId="165" fontId="0" fillId="0" borderId="0" xfId="1" applyNumberFormat="1" applyFont="1" applyAlignment="1">
      <alignment horizontal="right"/>
    </xf>
    <xf numFmtId="165" fontId="0" fillId="0" borderId="0" xfId="1" applyNumberFormat="1" applyFont="1" applyFill="1" applyBorder="1"/>
    <xf numFmtId="0" fontId="0" fillId="0" borderId="2" xfId="0" applyBorder="1"/>
    <xf numFmtId="0" fontId="0" fillId="0" borderId="0" xfId="0" applyBorder="1"/>
    <xf numFmtId="0" fontId="2" fillId="0" borderId="0" xfId="0" applyFont="1" applyBorder="1"/>
    <xf numFmtId="1" fontId="0" fillId="0" borderId="0" xfId="0" applyNumberFormat="1" applyFill="1"/>
    <xf numFmtId="0" fontId="0" fillId="0" borderId="0" xfId="0" applyFill="1"/>
    <xf numFmtId="1" fontId="2" fillId="0" borderId="0" xfId="0" applyNumberFormat="1" applyFont="1" applyFill="1"/>
    <xf numFmtId="0" fontId="2" fillId="0" borderId="0" xfId="0" applyFont="1" applyFill="1"/>
    <xf numFmtId="164" fontId="0" fillId="0" borderId="0" xfId="0" applyNumberFormat="1" applyFill="1"/>
    <xf numFmtId="165" fontId="0" fillId="0" borderId="0" xfId="1" applyNumberFormat="1" applyFont="1" applyFill="1"/>
    <xf numFmtId="1" fontId="5" fillId="0" borderId="0" xfId="0" applyNumberFormat="1" applyFont="1" applyFill="1"/>
    <xf numFmtId="0" fontId="0" fillId="0" borderId="0" xfId="0" applyBorder="1" applyAlignment="1">
      <alignment horizontal="right"/>
    </xf>
    <xf numFmtId="165" fontId="0" fillId="0" borderId="0" xfId="1" applyNumberFormat="1" applyFont="1" applyBorder="1"/>
    <xf numFmtId="164" fontId="0" fillId="0" borderId="0" xfId="0" applyNumberFormat="1" applyBorder="1"/>
    <xf numFmtId="165" fontId="0" fillId="0" borderId="0" xfId="1" applyNumberFormat="1" applyFont="1" applyFill="1" applyAlignment="1">
      <alignment horizontal="right"/>
    </xf>
    <xf numFmtId="3" fontId="0" fillId="0" borderId="0" xfId="0" applyNumberFormat="1" applyFill="1"/>
    <xf numFmtId="165" fontId="7" fillId="0" borderId="0" xfId="1" applyNumberFormat="1" applyFont="1" applyFill="1" applyBorder="1"/>
    <xf numFmtId="0" fontId="0" fillId="0" borderId="0" xfId="0" applyFill="1" applyAlignment="1">
      <alignment horizontal="right"/>
    </xf>
    <xf numFmtId="165" fontId="0" fillId="0" borderId="0" xfId="1" applyNumberFormat="1" applyFont="1" applyFill="1" applyBorder="1" applyAlignment="1">
      <alignment horizontal="right"/>
    </xf>
    <xf numFmtId="3" fontId="0" fillId="0" borderId="0" xfId="0" applyNumberFormat="1" applyFill="1" applyAlignment="1">
      <alignment horizontal="right"/>
    </xf>
    <xf numFmtId="0" fontId="0" fillId="0" borderId="0" xfId="0" applyFill="1" applyBorder="1" applyAlignment="1">
      <alignment horizontal="right"/>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M882"/>
  <sheetViews>
    <sheetView tabSelected="1" workbookViewId="0">
      <pane ySplit="6" topLeftCell="A7" activePane="bottomLeft" state="frozen"/>
      <selection pane="bottomLeft" activeCell="A820" sqref="A820"/>
    </sheetView>
  </sheetViews>
  <sheetFormatPr defaultRowHeight="15" x14ac:dyDescent="0.25"/>
  <cols>
    <col min="3" max="3" width="70.28515625" customWidth="1"/>
    <col min="4" max="4" width="17.42578125" customWidth="1"/>
    <col min="6" max="6" width="13.5703125" customWidth="1"/>
    <col min="7" max="7" width="12.140625" customWidth="1"/>
    <col min="9" max="9" width="14" customWidth="1"/>
    <col min="10" max="10" width="13.28515625" customWidth="1"/>
    <col min="12" max="12" width="10.5703125" customWidth="1"/>
    <col min="13" max="13" width="13.28515625" customWidth="1"/>
  </cols>
  <sheetData>
    <row r="3" spans="1:13" ht="17.25" x14ac:dyDescent="0.25">
      <c r="C3" s="24" t="s">
        <v>1439</v>
      </c>
      <c r="D3" s="18"/>
      <c r="E3" s="19"/>
      <c r="F3" s="19"/>
    </row>
    <row r="6" spans="1:13" ht="77.25" x14ac:dyDescent="0.25">
      <c r="A6" s="3" t="s">
        <v>0</v>
      </c>
      <c r="B6" s="4" t="s">
        <v>1376</v>
      </c>
      <c r="C6" s="3" t="s">
        <v>1375</v>
      </c>
      <c r="D6" s="3" t="s">
        <v>1</v>
      </c>
      <c r="E6" s="3" t="s">
        <v>2</v>
      </c>
      <c r="F6" s="5" t="s">
        <v>1381</v>
      </c>
      <c r="G6" s="5" t="s">
        <v>1382</v>
      </c>
      <c r="H6" s="6" t="s">
        <v>1377</v>
      </c>
      <c r="I6" s="6" t="s">
        <v>1383</v>
      </c>
      <c r="J6" s="7" t="s">
        <v>1398</v>
      </c>
      <c r="K6" s="6" t="s">
        <v>1378</v>
      </c>
      <c r="L6" s="6" t="s">
        <v>1379</v>
      </c>
      <c r="M6" s="8" t="s">
        <v>1380</v>
      </c>
    </row>
    <row r="7" spans="1:13" x14ac:dyDescent="0.25">
      <c r="A7" s="2">
        <f>RANK(F7,F$7:F$817,0)</f>
        <v>1</v>
      </c>
      <c r="B7" s="2">
        <v>166027</v>
      </c>
      <c r="C7" t="s">
        <v>3</v>
      </c>
      <c r="D7" t="s">
        <v>4</v>
      </c>
      <c r="E7" t="s">
        <v>5</v>
      </c>
      <c r="F7" s="9">
        <v>38303383</v>
      </c>
      <c r="G7" s="9">
        <v>36021516</v>
      </c>
      <c r="H7" s="1">
        <f t="shared" ref="H7:H70" si="0">((F7-G7)/G7)*100</f>
        <v>6.3347333854577359</v>
      </c>
      <c r="I7" s="28" t="s">
        <v>119</v>
      </c>
      <c r="J7" s="13" t="s">
        <v>119</v>
      </c>
      <c r="K7" s="11">
        <v>2</v>
      </c>
      <c r="L7" s="11">
        <v>2</v>
      </c>
      <c r="M7" s="11">
        <v>2</v>
      </c>
    </row>
    <row r="8" spans="1:13" x14ac:dyDescent="0.25">
      <c r="A8" s="2">
        <f t="shared" ref="A8:A71" si="1">RANK(F8,F$7:F$817,0)</f>
        <v>2</v>
      </c>
      <c r="B8" s="2">
        <v>229090</v>
      </c>
      <c r="C8" t="s">
        <v>6</v>
      </c>
      <c r="D8" t="s">
        <v>7</v>
      </c>
      <c r="E8" t="s">
        <v>8</v>
      </c>
      <c r="F8" s="9">
        <v>30886018</v>
      </c>
      <c r="G8" s="9">
        <v>26535095</v>
      </c>
      <c r="H8" s="1">
        <f t="shared" si="0"/>
        <v>16.396862344001406</v>
      </c>
      <c r="I8" s="30">
        <v>185768</v>
      </c>
      <c r="J8" s="9">
        <f t="shared" ref="J8:J23" si="2">(F8*1000)/I8</f>
        <v>166261.23982601956</v>
      </c>
      <c r="K8" s="11">
        <v>0</v>
      </c>
      <c r="L8" s="11">
        <v>2</v>
      </c>
      <c r="M8" s="11">
        <v>0</v>
      </c>
    </row>
    <row r="9" spans="1:13" x14ac:dyDescent="0.25">
      <c r="A9" s="2">
        <f t="shared" si="1"/>
        <v>3</v>
      </c>
      <c r="B9" s="2">
        <v>130794</v>
      </c>
      <c r="C9" t="s">
        <v>9</v>
      </c>
      <c r="D9" t="s">
        <v>10</v>
      </c>
      <c r="E9" t="s">
        <v>11</v>
      </c>
      <c r="F9" s="9">
        <v>29351100</v>
      </c>
      <c r="G9" s="9">
        <v>27176100</v>
      </c>
      <c r="H9" s="1">
        <f t="shared" si="0"/>
        <v>8.0033558899179784</v>
      </c>
      <c r="I9" s="23">
        <v>12926</v>
      </c>
      <c r="J9" s="9">
        <f t="shared" si="2"/>
        <v>2270702.4601578214</v>
      </c>
      <c r="K9" s="11">
        <v>2</v>
      </c>
      <c r="L9" s="11">
        <v>2</v>
      </c>
      <c r="M9" s="11">
        <v>2</v>
      </c>
    </row>
    <row r="10" spans="1:13" x14ac:dyDescent="0.25">
      <c r="A10" s="2">
        <f t="shared" si="1"/>
        <v>4</v>
      </c>
      <c r="B10" s="2">
        <v>243744</v>
      </c>
      <c r="C10" t="s">
        <v>12</v>
      </c>
      <c r="D10" t="s">
        <v>13</v>
      </c>
      <c r="E10" t="s">
        <v>14</v>
      </c>
      <c r="F10" s="9">
        <v>26464912</v>
      </c>
      <c r="G10" s="9">
        <v>24784943</v>
      </c>
      <c r="H10" s="1">
        <f t="shared" si="0"/>
        <v>6.7781838352422268</v>
      </c>
      <c r="I10" s="30">
        <v>16472</v>
      </c>
      <c r="J10" s="9">
        <f t="shared" si="2"/>
        <v>1606660.5148130159</v>
      </c>
      <c r="K10" s="11">
        <v>2</v>
      </c>
      <c r="L10" s="11">
        <v>2</v>
      </c>
      <c r="M10" s="11">
        <v>2</v>
      </c>
    </row>
    <row r="11" spans="1:13" x14ac:dyDescent="0.25">
      <c r="A11" s="2">
        <f t="shared" si="1"/>
        <v>5</v>
      </c>
      <c r="B11" s="2">
        <v>186131</v>
      </c>
      <c r="C11" t="s">
        <v>15</v>
      </c>
      <c r="D11" t="s">
        <v>16</v>
      </c>
      <c r="E11" t="s">
        <v>17</v>
      </c>
      <c r="F11" s="9">
        <v>25917199</v>
      </c>
      <c r="G11" s="9">
        <v>23812241</v>
      </c>
      <c r="H11" s="1">
        <f t="shared" si="0"/>
        <v>8.8398147826573741</v>
      </c>
      <c r="I11" s="23">
        <v>8184</v>
      </c>
      <c r="J11" s="9">
        <f t="shared" si="2"/>
        <v>3166813.1720430106</v>
      </c>
      <c r="K11" s="11">
        <v>2</v>
      </c>
      <c r="L11" s="11">
        <v>2</v>
      </c>
      <c r="M11" s="11">
        <v>2</v>
      </c>
    </row>
    <row r="12" spans="1:13" x14ac:dyDescent="0.25">
      <c r="A12" s="2">
        <f t="shared" si="1"/>
        <v>6</v>
      </c>
      <c r="B12" s="2">
        <v>166683</v>
      </c>
      <c r="C12" t="s">
        <v>18</v>
      </c>
      <c r="D12" t="s">
        <v>19</v>
      </c>
      <c r="E12" t="s">
        <v>5</v>
      </c>
      <c r="F12" s="9">
        <v>16529432</v>
      </c>
      <c r="G12" s="9">
        <v>14967983</v>
      </c>
      <c r="H12" s="1">
        <f t="shared" si="0"/>
        <v>10.43192659959595</v>
      </c>
      <c r="I12" s="30">
        <v>11276</v>
      </c>
      <c r="J12" s="9">
        <f t="shared" si="2"/>
        <v>1465894.9982263213</v>
      </c>
      <c r="K12" s="11">
        <v>2</v>
      </c>
      <c r="L12" s="11">
        <v>2</v>
      </c>
      <c r="M12" s="11">
        <v>2</v>
      </c>
    </row>
    <row r="13" spans="1:13" x14ac:dyDescent="0.25">
      <c r="A13" s="2">
        <f t="shared" si="1"/>
        <v>7</v>
      </c>
      <c r="B13" s="2">
        <v>215062</v>
      </c>
      <c r="C13" t="s">
        <v>20</v>
      </c>
      <c r="D13" t="s">
        <v>21</v>
      </c>
      <c r="E13" t="s">
        <v>22</v>
      </c>
      <c r="F13" s="9">
        <v>13777441</v>
      </c>
      <c r="G13" s="9">
        <v>12213202</v>
      </c>
      <c r="H13" s="1">
        <f t="shared" si="0"/>
        <v>12.807771459114489</v>
      </c>
      <c r="I13" s="23">
        <v>22855</v>
      </c>
      <c r="J13" s="9">
        <f t="shared" si="2"/>
        <v>602819.55808357033</v>
      </c>
      <c r="K13" s="11">
        <v>2</v>
      </c>
      <c r="L13" s="11">
        <v>2</v>
      </c>
      <c r="M13" s="11">
        <v>2</v>
      </c>
    </row>
    <row r="14" spans="1:13" ht="17.25" x14ac:dyDescent="0.25">
      <c r="A14" s="2">
        <f t="shared" si="1"/>
        <v>8</v>
      </c>
      <c r="B14" s="2">
        <v>228732</v>
      </c>
      <c r="C14" t="s">
        <v>1445</v>
      </c>
      <c r="D14" t="s">
        <v>23</v>
      </c>
      <c r="E14" t="s">
        <v>8</v>
      </c>
      <c r="F14" s="23">
        <v>13524947</v>
      </c>
      <c r="G14" s="9">
        <v>11556260</v>
      </c>
      <c r="H14" s="22">
        <f t="shared" si="0"/>
        <v>17.035675902065201</v>
      </c>
      <c r="I14" s="23">
        <v>151897</v>
      </c>
      <c r="J14" s="9">
        <f t="shared" si="2"/>
        <v>89040.250959531782</v>
      </c>
      <c r="K14" s="11">
        <v>0</v>
      </c>
      <c r="L14" s="11">
        <v>2</v>
      </c>
      <c r="M14" s="11">
        <v>0</v>
      </c>
    </row>
    <row r="15" spans="1:13" x14ac:dyDescent="0.25">
      <c r="A15" s="2">
        <f t="shared" si="1"/>
        <v>9</v>
      </c>
      <c r="B15" s="2">
        <v>170976</v>
      </c>
      <c r="C15" t="s">
        <v>24</v>
      </c>
      <c r="D15" t="s">
        <v>25</v>
      </c>
      <c r="E15" t="s">
        <v>26</v>
      </c>
      <c r="F15" s="9">
        <v>11901760</v>
      </c>
      <c r="G15" s="9">
        <v>10936014</v>
      </c>
      <c r="H15" s="1">
        <f t="shared" si="0"/>
        <v>8.8308775025342872</v>
      </c>
      <c r="I15" s="23">
        <v>56741</v>
      </c>
      <c r="J15" s="9">
        <f t="shared" si="2"/>
        <v>209755.90842600589</v>
      </c>
      <c r="K15" s="11">
        <v>1</v>
      </c>
      <c r="L15" s="11">
        <v>2</v>
      </c>
      <c r="M15" s="11">
        <v>2</v>
      </c>
    </row>
    <row r="16" spans="1:13" x14ac:dyDescent="0.25">
      <c r="A16" s="2">
        <f t="shared" si="1"/>
        <v>10</v>
      </c>
      <c r="B16" s="2">
        <v>147767</v>
      </c>
      <c r="C16" t="s">
        <v>27</v>
      </c>
      <c r="D16" t="s">
        <v>28</v>
      </c>
      <c r="E16" t="s">
        <v>29</v>
      </c>
      <c r="F16" s="9">
        <v>11087659</v>
      </c>
      <c r="G16" s="9">
        <v>10436692</v>
      </c>
      <c r="H16" s="1">
        <f t="shared" si="0"/>
        <v>6.2372924294402861</v>
      </c>
      <c r="I16" s="23">
        <v>19112</v>
      </c>
      <c r="J16" s="9">
        <f t="shared" si="2"/>
        <v>580141.22017580573</v>
      </c>
      <c r="K16" s="11">
        <v>2</v>
      </c>
      <c r="L16" s="11">
        <v>2</v>
      </c>
      <c r="M16" s="11">
        <v>2</v>
      </c>
    </row>
    <row r="17" spans="1:13" x14ac:dyDescent="0.25">
      <c r="A17" s="2">
        <f t="shared" si="1"/>
        <v>11</v>
      </c>
      <c r="B17" s="2">
        <v>124557</v>
      </c>
      <c r="C17" t="s">
        <v>30</v>
      </c>
      <c r="D17" t="s">
        <v>31</v>
      </c>
      <c r="E17" t="s">
        <v>14</v>
      </c>
      <c r="F17" s="9">
        <v>11008035</v>
      </c>
      <c r="G17" s="9">
        <v>9638705</v>
      </c>
      <c r="H17" s="1">
        <f t="shared" si="0"/>
        <v>14.206576505868787</v>
      </c>
      <c r="I17" s="23">
        <v>270112</v>
      </c>
      <c r="J17" s="9">
        <f t="shared" si="2"/>
        <v>40753.594805117878</v>
      </c>
      <c r="K17" s="11">
        <v>0</v>
      </c>
      <c r="L17" s="11">
        <v>2</v>
      </c>
      <c r="M17" s="11">
        <v>0</v>
      </c>
    </row>
    <row r="18" spans="1:13" x14ac:dyDescent="0.25">
      <c r="A18" s="2">
        <f t="shared" si="1"/>
        <v>12</v>
      </c>
      <c r="B18" s="2">
        <v>190150</v>
      </c>
      <c r="C18" t="s">
        <v>32</v>
      </c>
      <c r="D18" t="s">
        <v>33</v>
      </c>
      <c r="E18" t="s">
        <v>34</v>
      </c>
      <c r="F18" s="9">
        <v>10869245</v>
      </c>
      <c r="G18" s="9">
        <v>9996596</v>
      </c>
      <c r="H18" s="1">
        <f t="shared" si="0"/>
        <v>8.7294615086975611</v>
      </c>
      <c r="I18" s="23">
        <v>27079</v>
      </c>
      <c r="J18" s="9">
        <f t="shared" si="2"/>
        <v>401390.19166143506</v>
      </c>
      <c r="K18" s="11">
        <v>2</v>
      </c>
      <c r="L18" s="11">
        <v>2</v>
      </c>
      <c r="M18" s="11">
        <v>2</v>
      </c>
    </row>
    <row r="19" spans="1:13" x14ac:dyDescent="0.25">
      <c r="A19" s="2">
        <f t="shared" si="1"/>
        <v>13</v>
      </c>
      <c r="B19" s="2">
        <v>152080</v>
      </c>
      <c r="C19" t="s">
        <v>35</v>
      </c>
      <c r="D19" t="s">
        <v>36</v>
      </c>
      <c r="E19" t="s">
        <v>37</v>
      </c>
      <c r="F19" s="9">
        <v>10727653</v>
      </c>
      <c r="G19" s="9">
        <v>9352376</v>
      </c>
      <c r="H19" s="1">
        <f t="shared" si="0"/>
        <v>14.705108092317932</v>
      </c>
      <c r="I19" s="23">
        <v>12336</v>
      </c>
      <c r="J19" s="9">
        <f t="shared" si="2"/>
        <v>869621.67639429308</v>
      </c>
      <c r="K19" s="11">
        <v>2</v>
      </c>
      <c r="L19" s="11">
        <v>2</v>
      </c>
      <c r="M19" s="11">
        <v>2</v>
      </c>
    </row>
    <row r="20" spans="1:13" x14ac:dyDescent="0.25">
      <c r="A20" s="2">
        <f t="shared" si="1"/>
        <v>14</v>
      </c>
      <c r="B20" s="2">
        <v>198419</v>
      </c>
      <c r="C20" t="s">
        <v>38</v>
      </c>
      <c r="D20" t="s">
        <v>39</v>
      </c>
      <c r="E20" t="s">
        <v>40</v>
      </c>
      <c r="F20" s="9">
        <v>8524846</v>
      </c>
      <c r="G20" s="9">
        <v>7911175</v>
      </c>
      <c r="H20" s="1">
        <f t="shared" si="0"/>
        <v>7.7570146027612834</v>
      </c>
      <c r="I20" s="23">
        <v>15727</v>
      </c>
      <c r="J20" s="9">
        <f t="shared" si="2"/>
        <v>542051.63095313788</v>
      </c>
      <c r="K20" s="11">
        <v>2</v>
      </c>
      <c r="L20" s="11">
        <v>2</v>
      </c>
      <c r="M20" s="11">
        <v>2</v>
      </c>
    </row>
    <row r="21" spans="1:13" x14ac:dyDescent="0.25">
      <c r="A21" s="2">
        <f t="shared" si="1"/>
        <v>15</v>
      </c>
      <c r="B21" s="2">
        <v>144050</v>
      </c>
      <c r="C21" t="s">
        <v>41</v>
      </c>
      <c r="D21" t="s">
        <v>42</v>
      </c>
      <c r="E21" t="s">
        <v>29</v>
      </c>
      <c r="F21" s="9">
        <v>7928485</v>
      </c>
      <c r="G21" s="9">
        <v>7523720</v>
      </c>
      <c r="H21" s="1">
        <f t="shared" si="0"/>
        <v>5.3798519881122635</v>
      </c>
      <c r="I21" s="23">
        <v>15536</v>
      </c>
      <c r="J21" s="9">
        <f t="shared" si="2"/>
        <v>510329.8789907312</v>
      </c>
      <c r="K21" s="11">
        <v>2</v>
      </c>
      <c r="L21" s="11">
        <v>2</v>
      </c>
      <c r="M21" s="11">
        <v>2</v>
      </c>
    </row>
    <row r="22" spans="1:13" x14ac:dyDescent="0.25">
      <c r="A22" s="2">
        <f t="shared" si="1"/>
        <v>16</v>
      </c>
      <c r="B22" s="2">
        <v>179867</v>
      </c>
      <c r="C22" t="s">
        <v>43</v>
      </c>
      <c r="D22" t="s">
        <v>44</v>
      </c>
      <c r="E22" t="s">
        <v>45</v>
      </c>
      <c r="F22" s="9">
        <v>7594159</v>
      </c>
      <c r="G22" s="9">
        <v>7130514</v>
      </c>
      <c r="H22" s="1">
        <f t="shared" si="0"/>
        <v>6.5022661760428493</v>
      </c>
      <c r="I22" s="23">
        <v>14296</v>
      </c>
      <c r="J22" s="9">
        <f t="shared" si="2"/>
        <v>531208.65976496926</v>
      </c>
      <c r="K22" s="11">
        <v>2</v>
      </c>
      <c r="L22" s="11">
        <v>2</v>
      </c>
      <c r="M22" s="11">
        <v>2</v>
      </c>
    </row>
    <row r="23" spans="1:13" x14ac:dyDescent="0.25">
      <c r="A23" s="2">
        <f t="shared" si="1"/>
        <v>17</v>
      </c>
      <c r="B23" s="2">
        <v>139658</v>
      </c>
      <c r="C23" t="s">
        <v>46</v>
      </c>
      <c r="D23" t="s">
        <v>47</v>
      </c>
      <c r="E23" t="s">
        <v>48</v>
      </c>
      <c r="F23" s="9">
        <v>7292165</v>
      </c>
      <c r="G23" s="9">
        <v>6905465</v>
      </c>
      <c r="H23" s="1">
        <f t="shared" si="0"/>
        <v>5.5999125330444803</v>
      </c>
      <c r="I23" s="23">
        <v>14155</v>
      </c>
      <c r="J23" s="9">
        <f t="shared" si="2"/>
        <v>515165.31261038501</v>
      </c>
      <c r="K23" s="11">
        <v>2</v>
      </c>
      <c r="L23" s="11">
        <v>2</v>
      </c>
      <c r="M23" s="11">
        <v>2</v>
      </c>
    </row>
    <row r="24" spans="1:13" x14ac:dyDescent="0.25">
      <c r="A24" s="2">
        <f t="shared" si="1"/>
        <v>18</v>
      </c>
      <c r="B24" s="2">
        <v>190415</v>
      </c>
      <c r="C24" t="s">
        <v>49</v>
      </c>
      <c r="D24" t="s">
        <v>33</v>
      </c>
      <c r="E24" t="s">
        <v>34</v>
      </c>
      <c r="F24" s="9">
        <v>7230291</v>
      </c>
      <c r="G24" s="9">
        <v>6757750</v>
      </c>
      <c r="H24" s="1">
        <f t="shared" si="0"/>
        <v>6.9925788909030366</v>
      </c>
      <c r="I24" s="28" t="s">
        <v>119</v>
      </c>
      <c r="J24" s="13" t="s">
        <v>119</v>
      </c>
      <c r="K24" s="11">
        <v>2</v>
      </c>
      <c r="L24" s="11">
        <v>2</v>
      </c>
      <c r="M24" s="11">
        <v>2</v>
      </c>
    </row>
    <row r="25" spans="1:13" x14ac:dyDescent="0.25">
      <c r="A25" s="2">
        <f t="shared" si="1"/>
        <v>19</v>
      </c>
      <c r="B25" s="2">
        <v>234076</v>
      </c>
      <c r="C25" t="s">
        <v>50</v>
      </c>
      <c r="D25" t="s">
        <v>51</v>
      </c>
      <c r="E25" t="s">
        <v>52</v>
      </c>
      <c r="F25" s="9">
        <v>6953380</v>
      </c>
      <c r="G25" s="9">
        <v>6393561</v>
      </c>
      <c r="H25" s="1">
        <f t="shared" si="0"/>
        <v>8.7559812129734897</v>
      </c>
      <c r="I25" s="28" t="s">
        <v>119</v>
      </c>
      <c r="J25" s="13" t="s">
        <v>119</v>
      </c>
      <c r="K25" s="11">
        <v>1</v>
      </c>
      <c r="L25" s="11">
        <v>2</v>
      </c>
      <c r="M25" s="11">
        <v>2</v>
      </c>
    </row>
    <row r="26" spans="1:13" x14ac:dyDescent="0.25">
      <c r="A26" s="2">
        <f t="shared" si="1"/>
        <v>20</v>
      </c>
      <c r="B26" s="2">
        <v>227757</v>
      </c>
      <c r="C26" t="s">
        <v>53</v>
      </c>
      <c r="D26" t="s">
        <v>54</v>
      </c>
      <c r="E26" t="s">
        <v>8</v>
      </c>
      <c r="F26" s="9">
        <v>6277506</v>
      </c>
      <c r="G26" s="9">
        <v>5814444</v>
      </c>
      <c r="H26" s="1">
        <f t="shared" si="0"/>
        <v>7.9639944937125549</v>
      </c>
      <c r="I26" s="23">
        <v>6805</v>
      </c>
      <c r="J26" s="9">
        <f t="shared" ref="J26:J37" si="3">(F26*1000)/I26</f>
        <v>922484.3497428362</v>
      </c>
      <c r="K26" s="11">
        <v>2</v>
      </c>
      <c r="L26" s="11">
        <v>2</v>
      </c>
      <c r="M26" s="11">
        <v>2</v>
      </c>
    </row>
    <row r="27" spans="1:13" x14ac:dyDescent="0.25">
      <c r="A27" s="2">
        <f t="shared" si="1"/>
        <v>21</v>
      </c>
      <c r="B27" s="2">
        <v>123961</v>
      </c>
      <c r="C27" t="s">
        <v>55</v>
      </c>
      <c r="D27" t="s">
        <v>56</v>
      </c>
      <c r="E27" t="s">
        <v>14</v>
      </c>
      <c r="F27" s="9">
        <v>5544267</v>
      </c>
      <c r="G27" s="9">
        <v>5130520</v>
      </c>
      <c r="H27" s="1">
        <f t="shared" si="0"/>
        <v>8.0644262180051918</v>
      </c>
      <c r="I27" s="23">
        <v>41416</v>
      </c>
      <c r="J27" s="9">
        <f t="shared" si="3"/>
        <v>133867.7564226386</v>
      </c>
      <c r="K27" s="11">
        <v>2</v>
      </c>
      <c r="L27" s="11">
        <v>2</v>
      </c>
      <c r="M27" s="11">
        <v>2</v>
      </c>
    </row>
    <row r="28" spans="1:13" x14ac:dyDescent="0.25">
      <c r="A28" s="2">
        <f t="shared" si="1"/>
        <v>22</v>
      </c>
      <c r="B28" s="2">
        <v>182670</v>
      </c>
      <c r="C28" t="s">
        <v>57</v>
      </c>
      <c r="D28" t="s">
        <v>4</v>
      </c>
      <c r="E28" t="s">
        <v>5</v>
      </c>
      <c r="F28" s="9">
        <v>5494203</v>
      </c>
      <c r="G28" s="9">
        <v>4956494</v>
      </c>
      <c r="H28" s="1">
        <f t="shared" si="0"/>
        <v>10.848575626239031</v>
      </c>
      <c r="I28" s="29">
        <v>6513</v>
      </c>
      <c r="J28" s="9">
        <f t="shared" si="3"/>
        <v>843574.85029940121</v>
      </c>
      <c r="K28" s="11">
        <v>2</v>
      </c>
      <c r="L28" s="11">
        <v>2</v>
      </c>
      <c r="M28" s="11">
        <v>2</v>
      </c>
    </row>
    <row r="29" spans="1:13" x14ac:dyDescent="0.25">
      <c r="A29" s="2">
        <f t="shared" si="1"/>
        <v>23</v>
      </c>
      <c r="B29" s="2">
        <v>204796</v>
      </c>
      <c r="C29" t="s">
        <v>58</v>
      </c>
      <c r="D29" t="s">
        <v>59</v>
      </c>
      <c r="E29" t="s">
        <v>60</v>
      </c>
      <c r="F29" s="9">
        <v>5211434</v>
      </c>
      <c r="G29" s="9">
        <v>4253459</v>
      </c>
      <c r="H29" s="1">
        <f t="shared" si="0"/>
        <v>22.522257767149043</v>
      </c>
      <c r="I29" s="23">
        <v>60555</v>
      </c>
      <c r="J29" s="9">
        <f t="shared" si="3"/>
        <v>86061.167533647094</v>
      </c>
      <c r="K29" s="11">
        <v>1</v>
      </c>
      <c r="L29" s="11">
        <v>2</v>
      </c>
      <c r="M29" s="11">
        <v>2</v>
      </c>
    </row>
    <row r="30" spans="1:13" x14ac:dyDescent="0.25">
      <c r="A30" s="2">
        <f t="shared" si="1"/>
        <v>24</v>
      </c>
      <c r="B30" s="2">
        <v>221999</v>
      </c>
      <c r="C30" t="s">
        <v>61</v>
      </c>
      <c r="D30" t="s">
        <v>62</v>
      </c>
      <c r="E30" t="s">
        <v>63</v>
      </c>
      <c r="F30" s="9">
        <v>4608461</v>
      </c>
      <c r="G30" s="9">
        <v>4136465</v>
      </c>
      <c r="H30" s="1">
        <f t="shared" si="0"/>
        <v>11.410612684985852</v>
      </c>
      <c r="I30" s="23">
        <v>12090</v>
      </c>
      <c r="J30" s="9">
        <f t="shared" si="3"/>
        <v>381179.56989247311</v>
      </c>
      <c r="K30" s="11">
        <v>2</v>
      </c>
      <c r="L30" s="11">
        <v>2</v>
      </c>
      <c r="M30" s="11">
        <v>2</v>
      </c>
    </row>
    <row r="31" spans="1:13" x14ac:dyDescent="0.25">
      <c r="A31" s="2">
        <f t="shared" si="1"/>
        <v>25</v>
      </c>
      <c r="B31" s="2">
        <v>162928</v>
      </c>
      <c r="C31" t="s">
        <v>64</v>
      </c>
      <c r="D31" t="s">
        <v>65</v>
      </c>
      <c r="E31" t="s">
        <v>66</v>
      </c>
      <c r="F31" s="9">
        <v>4325020</v>
      </c>
      <c r="G31" s="9">
        <v>3844918</v>
      </c>
      <c r="H31" s="1">
        <f t="shared" si="0"/>
        <v>12.486664214945547</v>
      </c>
      <c r="I31" s="23">
        <v>18332</v>
      </c>
      <c r="J31" s="9">
        <f t="shared" si="3"/>
        <v>235927.34017019419</v>
      </c>
      <c r="K31" s="11">
        <v>2</v>
      </c>
      <c r="L31" s="11">
        <v>2</v>
      </c>
      <c r="M31" s="11">
        <v>2</v>
      </c>
    </row>
    <row r="32" spans="1:13" ht="17.25" x14ac:dyDescent="0.25">
      <c r="A32" s="2">
        <f t="shared" si="1"/>
        <v>26</v>
      </c>
      <c r="B32" s="2">
        <v>193900</v>
      </c>
      <c r="C32" t="s">
        <v>1446</v>
      </c>
      <c r="D32" t="s">
        <v>33</v>
      </c>
      <c r="E32" t="s">
        <v>34</v>
      </c>
      <c r="F32" s="9">
        <v>4266000</v>
      </c>
      <c r="G32" s="9">
        <v>3992000</v>
      </c>
      <c r="H32" s="1">
        <f t="shared" si="0"/>
        <v>6.8637274549098199</v>
      </c>
      <c r="I32" s="23">
        <v>46486</v>
      </c>
      <c r="J32" s="9">
        <f t="shared" si="3"/>
        <v>91769.565030331709</v>
      </c>
      <c r="K32" s="11">
        <v>2</v>
      </c>
      <c r="L32" s="11">
        <v>2</v>
      </c>
      <c r="M32" s="11">
        <v>2</v>
      </c>
    </row>
    <row r="33" spans="1:13" x14ac:dyDescent="0.25">
      <c r="A33" s="2">
        <f t="shared" si="1"/>
        <v>27</v>
      </c>
      <c r="B33" s="2">
        <v>214777</v>
      </c>
      <c r="C33" t="s">
        <v>67</v>
      </c>
      <c r="D33" t="s">
        <v>68</v>
      </c>
      <c r="E33" t="s">
        <v>22</v>
      </c>
      <c r="F33" s="9">
        <v>4264222</v>
      </c>
      <c r="G33" s="9">
        <v>3990781</v>
      </c>
      <c r="H33" s="1">
        <f t="shared" si="0"/>
        <v>6.8518167245960129</v>
      </c>
      <c r="I33" s="23">
        <v>81531</v>
      </c>
      <c r="J33" s="9">
        <f t="shared" si="3"/>
        <v>52301.848376691072</v>
      </c>
      <c r="K33" s="11">
        <v>1</v>
      </c>
      <c r="L33" s="11">
        <v>2</v>
      </c>
      <c r="M33" s="11">
        <v>2</v>
      </c>
    </row>
    <row r="34" spans="1:13" x14ac:dyDescent="0.25">
      <c r="A34" s="2">
        <f t="shared" si="1"/>
        <v>28</v>
      </c>
      <c r="B34" s="2">
        <v>215293</v>
      </c>
      <c r="C34" t="s">
        <v>69</v>
      </c>
      <c r="D34" t="s">
        <v>70</v>
      </c>
      <c r="E34" t="s">
        <v>22</v>
      </c>
      <c r="F34" s="9">
        <v>4200206</v>
      </c>
      <c r="G34" s="9">
        <v>3945687</v>
      </c>
      <c r="H34" s="1">
        <f t="shared" si="0"/>
        <v>6.4505623482045085</v>
      </c>
      <c r="I34" s="23">
        <v>32480</v>
      </c>
      <c r="J34" s="9">
        <f t="shared" si="3"/>
        <v>129316.68719211823</v>
      </c>
      <c r="K34" s="11">
        <v>1</v>
      </c>
      <c r="L34" s="11">
        <v>2</v>
      </c>
      <c r="M34" s="11">
        <v>2</v>
      </c>
    </row>
    <row r="35" spans="1:13" ht="17.25" x14ac:dyDescent="0.25">
      <c r="A35" s="2">
        <f t="shared" si="1"/>
        <v>29</v>
      </c>
      <c r="B35" s="2">
        <v>174066</v>
      </c>
      <c r="C35" t="s">
        <v>1447</v>
      </c>
      <c r="D35" t="s">
        <v>71</v>
      </c>
      <c r="E35" t="s">
        <v>72</v>
      </c>
      <c r="F35" s="9">
        <v>3717476</v>
      </c>
      <c r="G35" s="9">
        <v>3493641</v>
      </c>
      <c r="H35" s="1">
        <f t="shared" si="0"/>
        <v>6.4069261838866671</v>
      </c>
      <c r="I35" s="23">
        <v>51848</v>
      </c>
      <c r="J35" s="9">
        <f t="shared" si="3"/>
        <v>71699.506249035636</v>
      </c>
      <c r="K35" s="11">
        <v>1</v>
      </c>
      <c r="L35" s="11">
        <v>2</v>
      </c>
      <c r="M35" s="11">
        <v>2</v>
      </c>
    </row>
    <row r="36" spans="1:13" x14ac:dyDescent="0.25">
      <c r="A36" s="2">
        <f t="shared" si="1"/>
        <v>30</v>
      </c>
      <c r="B36" s="2">
        <v>217156</v>
      </c>
      <c r="C36" t="s">
        <v>73</v>
      </c>
      <c r="D36" t="s">
        <v>74</v>
      </c>
      <c r="E36" t="s">
        <v>75</v>
      </c>
      <c r="F36" s="9">
        <v>3603848</v>
      </c>
      <c r="G36" s="9">
        <v>3245531</v>
      </c>
      <c r="H36" s="1">
        <f t="shared" si="0"/>
        <v>11.040319750450697</v>
      </c>
      <c r="I36" s="23">
        <v>9780</v>
      </c>
      <c r="J36" s="9">
        <f t="shared" si="3"/>
        <v>368491.61554192228</v>
      </c>
      <c r="K36" s="11">
        <v>2</v>
      </c>
      <c r="L36" s="11">
        <v>2</v>
      </c>
      <c r="M36" s="11">
        <v>2</v>
      </c>
    </row>
    <row r="37" spans="1:13" x14ac:dyDescent="0.25">
      <c r="A37" s="2">
        <f t="shared" si="1"/>
        <v>31</v>
      </c>
      <c r="B37" s="2">
        <v>199120</v>
      </c>
      <c r="C37" t="s">
        <v>76</v>
      </c>
      <c r="D37" t="s">
        <v>77</v>
      </c>
      <c r="E37" t="s">
        <v>40</v>
      </c>
      <c r="F37" s="9">
        <v>3432911</v>
      </c>
      <c r="G37" s="9">
        <v>3027227</v>
      </c>
      <c r="H37" s="1">
        <f t="shared" si="0"/>
        <v>13.401175399135909</v>
      </c>
      <c r="I37" s="23">
        <v>27821.75</v>
      </c>
      <c r="J37" s="9">
        <f t="shared" si="3"/>
        <v>123389.47046824876</v>
      </c>
      <c r="K37" s="11">
        <v>1</v>
      </c>
      <c r="L37" s="11">
        <v>2</v>
      </c>
      <c r="M37" s="11">
        <v>2</v>
      </c>
    </row>
    <row r="38" spans="1:13" x14ac:dyDescent="0.25">
      <c r="A38" s="2">
        <f t="shared" si="1"/>
        <v>32</v>
      </c>
      <c r="B38" s="2">
        <v>240444</v>
      </c>
      <c r="C38" t="s">
        <v>78</v>
      </c>
      <c r="D38" t="s">
        <v>79</v>
      </c>
      <c r="E38" t="s">
        <v>80</v>
      </c>
      <c r="F38" s="9">
        <v>2985251</v>
      </c>
      <c r="G38" s="9">
        <v>2746470</v>
      </c>
      <c r="H38" s="1">
        <f t="shared" si="0"/>
        <v>8.6941055245460532</v>
      </c>
      <c r="I38" s="28" t="s">
        <v>119</v>
      </c>
      <c r="J38" s="13" t="s">
        <v>119</v>
      </c>
      <c r="K38" s="11">
        <v>1</v>
      </c>
      <c r="L38" s="11">
        <v>2</v>
      </c>
      <c r="M38" s="11">
        <v>2</v>
      </c>
    </row>
    <row r="39" spans="1:13" x14ac:dyDescent="0.25">
      <c r="A39" s="2">
        <f t="shared" si="1"/>
        <v>33</v>
      </c>
      <c r="B39" s="2">
        <v>171100</v>
      </c>
      <c r="C39" t="s">
        <v>81</v>
      </c>
      <c r="D39" t="s">
        <v>82</v>
      </c>
      <c r="E39" t="s">
        <v>26</v>
      </c>
      <c r="F39" s="9">
        <v>2907967</v>
      </c>
      <c r="G39" s="9">
        <v>2682869</v>
      </c>
      <c r="H39" s="1">
        <f t="shared" si="0"/>
        <v>8.3901972105235103</v>
      </c>
      <c r="I39" s="23">
        <v>45677.7</v>
      </c>
      <c r="J39" s="9">
        <f t="shared" ref="J39:J44" si="4">(F39*1000)/I39</f>
        <v>63662.728202164297</v>
      </c>
      <c r="K39" s="11">
        <v>1</v>
      </c>
      <c r="L39" s="11">
        <v>2</v>
      </c>
      <c r="M39" s="11">
        <v>2</v>
      </c>
    </row>
    <row r="40" spans="1:13" x14ac:dyDescent="0.25">
      <c r="A40" s="2">
        <f t="shared" si="1"/>
        <v>34</v>
      </c>
      <c r="B40" s="2">
        <v>110404</v>
      </c>
      <c r="C40" t="s">
        <v>83</v>
      </c>
      <c r="D40" t="s">
        <v>84</v>
      </c>
      <c r="E40" t="s">
        <v>14</v>
      </c>
      <c r="F40" s="9">
        <v>2879493</v>
      </c>
      <c r="G40" s="9">
        <v>2606505</v>
      </c>
      <c r="H40" s="1">
        <f t="shared" si="0"/>
        <v>10.473334983052018</v>
      </c>
      <c r="I40" s="23">
        <v>2238</v>
      </c>
      <c r="J40" s="9">
        <f t="shared" si="4"/>
        <v>1286636.72922252</v>
      </c>
      <c r="K40" s="11">
        <v>2</v>
      </c>
      <c r="L40" s="11">
        <v>2</v>
      </c>
      <c r="M40" s="11">
        <v>2</v>
      </c>
    </row>
    <row r="41" spans="1:13" x14ac:dyDescent="0.25">
      <c r="A41" s="2">
        <f t="shared" si="1"/>
        <v>35</v>
      </c>
      <c r="B41" s="2">
        <v>236948</v>
      </c>
      <c r="C41" t="s">
        <v>85</v>
      </c>
      <c r="D41" t="s">
        <v>86</v>
      </c>
      <c r="E41" t="s">
        <v>87</v>
      </c>
      <c r="F41" s="9">
        <v>2764166</v>
      </c>
      <c r="G41" s="9">
        <v>2529250</v>
      </c>
      <c r="H41" s="1">
        <f t="shared" si="0"/>
        <v>9.2879707423149167</v>
      </c>
      <c r="I41" s="23">
        <v>58174</v>
      </c>
      <c r="J41" s="9">
        <f t="shared" si="4"/>
        <v>47515.488018702512</v>
      </c>
      <c r="K41" s="11">
        <v>1</v>
      </c>
      <c r="L41" s="11">
        <v>2</v>
      </c>
      <c r="M41" s="11">
        <v>2</v>
      </c>
    </row>
    <row r="42" spans="1:13" x14ac:dyDescent="0.25">
      <c r="A42" s="2">
        <f t="shared" si="1"/>
        <v>36</v>
      </c>
      <c r="B42" s="2">
        <v>168342</v>
      </c>
      <c r="C42" t="s">
        <v>88</v>
      </c>
      <c r="D42" t="s">
        <v>4</v>
      </c>
      <c r="E42" t="s">
        <v>5</v>
      </c>
      <c r="F42" s="9">
        <v>2749653</v>
      </c>
      <c r="G42" s="9">
        <v>2508773</v>
      </c>
      <c r="H42" s="1">
        <f t="shared" si="0"/>
        <v>9.6015063937630067</v>
      </c>
      <c r="I42" s="23">
        <v>2084</v>
      </c>
      <c r="J42" s="9">
        <f t="shared" si="4"/>
        <v>1319411.2284069099</v>
      </c>
      <c r="K42" s="11">
        <v>2</v>
      </c>
      <c r="L42" s="11">
        <v>2</v>
      </c>
      <c r="M42" s="11">
        <v>4</v>
      </c>
    </row>
    <row r="43" spans="1:13" ht="17.25" x14ac:dyDescent="0.25">
      <c r="A43" s="2">
        <f t="shared" si="1"/>
        <v>37</v>
      </c>
      <c r="B43" s="2">
        <v>145637</v>
      </c>
      <c r="C43" t="s">
        <v>1448</v>
      </c>
      <c r="D43" t="s">
        <v>42</v>
      </c>
      <c r="E43" t="s">
        <v>29</v>
      </c>
      <c r="F43" s="9">
        <v>2623389</v>
      </c>
      <c r="G43" s="9">
        <v>2441268</v>
      </c>
      <c r="H43" s="1">
        <f t="shared" si="0"/>
        <v>7.4600986044956965</v>
      </c>
      <c r="I43" s="23">
        <v>83711</v>
      </c>
      <c r="J43" s="9">
        <f t="shared" si="4"/>
        <v>31338.64127772933</v>
      </c>
      <c r="K43" s="11">
        <v>1</v>
      </c>
      <c r="L43" s="11">
        <v>2</v>
      </c>
      <c r="M43" s="11">
        <v>2</v>
      </c>
    </row>
    <row r="44" spans="1:13" x14ac:dyDescent="0.25">
      <c r="A44" s="2">
        <f t="shared" si="1"/>
        <v>38</v>
      </c>
      <c r="B44" s="2">
        <v>243780</v>
      </c>
      <c r="C44" t="s">
        <v>89</v>
      </c>
      <c r="D44" t="s">
        <v>90</v>
      </c>
      <c r="E44" t="s">
        <v>37</v>
      </c>
      <c r="F44" s="9">
        <v>2523770</v>
      </c>
      <c r="G44" s="9">
        <v>2424872</v>
      </c>
      <c r="H44" s="1">
        <f t="shared" si="0"/>
        <v>4.0784833178823465</v>
      </c>
      <c r="I44" s="23">
        <v>55348</v>
      </c>
      <c r="J44" s="9">
        <f t="shared" si="4"/>
        <v>45598.214930982147</v>
      </c>
      <c r="K44" s="11">
        <v>1</v>
      </c>
      <c r="L44" s="11">
        <v>2</v>
      </c>
      <c r="M44" s="11">
        <v>2</v>
      </c>
    </row>
    <row r="45" spans="1:13" x14ac:dyDescent="0.25">
      <c r="A45" s="2">
        <f t="shared" si="1"/>
        <v>39</v>
      </c>
      <c r="B45" s="2">
        <v>110662</v>
      </c>
      <c r="C45" t="s">
        <v>91</v>
      </c>
      <c r="D45" t="s">
        <v>56</v>
      </c>
      <c r="E45" t="s">
        <v>14</v>
      </c>
      <c r="F45" s="9">
        <v>2522638</v>
      </c>
      <c r="G45" s="9">
        <v>2062573</v>
      </c>
      <c r="H45" s="1">
        <f t="shared" si="0"/>
        <v>22.305392342477091</v>
      </c>
      <c r="I45" s="28" t="s">
        <v>119</v>
      </c>
      <c r="J45" s="13" t="s">
        <v>119</v>
      </c>
      <c r="K45" s="11">
        <v>1</v>
      </c>
      <c r="L45" s="11">
        <v>2</v>
      </c>
      <c r="M45" s="11">
        <v>2</v>
      </c>
    </row>
    <row r="46" spans="1:13" x14ac:dyDescent="0.25">
      <c r="A46" s="2">
        <f t="shared" si="1"/>
        <v>40</v>
      </c>
      <c r="B46" s="2">
        <v>233374</v>
      </c>
      <c r="C46" t="s">
        <v>92</v>
      </c>
      <c r="D46" t="s">
        <v>93</v>
      </c>
      <c r="E46" t="s">
        <v>52</v>
      </c>
      <c r="F46" s="9">
        <v>2511584</v>
      </c>
      <c r="G46" s="9">
        <v>2373506</v>
      </c>
      <c r="H46" s="1">
        <f t="shared" si="0"/>
        <v>5.8174700211417205</v>
      </c>
      <c r="I46" s="23">
        <v>3659.67</v>
      </c>
      <c r="J46" s="9">
        <f t="shared" ref="J46:J52" si="5">(F46*1000)/I46</f>
        <v>686287.01494943537</v>
      </c>
      <c r="K46" s="11">
        <v>2</v>
      </c>
      <c r="L46" s="11">
        <v>2</v>
      </c>
      <c r="M46" s="11">
        <v>4</v>
      </c>
    </row>
    <row r="47" spans="1:13" x14ac:dyDescent="0.25">
      <c r="A47" s="2">
        <f t="shared" si="1"/>
        <v>41</v>
      </c>
      <c r="B47" s="2">
        <v>164924</v>
      </c>
      <c r="C47" t="s">
        <v>94</v>
      </c>
      <c r="D47" t="s">
        <v>95</v>
      </c>
      <c r="E47" t="s">
        <v>5</v>
      </c>
      <c r="F47" s="9">
        <v>2477700</v>
      </c>
      <c r="G47" s="9">
        <v>2317300</v>
      </c>
      <c r="H47" s="1">
        <f t="shared" si="0"/>
        <v>6.92184870323221</v>
      </c>
      <c r="I47" s="29">
        <v>13520</v>
      </c>
      <c r="J47" s="9">
        <f t="shared" si="5"/>
        <v>183261.83431952662</v>
      </c>
      <c r="K47" s="11">
        <v>2</v>
      </c>
      <c r="L47" s="11">
        <v>2</v>
      </c>
      <c r="M47" s="11">
        <v>2</v>
      </c>
    </row>
    <row r="48" spans="1:13" x14ac:dyDescent="0.25">
      <c r="A48" s="2">
        <f t="shared" si="1"/>
        <v>42</v>
      </c>
      <c r="B48" s="2">
        <v>151351</v>
      </c>
      <c r="C48" t="s">
        <v>96</v>
      </c>
      <c r="D48" t="s">
        <v>97</v>
      </c>
      <c r="E48" t="s">
        <v>37</v>
      </c>
      <c r="F48" s="9">
        <v>2397369</v>
      </c>
      <c r="G48" s="9">
        <v>2229361</v>
      </c>
      <c r="H48" s="1">
        <f t="shared" si="0"/>
        <v>7.5361504933476455</v>
      </c>
      <c r="I48" s="23">
        <v>82127.399999999994</v>
      </c>
      <c r="J48" s="9">
        <f t="shared" si="5"/>
        <v>29190.854696483759</v>
      </c>
      <c r="K48" s="11">
        <v>1</v>
      </c>
      <c r="L48" s="11">
        <v>2</v>
      </c>
      <c r="M48" s="11">
        <v>2</v>
      </c>
    </row>
    <row r="49" spans="1:13" ht="17.25" x14ac:dyDescent="0.25">
      <c r="A49" s="2">
        <f t="shared" si="1"/>
        <v>43</v>
      </c>
      <c r="B49" s="2">
        <v>211440</v>
      </c>
      <c r="C49" t="s">
        <v>1449</v>
      </c>
      <c r="D49" t="s">
        <v>70</v>
      </c>
      <c r="E49" t="s">
        <v>22</v>
      </c>
      <c r="F49" s="9">
        <v>2385986</v>
      </c>
      <c r="G49" s="9">
        <v>2154099</v>
      </c>
      <c r="H49" s="1">
        <f t="shared" si="0"/>
        <v>10.764918418327106</v>
      </c>
      <c r="I49" s="23">
        <v>13271</v>
      </c>
      <c r="J49" s="9">
        <f t="shared" si="5"/>
        <v>179789.46575239243</v>
      </c>
      <c r="K49" s="11">
        <v>2</v>
      </c>
      <c r="L49" s="11">
        <v>2</v>
      </c>
      <c r="M49" s="11">
        <v>2</v>
      </c>
    </row>
    <row r="50" spans="1:13" x14ac:dyDescent="0.25">
      <c r="A50" s="2">
        <f t="shared" si="1"/>
        <v>44</v>
      </c>
      <c r="B50" s="2">
        <v>164465</v>
      </c>
      <c r="C50" t="s">
        <v>98</v>
      </c>
      <c r="D50" t="s">
        <v>99</v>
      </c>
      <c r="E50" t="s">
        <v>5</v>
      </c>
      <c r="F50" s="9">
        <v>2377537</v>
      </c>
      <c r="G50" s="9">
        <v>2248141</v>
      </c>
      <c r="H50" s="1">
        <f t="shared" si="0"/>
        <v>5.755688811333453</v>
      </c>
      <c r="I50" s="23">
        <v>1836</v>
      </c>
      <c r="J50" s="9">
        <f t="shared" si="5"/>
        <v>1294954.7930283225</v>
      </c>
      <c r="K50" s="11">
        <v>2</v>
      </c>
      <c r="L50" s="11">
        <v>2</v>
      </c>
      <c r="M50" s="11">
        <v>4</v>
      </c>
    </row>
    <row r="51" spans="1:13" x14ac:dyDescent="0.25">
      <c r="A51" s="2">
        <f t="shared" si="1"/>
        <v>45</v>
      </c>
      <c r="B51" s="2">
        <v>121345</v>
      </c>
      <c r="C51" t="s">
        <v>100</v>
      </c>
      <c r="D51" t="s">
        <v>101</v>
      </c>
      <c r="E51" t="s">
        <v>14</v>
      </c>
      <c r="F51" s="9">
        <v>2273707</v>
      </c>
      <c r="G51" s="9">
        <v>2167019</v>
      </c>
      <c r="H51" s="1">
        <f t="shared" si="0"/>
        <v>4.9232609404901391</v>
      </c>
      <c r="I51" s="23">
        <v>1655</v>
      </c>
      <c r="J51" s="9">
        <f t="shared" si="5"/>
        <v>1373841.087613293</v>
      </c>
      <c r="K51" s="11">
        <v>2</v>
      </c>
      <c r="L51" s="11">
        <v>2</v>
      </c>
      <c r="M51" s="11">
        <v>4</v>
      </c>
    </row>
    <row r="52" spans="1:13" x14ac:dyDescent="0.25">
      <c r="A52" s="2">
        <f t="shared" si="1"/>
        <v>46</v>
      </c>
      <c r="B52" s="2">
        <v>195030</v>
      </c>
      <c r="C52" t="s">
        <v>102</v>
      </c>
      <c r="D52" t="s">
        <v>103</v>
      </c>
      <c r="E52" t="s">
        <v>34</v>
      </c>
      <c r="F52" s="9">
        <v>2257557</v>
      </c>
      <c r="G52" s="9">
        <v>2121390</v>
      </c>
      <c r="H52" s="1">
        <f t="shared" si="0"/>
        <v>6.4187631694313634</v>
      </c>
      <c r="I52" s="23">
        <v>10393</v>
      </c>
      <c r="J52" s="9">
        <f t="shared" si="5"/>
        <v>217218.99355335321</v>
      </c>
      <c r="K52" s="11">
        <v>2</v>
      </c>
      <c r="L52" s="11">
        <v>2</v>
      </c>
      <c r="M52" s="11">
        <v>2</v>
      </c>
    </row>
    <row r="53" spans="1:13" x14ac:dyDescent="0.25">
      <c r="A53" s="2">
        <f t="shared" si="1"/>
        <v>47</v>
      </c>
      <c r="B53" s="2">
        <v>164988</v>
      </c>
      <c r="C53" t="s">
        <v>104</v>
      </c>
      <c r="D53" t="s">
        <v>4</v>
      </c>
      <c r="E53" t="s">
        <v>5</v>
      </c>
      <c r="F53" s="9">
        <v>2197808</v>
      </c>
      <c r="G53" s="9">
        <v>1957021</v>
      </c>
      <c r="H53" s="1">
        <f t="shared" si="0"/>
        <v>12.303751467153393</v>
      </c>
      <c r="I53" s="28" t="s">
        <v>119</v>
      </c>
      <c r="J53" s="13" t="s">
        <v>119</v>
      </c>
      <c r="K53" s="11">
        <v>2</v>
      </c>
      <c r="L53" s="11">
        <v>2</v>
      </c>
      <c r="M53" s="11">
        <v>2</v>
      </c>
    </row>
    <row r="54" spans="1:13" x14ac:dyDescent="0.25">
      <c r="A54" s="2">
        <f t="shared" si="1"/>
        <v>48</v>
      </c>
      <c r="B54" s="2">
        <v>195049</v>
      </c>
      <c r="C54" t="s">
        <v>105</v>
      </c>
      <c r="D54" t="s">
        <v>33</v>
      </c>
      <c r="E54" t="s">
        <v>34</v>
      </c>
      <c r="F54" s="9">
        <v>2194255</v>
      </c>
      <c r="G54" s="9">
        <v>2049395</v>
      </c>
      <c r="H54" s="1">
        <f t="shared" si="0"/>
        <v>7.0684275115338924</v>
      </c>
      <c r="I54" s="23">
        <v>200</v>
      </c>
      <c r="J54" s="9">
        <f>(F54*1000)/I54</f>
        <v>10971275</v>
      </c>
      <c r="K54" s="11">
        <v>2</v>
      </c>
      <c r="L54" s="11">
        <v>2</v>
      </c>
      <c r="M54" s="11">
        <v>2</v>
      </c>
    </row>
    <row r="55" spans="1:13" x14ac:dyDescent="0.25">
      <c r="A55" s="2">
        <f t="shared" si="1"/>
        <v>49</v>
      </c>
      <c r="B55" s="2">
        <v>216287</v>
      </c>
      <c r="C55" t="s">
        <v>106</v>
      </c>
      <c r="D55" t="s">
        <v>107</v>
      </c>
      <c r="E55" t="s">
        <v>22</v>
      </c>
      <c r="F55" s="9">
        <v>2115768</v>
      </c>
      <c r="G55" s="9">
        <v>1955533</v>
      </c>
      <c r="H55" s="1">
        <f t="shared" si="0"/>
        <v>8.1939297368032147</v>
      </c>
      <c r="I55" s="28" t="s">
        <v>119</v>
      </c>
      <c r="J55" s="13" t="s">
        <v>119</v>
      </c>
      <c r="K55" s="11">
        <v>2</v>
      </c>
      <c r="L55" s="11">
        <v>2</v>
      </c>
      <c r="M55" s="11">
        <v>4</v>
      </c>
    </row>
    <row r="56" spans="1:13" x14ac:dyDescent="0.25">
      <c r="A56" s="2">
        <f t="shared" si="1"/>
        <v>50</v>
      </c>
      <c r="B56" s="2">
        <v>168218</v>
      </c>
      <c r="C56" t="s">
        <v>108</v>
      </c>
      <c r="D56" t="s">
        <v>109</v>
      </c>
      <c r="E56" t="s">
        <v>5</v>
      </c>
      <c r="F56" s="9">
        <v>2105212</v>
      </c>
      <c r="G56" s="9">
        <v>1930752</v>
      </c>
      <c r="H56" s="1">
        <f t="shared" si="0"/>
        <v>9.0358575311588432</v>
      </c>
      <c r="I56" s="23">
        <v>2368</v>
      </c>
      <c r="J56" s="9">
        <f>(F56*1000)/I56</f>
        <v>889025.33783783787</v>
      </c>
      <c r="K56" s="11">
        <v>2</v>
      </c>
      <c r="L56" s="11">
        <v>2</v>
      </c>
      <c r="M56" s="11">
        <v>4</v>
      </c>
    </row>
    <row r="57" spans="1:13" x14ac:dyDescent="0.25">
      <c r="A57" s="2">
        <f t="shared" si="1"/>
        <v>51</v>
      </c>
      <c r="B57" s="2">
        <v>139755</v>
      </c>
      <c r="C57" t="s">
        <v>110</v>
      </c>
      <c r="D57" t="s">
        <v>47</v>
      </c>
      <c r="E57" t="s">
        <v>48</v>
      </c>
      <c r="F57" s="9">
        <v>2091110</v>
      </c>
      <c r="G57" s="9">
        <v>1985802</v>
      </c>
      <c r="H57" s="1">
        <f t="shared" si="0"/>
        <v>5.3030463258673315</v>
      </c>
      <c r="I57" s="23">
        <v>28070</v>
      </c>
      <c r="J57" s="9">
        <f>(F57*1000)/I57</f>
        <v>74496.259351620945</v>
      </c>
      <c r="K57" s="11">
        <v>1</v>
      </c>
      <c r="L57" s="11">
        <v>2</v>
      </c>
      <c r="M57" s="11">
        <v>2</v>
      </c>
    </row>
    <row r="58" spans="1:13" x14ac:dyDescent="0.25">
      <c r="A58" s="2">
        <f t="shared" si="1"/>
        <v>52</v>
      </c>
      <c r="B58" s="2">
        <v>153384</v>
      </c>
      <c r="C58" t="s">
        <v>111</v>
      </c>
      <c r="D58" t="s">
        <v>112</v>
      </c>
      <c r="E58" t="s">
        <v>113</v>
      </c>
      <c r="F58" s="9">
        <v>1991605</v>
      </c>
      <c r="G58" s="9">
        <v>1871046</v>
      </c>
      <c r="H58" s="1">
        <f t="shared" si="0"/>
        <v>6.4434011777369449</v>
      </c>
      <c r="I58" s="23">
        <v>1678</v>
      </c>
      <c r="J58" s="9">
        <f>(F58*1000)/I58</f>
        <v>1186892.1334922528</v>
      </c>
      <c r="K58" s="11">
        <v>2</v>
      </c>
      <c r="L58" s="11">
        <v>2</v>
      </c>
      <c r="M58" s="11">
        <v>4</v>
      </c>
    </row>
    <row r="59" spans="1:13" x14ac:dyDescent="0.25">
      <c r="A59" s="2">
        <f t="shared" si="1"/>
        <v>53</v>
      </c>
      <c r="B59" s="2">
        <v>234030</v>
      </c>
      <c r="C59" t="s">
        <v>114</v>
      </c>
      <c r="D59" t="s">
        <v>93</v>
      </c>
      <c r="E59" t="s">
        <v>52</v>
      </c>
      <c r="F59" s="9">
        <v>1951337</v>
      </c>
      <c r="G59" s="9">
        <v>1843001</v>
      </c>
      <c r="H59" s="1">
        <f t="shared" si="0"/>
        <v>5.8782388072496978</v>
      </c>
      <c r="I59" s="28" t="s">
        <v>119</v>
      </c>
      <c r="J59" s="13" t="s">
        <v>119</v>
      </c>
      <c r="K59" s="11">
        <v>1</v>
      </c>
      <c r="L59" s="11">
        <v>2</v>
      </c>
      <c r="M59" s="11">
        <v>2</v>
      </c>
    </row>
    <row r="60" spans="1:13" x14ac:dyDescent="0.25">
      <c r="A60" s="2">
        <f t="shared" si="1"/>
        <v>54</v>
      </c>
      <c r="B60" s="2">
        <v>110635</v>
      </c>
      <c r="C60" t="s">
        <v>115</v>
      </c>
      <c r="D60" t="s">
        <v>116</v>
      </c>
      <c r="E60" t="s">
        <v>14</v>
      </c>
      <c r="F60" s="9">
        <v>1944306</v>
      </c>
      <c r="G60" s="9">
        <v>1794602</v>
      </c>
      <c r="H60" s="1">
        <f t="shared" si="0"/>
        <v>8.3419053361135234</v>
      </c>
      <c r="I60" s="28" t="s">
        <v>119</v>
      </c>
      <c r="J60" s="13" t="s">
        <v>119</v>
      </c>
      <c r="K60" s="11">
        <v>1</v>
      </c>
      <c r="L60" s="11">
        <v>2</v>
      </c>
      <c r="M60" s="11">
        <v>2</v>
      </c>
    </row>
    <row r="61" spans="1:13" ht="17.25" x14ac:dyDescent="0.25">
      <c r="A61" s="2">
        <f t="shared" si="1"/>
        <v>55</v>
      </c>
      <c r="B61" s="10" t="s">
        <v>119</v>
      </c>
      <c r="C61" t="s">
        <v>1384</v>
      </c>
      <c r="D61" t="s">
        <v>117</v>
      </c>
      <c r="E61" t="s">
        <v>118</v>
      </c>
      <c r="F61" s="9">
        <v>1925509</v>
      </c>
      <c r="G61" s="9">
        <v>1829893</v>
      </c>
      <c r="H61" s="1">
        <f t="shared" si="0"/>
        <v>5.2252235513223999</v>
      </c>
      <c r="I61" s="23">
        <v>79262</v>
      </c>
      <c r="J61" s="9">
        <f>(F61*1000)/I61</f>
        <v>24292.965103075876</v>
      </c>
      <c r="K61" s="10" t="s">
        <v>119</v>
      </c>
      <c r="L61" s="10" t="s">
        <v>119</v>
      </c>
      <c r="M61" s="10" t="s">
        <v>119</v>
      </c>
    </row>
    <row r="62" spans="1:13" x14ac:dyDescent="0.25">
      <c r="A62" s="2">
        <f t="shared" si="1"/>
        <v>56</v>
      </c>
      <c r="B62" s="2">
        <v>201645</v>
      </c>
      <c r="C62" t="s">
        <v>120</v>
      </c>
      <c r="D62" t="s">
        <v>121</v>
      </c>
      <c r="E62" t="s">
        <v>60</v>
      </c>
      <c r="F62" s="9">
        <v>1886761</v>
      </c>
      <c r="G62" s="9">
        <v>1798790</v>
      </c>
      <c r="H62" s="1">
        <f t="shared" si="0"/>
        <v>4.8905653244681142</v>
      </c>
      <c r="I62" s="23">
        <v>11023.33</v>
      </c>
      <c r="J62" s="9">
        <f>(F62*1000)/I62</f>
        <v>171160.71096483548</v>
      </c>
      <c r="K62" s="11">
        <v>2</v>
      </c>
      <c r="L62" s="11">
        <v>2</v>
      </c>
      <c r="M62" s="11">
        <v>2</v>
      </c>
    </row>
    <row r="63" spans="1:13" x14ac:dyDescent="0.25">
      <c r="A63" s="2">
        <f t="shared" si="1"/>
        <v>57</v>
      </c>
      <c r="B63" s="2">
        <v>167835</v>
      </c>
      <c r="C63" t="s">
        <v>122</v>
      </c>
      <c r="D63" t="s">
        <v>123</v>
      </c>
      <c r="E63" t="s">
        <v>5</v>
      </c>
      <c r="F63" s="9">
        <v>1875093</v>
      </c>
      <c r="G63" s="9">
        <v>1767466</v>
      </c>
      <c r="H63" s="1">
        <f t="shared" si="0"/>
        <v>6.0893392008672302</v>
      </c>
      <c r="I63" s="23">
        <v>2891</v>
      </c>
      <c r="J63" s="9">
        <f>(F63*1000)/I63</f>
        <v>648596.67934970593</v>
      </c>
      <c r="K63" s="11">
        <v>2</v>
      </c>
      <c r="L63" s="11">
        <v>2</v>
      </c>
      <c r="M63" s="11">
        <v>4</v>
      </c>
    </row>
    <row r="64" spans="1:13" x14ac:dyDescent="0.25">
      <c r="A64" s="2">
        <f t="shared" si="1"/>
        <v>58</v>
      </c>
      <c r="B64" s="2">
        <v>168148</v>
      </c>
      <c r="C64" t="s">
        <v>124</v>
      </c>
      <c r="D64" t="s">
        <v>125</v>
      </c>
      <c r="E64" t="s">
        <v>5</v>
      </c>
      <c r="F64" s="9">
        <v>1845956</v>
      </c>
      <c r="G64" s="9">
        <v>1738706</v>
      </c>
      <c r="H64" s="1">
        <f t="shared" si="0"/>
        <v>6.168380393234969</v>
      </c>
      <c r="I64" s="23">
        <v>10882</v>
      </c>
      <c r="J64" s="9">
        <f>(F64*1000)/I64</f>
        <v>169633.89082889174</v>
      </c>
      <c r="K64" s="11">
        <v>2</v>
      </c>
      <c r="L64" s="11">
        <v>2</v>
      </c>
      <c r="M64" s="11">
        <v>2</v>
      </c>
    </row>
    <row r="65" spans="1:13" x14ac:dyDescent="0.25">
      <c r="A65" s="2">
        <f t="shared" si="1"/>
        <v>59</v>
      </c>
      <c r="B65" s="2">
        <v>131469</v>
      </c>
      <c r="C65" t="s">
        <v>126</v>
      </c>
      <c r="D65" t="s">
        <v>128</v>
      </c>
      <c r="E65" t="s">
        <v>129</v>
      </c>
      <c r="F65" s="9">
        <v>1798810</v>
      </c>
      <c r="G65" s="9">
        <v>1729147</v>
      </c>
      <c r="H65" s="1">
        <f t="shared" si="0"/>
        <v>4.0287494354152651</v>
      </c>
      <c r="I65" s="23">
        <v>23502</v>
      </c>
      <c r="J65" s="9">
        <f>(F65*1000)/I65</f>
        <v>76538.592460216154</v>
      </c>
      <c r="K65" s="11">
        <v>2</v>
      </c>
      <c r="L65" s="11">
        <v>2</v>
      </c>
      <c r="M65" s="11">
        <v>2</v>
      </c>
    </row>
    <row r="66" spans="1:13" x14ac:dyDescent="0.25">
      <c r="A66" s="2">
        <f t="shared" si="1"/>
        <v>60</v>
      </c>
      <c r="B66" s="2">
        <v>131496</v>
      </c>
      <c r="C66" t="s">
        <v>127</v>
      </c>
      <c r="D66" t="s">
        <v>128</v>
      </c>
      <c r="E66" t="s">
        <v>129</v>
      </c>
      <c r="F66" s="9">
        <v>1769557</v>
      </c>
      <c r="G66" s="9">
        <v>1661745</v>
      </c>
      <c r="H66" s="1">
        <f t="shared" si="0"/>
        <v>6.4878787058182814</v>
      </c>
      <c r="I66" s="28" t="s">
        <v>119</v>
      </c>
      <c r="J66" s="13" t="s">
        <v>119</v>
      </c>
      <c r="K66" s="11">
        <v>2</v>
      </c>
      <c r="L66" s="11">
        <v>2</v>
      </c>
      <c r="M66" s="11">
        <v>2</v>
      </c>
    </row>
    <row r="67" spans="1:13" x14ac:dyDescent="0.25">
      <c r="A67" s="2">
        <f t="shared" si="1"/>
        <v>61</v>
      </c>
      <c r="B67" s="2">
        <v>155317</v>
      </c>
      <c r="C67" t="s">
        <v>130</v>
      </c>
      <c r="D67" t="s">
        <v>131</v>
      </c>
      <c r="E67" t="s">
        <v>132</v>
      </c>
      <c r="F67" s="9">
        <v>1740763</v>
      </c>
      <c r="G67" s="9">
        <v>1612337</v>
      </c>
      <c r="H67" s="1">
        <f t="shared" si="0"/>
        <v>7.9652082660138666</v>
      </c>
      <c r="I67" s="23">
        <v>22712</v>
      </c>
      <c r="J67" s="9">
        <f>(F67*1000)/I67</f>
        <v>76645.077492074677</v>
      </c>
      <c r="K67" s="11">
        <v>1</v>
      </c>
      <c r="L67" s="11">
        <v>2</v>
      </c>
      <c r="M67" s="11">
        <v>2</v>
      </c>
    </row>
    <row r="68" spans="1:13" x14ac:dyDescent="0.25">
      <c r="A68" s="2">
        <f t="shared" si="1"/>
        <v>62</v>
      </c>
      <c r="B68" s="2">
        <v>207500</v>
      </c>
      <c r="C68" t="s">
        <v>133</v>
      </c>
      <c r="D68" t="s">
        <v>134</v>
      </c>
      <c r="E68" t="s">
        <v>135</v>
      </c>
      <c r="F68" s="9">
        <v>1735527</v>
      </c>
      <c r="G68" s="9">
        <v>1646184</v>
      </c>
      <c r="H68" s="1">
        <f t="shared" si="0"/>
        <v>5.4272790890933207</v>
      </c>
      <c r="I68" s="23">
        <v>27115</v>
      </c>
      <c r="J68" s="9">
        <f>(F68*1000)/I68</f>
        <v>64006.158952609258</v>
      </c>
      <c r="K68" s="11">
        <v>1</v>
      </c>
      <c r="L68" s="11">
        <v>2</v>
      </c>
      <c r="M68" s="11">
        <v>2</v>
      </c>
    </row>
    <row r="69" spans="1:13" x14ac:dyDescent="0.25">
      <c r="A69" s="2">
        <f t="shared" si="1"/>
        <v>63</v>
      </c>
      <c r="B69" s="2">
        <v>134130</v>
      </c>
      <c r="C69" t="s">
        <v>136</v>
      </c>
      <c r="D69" t="s">
        <v>137</v>
      </c>
      <c r="E69" t="s">
        <v>138</v>
      </c>
      <c r="F69" s="9">
        <v>1734661</v>
      </c>
      <c r="G69" s="9">
        <v>1612003</v>
      </c>
      <c r="H69" s="1">
        <f t="shared" si="0"/>
        <v>7.6090429112104632</v>
      </c>
      <c r="I69" s="28" t="s">
        <v>119</v>
      </c>
      <c r="J69" s="13" t="s">
        <v>119</v>
      </c>
      <c r="K69" s="11">
        <v>1</v>
      </c>
      <c r="L69" s="11">
        <v>2</v>
      </c>
      <c r="M69" s="11">
        <v>2</v>
      </c>
    </row>
    <row r="70" spans="1:13" x14ac:dyDescent="0.25">
      <c r="A70" s="2">
        <f t="shared" si="1"/>
        <v>64</v>
      </c>
      <c r="B70" s="2">
        <v>181464</v>
      </c>
      <c r="C70" t="s">
        <v>139</v>
      </c>
      <c r="D70" t="s">
        <v>140</v>
      </c>
      <c r="E70" t="s">
        <v>141</v>
      </c>
      <c r="F70" s="9">
        <v>1723230</v>
      </c>
      <c r="G70" s="9">
        <v>1616900</v>
      </c>
      <c r="H70" s="1">
        <f t="shared" si="0"/>
        <v>6.5761642649514505</v>
      </c>
      <c r="I70" s="23">
        <v>44671</v>
      </c>
      <c r="J70" s="9">
        <f t="shared" ref="J70:J84" si="6">(F70*1000)/I70</f>
        <v>38576.033668375458</v>
      </c>
      <c r="K70" s="11">
        <v>1</v>
      </c>
      <c r="L70" s="11">
        <v>2</v>
      </c>
      <c r="M70" s="11">
        <v>2</v>
      </c>
    </row>
    <row r="71" spans="1:13" x14ac:dyDescent="0.25">
      <c r="A71" s="2">
        <f t="shared" si="1"/>
        <v>65</v>
      </c>
      <c r="B71" s="2">
        <v>178439</v>
      </c>
      <c r="C71" t="s">
        <v>142</v>
      </c>
      <c r="D71" t="s">
        <v>143</v>
      </c>
      <c r="E71" t="s">
        <v>45</v>
      </c>
      <c r="F71" s="9">
        <v>1675019</v>
      </c>
      <c r="G71" s="9">
        <v>1537478</v>
      </c>
      <c r="H71" s="1">
        <f t="shared" ref="H71:H134" si="7">((F71-G71)/G71)*100</f>
        <v>8.9458841037075008</v>
      </c>
      <c r="I71" s="23">
        <v>55350</v>
      </c>
      <c r="J71" s="9">
        <f t="shared" si="6"/>
        <v>30262.312556458899</v>
      </c>
      <c r="K71" s="11">
        <v>0</v>
      </c>
      <c r="L71" s="11">
        <v>2</v>
      </c>
      <c r="M71" s="11">
        <v>0</v>
      </c>
    </row>
    <row r="72" spans="1:13" x14ac:dyDescent="0.25">
      <c r="A72" s="2">
        <f t="shared" ref="A72:A135" si="8">RANK(F72,F$7:F$817,0)</f>
        <v>66</v>
      </c>
      <c r="B72" s="2">
        <v>110699</v>
      </c>
      <c r="C72" t="s">
        <v>144</v>
      </c>
      <c r="D72" t="s">
        <v>145</v>
      </c>
      <c r="E72" t="s">
        <v>14</v>
      </c>
      <c r="F72" s="9">
        <v>1664471</v>
      </c>
      <c r="G72" s="9">
        <v>1306564</v>
      </c>
      <c r="H72" s="1">
        <f t="shared" si="7"/>
        <v>27.392994143417393</v>
      </c>
      <c r="I72" s="23">
        <v>3152</v>
      </c>
      <c r="J72" s="9">
        <f t="shared" si="6"/>
        <v>528068.21065989847</v>
      </c>
      <c r="K72" s="11">
        <v>1</v>
      </c>
      <c r="L72" s="11">
        <v>2</v>
      </c>
      <c r="M72" s="11">
        <v>5</v>
      </c>
    </row>
    <row r="73" spans="1:13" x14ac:dyDescent="0.25">
      <c r="A73" s="2">
        <f t="shared" si="8"/>
        <v>67</v>
      </c>
      <c r="B73" s="2">
        <v>228246</v>
      </c>
      <c r="C73" t="s">
        <v>146</v>
      </c>
      <c r="D73" t="s">
        <v>147</v>
      </c>
      <c r="E73" t="s">
        <v>8</v>
      </c>
      <c r="F73" s="9">
        <v>1632763</v>
      </c>
      <c r="G73" s="9">
        <v>1514607</v>
      </c>
      <c r="H73" s="1">
        <f t="shared" si="7"/>
        <v>7.80109955915957</v>
      </c>
      <c r="I73" s="23">
        <v>10294.200000000001</v>
      </c>
      <c r="J73" s="9">
        <f t="shared" si="6"/>
        <v>158609.99397719101</v>
      </c>
      <c r="K73" s="11">
        <v>2</v>
      </c>
      <c r="L73" s="11">
        <v>2</v>
      </c>
      <c r="M73" s="11">
        <v>2</v>
      </c>
    </row>
    <row r="74" spans="1:13" x14ac:dyDescent="0.25">
      <c r="A74" s="2">
        <f t="shared" si="8"/>
        <v>68</v>
      </c>
      <c r="B74" s="2">
        <v>161004</v>
      </c>
      <c r="C74" t="s">
        <v>148</v>
      </c>
      <c r="D74" t="s">
        <v>149</v>
      </c>
      <c r="E74" t="s">
        <v>150</v>
      </c>
      <c r="F74" s="9">
        <v>1628165</v>
      </c>
      <c r="G74" s="9">
        <v>1455909</v>
      </c>
      <c r="H74" s="1">
        <f t="shared" si="7"/>
        <v>11.831508700062985</v>
      </c>
      <c r="I74" s="23">
        <v>1814</v>
      </c>
      <c r="J74" s="9">
        <f t="shared" si="6"/>
        <v>897555.12679162074</v>
      </c>
      <c r="K74" s="11">
        <v>2</v>
      </c>
      <c r="L74" s="11">
        <v>2</v>
      </c>
      <c r="M74" s="11">
        <v>4</v>
      </c>
    </row>
    <row r="75" spans="1:13" x14ac:dyDescent="0.25">
      <c r="A75" s="2">
        <f t="shared" si="8"/>
        <v>69</v>
      </c>
      <c r="B75" s="2">
        <v>228875</v>
      </c>
      <c r="C75" t="s">
        <v>151</v>
      </c>
      <c r="D75" t="s">
        <v>152</v>
      </c>
      <c r="E75" t="s">
        <v>8</v>
      </c>
      <c r="F75" s="9">
        <v>1627790</v>
      </c>
      <c r="G75" s="9">
        <v>1520622</v>
      </c>
      <c r="H75" s="1">
        <f t="shared" si="7"/>
        <v>7.0476423463556355</v>
      </c>
      <c r="I75" s="23">
        <v>10420</v>
      </c>
      <c r="J75" s="9">
        <f t="shared" si="6"/>
        <v>156217.85028790787</v>
      </c>
      <c r="K75" s="11">
        <v>2</v>
      </c>
      <c r="L75" s="11">
        <v>2</v>
      </c>
      <c r="M75" s="11">
        <v>2</v>
      </c>
    </row>
    <row r="76" spans="1:13" x14ac:dyDescent="0.25">
      <c r="A76" s="2">
        <f t="shared" si="8"/>
        <v>70</v>
      </c>
      <c r="B76" s="2">
        <v>234207</v>
      </c>
      <c r="C76" t="s">
        <v>153</v>
      </c>
      <c r="D76" t="s">
        <v>154</v>
      </c>
      <c r="E76" t="s">
        <v>52</v>
      </c>
      <c r="F76" s="9">
        <v>1603114</v>
      </c>
      <c r="G76" s="9">
        <v>1547135</v>
      </c>
      <c r="H76" s="1">
        <f t="shared" si="7"/>
        <v>3.618236288365269</v>
      </c>
      <c r="I76" s="23">
        <v>2217.33</v>
      </c>
      <c r="J76" s="9">
        <f t="shared" si="6"/>
        <v>722992.96902130044</v>
      </c>
      <c r="K76" s="11">
        <v>2</v>
      </c>
      <c r="L76" s="11">
        <v>2</v>
      </c>
      <c r="M76" s="11">
        <v>4</v>
      </c>
    </row>
    <row r="77" spans="1:13" x14ac:dyDescent="0.25">
      <c r="A77" s="2">
        <f t="shared" si="8"/>
        <v>71</v>
      </c>
      <c r="B77" s="2">
        <v>153658</v>
      </c>
      <c r="C77" t="s">
        <v>155</v>
      </c>
      <c r="D77" t="s">
        <v>156</v>
      </c>
      <c r="E77" t="s">
        <v>113</v>
      </c>
      <c r="F77" s="9">
        <v>1500456</v>
      </c>
      <c r="G77" s="9">
        <v>1397658</v>
      </c>
      <c r="H77" s="1">
        <f t="shared" si="7"/>
        <v>7.355018180413234</v>
      </c>
      <c r="I77" s="23">
        <v>29867</v>
      </c>
      <c r="J77" s="9">
        <f t="shared" si="6"/>
        <v>50237.921451769515</v>
      </c>
      <c r="K77" s="11">
        <v>1</v>
      </c>
      <c r="L77" s="11">
        <v>2</v>
      </c>
      <c r="M77" s="11">
        <v>2</v>
      </c>
    </row>
    <row r="78" spans="1:13" ht="17.25" x14ac:dyDescent="0.25">
      <c r="A78" s="2">
        <f t="shared" si="8"/>
        <v>72</v>
      </c>
      <c r="B78" s="10" t="s">
        <v>119</v>
      </c>
      <c r="C78" t="s">
        <v>1385</v>
      </c>
      <c r="D78" t="s">
        <v>157</v>
      </c>
      <c r="E78" t="s">
        <v>158</v>
      </c>
      <c r="F78" s="9">
        <v>1477886</v>
      </c>
      <c r="G78" s="9">
        <v>1269851</v>
      </c>
      <c r="H78" s="1">
        <f t="shared" si="7"/>
        <v>16.382630718092123</v>
      </c>
      <c r="I78" s="23">
        <v>56807</v>
      </c>
      <c r="J78" s="9">
        <f t="shared" si="6"/>
        <v>26015.913531783055</v>
      </c>
      <c r="K78" s="10" t="s">
        <v>119</v>
      </c>
      <c r="L78" s="10" t="s">
        <v>119</v>
      </c>
      <c r="M78" s="10" t="s">
        <v>119</v>
      </c>
    </row>
    <row r="79" spans="1:13" x14ac:dyDescent="0.25">
      <c r="A79" s="2">
        <f t="shared" si="8"/>
        <v>73</v>
      </c>
      <c r="B79" s="2">
        <v>100733</v>
      </c>
      <c r="C79" t="s">
        <v>159</v>
      </c>
      <c r="D79" t="s">
        <v>160</v>
      </c>
      <c r="E79" t="s">
        <v>161</v>
      </c>
      <c r="F79" s="9">
        <v>1451750</v>
      </c>
      <c r="G79" s="9">
        <v>1351160</v>
      </c>
      <c r="H79" s="1">
        <f t="shared" si="7"/>
        <v>7.4447141715266882</v>
      </c>
      <c r="I79" s="23">
        <v>58640</v>
      </c>
      <c r="J79" s="9">
        <f t="shared" si="6"/>
        <v>24756.991814461118</v>
      </c>
      <c r="K79" s="11">
        <v>0</v>
      </c>
      <c r="L79" s="11">
        <v>2</v>
      </c>
      <c r="M79" s="11">
        <v>0</v>
      </c>
    </row>
    <row r="80" spans="1:13" x14ac:dyDescent="0.25">
      <c r="A80" s="2">
        <f t="shared" si="8"/>
        <v>74</v>
      </c>
      <c r="B80" s="2">
        <v>232557</v>
      </c>
      <c r="C80" t="s">
        <v>162</v>
      </c>
      <c r="D80" t="s">
        <v>163</v>
      </c>
      <c r="E80" t="s">
        <v>52</v>
      </c>
      <c r="F80" s="9">
        <v>1432964</v>
      </c>
      <c r="G80" s="9">
        <v>1289996</v>
      </c>
      <c r="H80" s="1">
        <f t="shared" si="7"/>
        <v>11.082825063023451</v>
      </c>
      <c r="I80" s="23">
        <v>64650</v>
      </c>
      <c r="J80" s="9">
        <f t="shared" si="6"/>
        <v>22164.949729311676</v>
      </c>
      <c r="K80" s="11">
        <v>2</v>
      </c>
      <c r="L80" s="11">
        <v>2</v>
      </c>
      <c r="M80" s="11">
        <v>2</v>
      </c>
    </row>
    <row r="81" spans="1:13" x14ac:dyDescent="0.25">
      <c r="A81" s="2">
        <f t="shared" si="8"/>
        <v>75</v>
      </c>
      <c r="B81" s="2">
        <v>130943</v>
      </c>
      <c r="C81" t="s">
        <v>164</v>
      </c>
      <c r="D81" t="s">
        <v>165</v>
      </c>
      <c r="E81" t="s">
        <v>166</v>
      </c>
      <c r="F81" s="9">
        <v>1413197</v>
      </c>
      <c r="G81" s="9">
        <v>1364057</v>
      </c>
      <c r="H81" s="1">
        <f t="shared" si="7"/>
        <v>3.602488752302873</v>
      </c>
      <c r="I81" s="23">
        <v>22181</v>
      </c>
      <c r="J81" s="9">
        <f t="shared" si="6"/>
        <v>63712.05085433479</v>
      </c>
      <c r="K81" s="11">
        <v>1</v>
      </c>
      <c r="L81" s="11">
        <v>2</v>
      </c>
      <c r="M81" s="11">
        <v>2</v>
      </c>
    </row>
    <row r="82" spans="1:13" x14ac:dyDescent="0.25">
      <c r="A82" s="2">
        <f t="shared" si="8"/>
        <v>76</v>
      </c>
      <c r="B82" s="2">
        <v>160755</v>
      </c>
      <c r="C82" t="s">
        <v>167</v>
      </c>
      <c r="D82" t="s">
        <v>168</v>
      </c>
      <c r="E82" t="s">
        <v>169</v>
      </c>
      <c r="F82" s="9">
        <v>1384371</v>
      </c>
      <c r="G82" s="9">
        <v>1288374</v>
      </c>
      <c r="H82" s="1">
        <f t="shared" si="7"/>
        <v>7.4510196573355252</v>
      </c>
      <c r="I82" s="23">
        <v>12254</v>
      </c>
      <c r="J82" s="9">
        <f t="shared" si="6"/>
        <v>112972.98841194712</v>
      </c>
      <c r="K82" s="11">
        <v>2</v>
      </c>
      <c r="L82" s="11">
        <v>2</v>
      </c>
      <c r="M82" s="11">
        <v>2</v>
      </c>
    </row>
    <row r="83" spans="1:13" x14ac:dyDescent="0.25">
      <c r="A83" s="2">
        <f t="shared" si="8"/>
        <v>77</v>
      </c>
      <c r="B83" s="2">
        <v>201885</v>
      </c>
      <c r="C83" t="s">
        <v>170</v>
      </c>
      <c r="D83" t="s">
        <v>171</v>
      </c>
      <c r="E83" t="s">
        <v>60</v>
      </c>
      <c r="F83" s="9">
        <v>1367426</v>
      </c>
      <c r="G83" s="9">
        <v>1282824</v>
      </c>
      <c r="H83" s="1">
        <f t="shared" si="7"/>
        <v>6.594981073007677</v>
      </c>
      <c r="I83" s="23">
        <v>35665</v>
      </c>
      <c r="J83" s="9">
        <f t="shared" si="6"/>
        <v>38340.838356932567</v>
      </c>
      <c r="K83" s="11">
        <v>1</v>
      </c>
      <c r="L83" s="11">
        <v>2</v>
      </c>
      <c r="M83" s="11">
        <v>2</v>
      </c>
    </row>
    <row r="84" spans="1:13" x14ac:dyDescent="0.25">
      <c r="A84" s="2">
        <f t="shared" si="8"/>
        <v>78</v>
      </c>
      <c r="B84" s="2">
        <v>157085</v>
      </c>
      <c r="C84" t="s">
        <v>172</v>
      </c>
      <c r="D84" t="s">
        <v>154</v>
      </c>
      <c r="E84" t="s">
        <v>173</v>
      </c>
      <c r="F84" s="9">
        <v>1361246</v>
      </c>
      <c r="G84" s="9">
        <v>1285114</v>
      </c>
      <c r="H84" s="1">
        <f t="shared" si="7"/>
        <v>5.9241436946449886</v>
      </c>
      <c r="I84" s="29">
        <v>27419</v>
      </c>
      <c r="J84" s="9">
        <f t="shared" si="6"/>
        <v>49646.084831686057</v>
      </c>
      <c r="K84" s="11">
        <v>1</v>
      </c>
      <c r="L84" s="11">
        <v>2</v>
      </c>
      <c r="M84" s="11">
        <v>2</v>
      </c>
    </row>
    <row r="85" spans="1:13" x14ac:dyDescent="0.25">
      <c r="A85" s="2">
        <f t="shared" si="8"/>
        <v>79</v>
      </c>
      <c r="B85" s="2">
        <v>128300</v>
      </c>
      <c r="C85" t="s">
        <v>174</v>
      </c>
      <c r="D85" t="s">
        <v>293</v>
      </c>
      <c r="E85" t="s">
        <v>175</v>
      </c>
      <c r="F85" s="9">
        <v>1360521</v>
      </c>
      <c r="G85" s="9">
        <v>1220204</v>
      </c>
      <c r="H85" s="1">
        <f t="shared" si="7"/>
        <v>11.499470580329191</v>
      </c>
      <c r="I85" s="31" t="s">
        <v>119</v>
      </c>
      <c r="J85" s="10" t="s">
        <v>119</v>
      </c>
      <c r="K85" s="11">
        <v>0</v>
      </c>
      <c r="L85" s="11">
        <v>2</v>
      </c>
      <c r="M85" s="11">
        <v>0</v>
      </c>
    </row>
    <row r="86" spans="1:13" x14ac:dyDescent="0.25">
      <c r="A86" s="2">
        <f t="shared" si="8"/>
        <v>80</v>
      </c>
      <c r="B86" s="2">
        <v>213543</v>
      </c>
      <c r="C86" t="s">
        <v>176</v>
      </c>
      <c r="D86" t="s">
        <v>1100</v>
      </c>
      <c r="E86" t="s">
        <v>22</v>
      </c>
      <c r="F86" s="9">
        <v>1353116</v>
      </c>
      <c r="G86" s="9">
        <v>1278120</v>
      </c>
      <c r="H86" s="1">
        <f t="shared" si="7"/>
        <v>5.8676806559634462</v>
      </c>
      <c r="I86" s="23">
        <v>6494</v>
      </c>
      <c r="J86" s="9">
        <f t="shared" ref="J86:J91" si="9">(F86*1000)/I86</f>
        <v>208364.02833384663</v>
      </c>
      <c r="K86" s="11">
        <v>2</v>
      </c>
      <c r="L86" s="11">
        <v>2</v>
      </c>
      <c r="M86" s="11">
        <v>2</v>
      </c>
    </row>
    <row r="87" spans="1:13" x14ac:dyDescent="0.25">
      <c r="A87" s="2">
        <f t="shared" si="8"/>
        <v>81</v>
      </c>
      <c r="B87" s="2">
        <v>196413</v>
      </c>
      <c r="C87" t="s">
        <v>177</v>
      </c>
      <c r="D87" t="s">
        <v>178</v>
      </c>
      <c r="E87" t="s">
        <v>34</v>
      </c>
      <c r="F87" s="9">
        <v>1338287</v>
      </c>
      <c r="G87" s="9">
        <v>1258728</v>
      </c>
      <c r="H87" s="1">
        <f t="shared" si="7"/>
        <v>6.3205871324066836</v>
      </c>
      <c r="I87" s="23">
        <v>20485</v>
      </c>
      <c r="J87" s="9">
        <f t="shared" si="9"/>
        <v>65330.095191603614</v>
      </c>
      <c r="K87" s="11">
        <v>2</v>
      </c>
      <c r="L87" s="11">
        <v>2</v>
      </c>
      <c r="M87" s="11">
        <v>2</v>
      </c>
    </row>
    <row r="88" spans="1:13" x14ac:dyDescent="0.25">
      <c r="A88" s="2">
        <f t="shared" si="8"/>
        <v>82</v>
      </c>
      <c r="B88" s="2">
        <v>186380</v>
      </c>
      <c r="C88" t="s">
        <v>179</v>
      </c>
      <c r="D88" t="s">
        <v>180</v>
      </c>
      <c r="E88" t="s">
        <v>17</v>
      </c>
      <c r="F88" s="9">
        <v>1330011</v>
      </c>
      <c r="G88" s="9">
        <v>1220265</v>
      </c>
      <c r="H88" s="1">
        <f t="shared" si="7"/>
        <v>8.9936202382269439</v>
      </c>
      <c r="I88" s="23">
        <v>60608</v>
      </c>
      <c r="J88" s="9">
        <f t="shared" si="9"/>
        <v>21944.479276663147</v>
      </c>
      <c r="K88" s="11">
        <v>1</v>
      </c>
      <c r="L88" s="11">
        <v>2</v>
      </c>
      <c r="M88" s="11">
        <v>2</v>
      </c>
    </row>
    <row r="89" spans="1:13" x14ac:dyDescent="0.25">
      <c r="A89" s="2">
        <f t="shared" si="8"/>
        <v>83</v>
      </c>
      <c r="B89" s="2">
        <v>199847</v>
      </c>
      <c r="C89" t="s">
        <v>181</v>
      </c>
      <c r="D89" t="s">
        <v>182</v>
      </c>
      <c r="E89" t="s">
        <v>40</v>
      </c>
      <c r="F89" s="9">
        <v>1329255</v>
      </c>
      <c r="G89" s="9">
        <v>1205323</v>
      </c>
      <c r="H89" s="1">
        <f t="shared" si="7"/>
        <v>10.282057174715824</v>
      </c>
      <c r="I89" s="23">
        <v>7909.75</v>
      </c>
      <c r="J89" s="9">
        <f t="shared" si="9"/>
        <v>168052.71974461898</v>
      </c>
      <c r="K89" s="11">
        <v>2</v>
      </c>
      <c r="L89" s="11">
        <v>2</v>
      </c>
      <c r="M89" s="11">
        <v>2</v>
      </c>
    </row>
    <row r="90" spans="1:13" x14ac:dyDescent="0.25">
      <c r="A90" s="2">
        <f t="shared" si="8"/>
        <v>84</v>
      </c>
      <c r="B90" s="2">
        <v>223232</v>
      </c>
      <c r="C90" t="s">
        <v>183</v>
      </c>
      <c r="D90" t="s">
        <v>184</v>
      </c>
      <c r="E90" t="s">
        <v>8</v>
      </c>
      <c r="F90" s="9">
        <v>1312753</v>
      </c>
      <c r="G90" s="9">
        <v>1230958</v>
      </c>
      <c r="H90" s="1">
        <f t="shared" si="7"/>
        <v>6.6448246000269702</v>
      </c>
      <c r="I90" s="23">
        <v>16597</v>
      </c>
      <c r="J90" s="9">
        <f t="shared" si="9"/>
        <v>79095.800445863715</v>
      </c>
      <c r="K90" s="11">
        <v>2</v>
      </c>
      <c r="L90" s="11">
        <v>2</v>
      </c>
      <c r="M90" s="11">
        <v>2</v>
      </c>
    </row>
    <row r="91" spans="1:13" x14ac:dyDescent="0.25">
      <c r="A91" s="2">
        <f t="shared" si="8"/>
        <v>85</v>
      </c>
      <c r="B91" s="2">
        <v>229115</v>
      </c>
      <c r="C91" t="s">
        <v>185</v>
      </c>
      <c r="D91" t="s">
        <v>7</v>
      </c>
      <c r="E91" t="s">
        <v>8</v>
      </c>
      <c r="F91" s="9">
        <v>1306551</v>
      </c>
      <c r="G91" s="9">
        <v>1261576</v>
      </c>
      <c r="H91" s="1">
        <f t="shared" si="7"/>
        <v>3.5649853833617637</v>
      </c>
      <c r="I91" s="23">
        <v>48443</v>
      </c>
      <c r="J91" s="9">
        <f t="shared" si="9"/>
        <v>26970.893627562291</v>
      </c>
      <c r="K91" s="11">
        <v>1</v>
      </c>
      <c r="L91" s="11">
        <v>2</v>
      </c>
      <c r="M91" s="11">
        <v>2</v>
      </c>
    </row>
    <row r="92" spans="1:13" x14ac:dyDescent="0.25">
      <c r="A92" s="2">
        <f t="shared" si="8"/>
        <v>86</v>
      </c>
      <c r="B92" s="2">
        <v>221722</v>
      </c>
      <c r="C92" t="s">
        <v>186</v>
      </c>
      <c r="D92" t="s">
        <v>187</v>
      </c>
      <c r="E92" t="s">
        <v>63</v>
      </c>
      <c r="F92" s="9">
        <v>1298212</v>
      </c>
      <c r="G92" s="9">
        <v>1214619</v>
      </c>
      <c r="H92" s="1">
        <f t="shared" si="7"/>
        <v>6.8822404391829863</v>
      </c>
      <c r="I92" s="31" t="s">
        <v>119</v>
      </c>
      <c r="J92" s="25" t="s">
        <v>119</v>
      </c>
      <c r="K92" s="10" t="s">
        <v>119</v>
      </c>
      <c r="L92" s="10" t="s">
        <v>119</v>
      </c>
      <c r="M92" s="10" t="s">
        <v>119</v>
      </c>
    </row>
    <row r="93" spans="1:13" x14ac:dyDescent="0.25">
      <c r="A93" s="2">
        <f t="shared" si="8"/>
        <v>87</v>
      </c>
      <c r="B93" s="2">
        <v>164146</v>
      </c>
      <c r="C93" t="s">
        <v>188</v>
      </c>
      <c r="D93" t="s">
        <v>189</v>
      </c>
      <c r="E93" t="s">
        <v>66</v>
      </c>
      <c r="F93" s="9">
        <v>1297783</v>
      </c>
      <c r="G93" s="9">
        <v>1099864</v>
      </c>
      <c r="H93" s="1">
        <f t="shared" si="7"/>
        <v>17.994861182837152</v>
      </c>
      <c r="I93" s="31" t="s">
        <v>119</v>
      </c>
      <c r="J93" s="25" t="s">
        <v>119</v>
      </c>
      <c r="K93" s="11">
        <v>0</v>
      </c>
      <c r="L93" s="11">
        <v>2</v>
      </c>
      <c r="M93" s="11">
        <v>0</v>
      </c>
    </row>
    <row r="94" spans="1:13" x14ac:dyDescent="0.25">
      <c r="A94" s="2">
        <f t="shared" si="8"/>
        <v>88</v>
      </c>
      <c r="B94" s="2">
        <v>199193</v>
      </c>
      <c r="C94" t="s">
        <v>190</v>
      </c>
      <c r="D94" t="s">
        <v>191</v>
      </c>
      <c r="E94" t="s">
        <v>40</v>
      </c>
      <c r="F94" s="9">
        <v>1293743</v>
      </c>
      <c r="G94" s="9">
        <v>1122899</v>
      </c>
      <c r="H94" s="1">
        <f t="shared" si="7"/>
        <v>15.214547345754159</v>
      </c>
      <c r="I94" s="23">
        <v>30575.5</v>
      </c>
      <c r="J94" s="9">
        <f>(F94*1000)/I94</f>
        <v>42313.061111020259</v>
      </c>
      <c r="K94" s="11">
        <v>1</v>
      </c>
      <c r="L94" s="11">
        <v>2</v>
      </c>
      <c r="M94" s="11">
        <v>2</v>
      </c>
    </row>
    <row r="95" spans="1:13" x14ac:dyDescent="0.25">
      <c r="A95" s="2">
        <f t="shared" si="8"/>
        <v>89</v>
      </c>
      <c r="B95" s="2">
        <v>229267</v>
      </c>
      <c r="C95" t="s">
        <v>192</v>
      </c>
      <c r="D95" t="s">
        <v>193</v>
      </c>
      <c r="E95" t="s">
        <v>8</v>
      </c>
      <c r="F95" s="9">
        <v>1292095</v>
      </c>
      <c r="G95" s="9">
        <v>1194250</v>
      </c>
      <c r="H95" s="1">
        <f t="shared" si="7"/>
        <v>8.1930081641197408</v>
      </c>
      <c r="I95" s="23">
        <v>2459</v>
      </c>
      <c r="J95" s="9">
        <f>(F95*1000)/I95</f>
        <v>525455.46970313136</v>
      </c>
      <c r="K95" s="11">
        <v>2</v>
      </c>
      <c r="L95" s="11">
        <v>2</v>
      </c>
      <c r="M95" s="11">
        <v>3</v>
      </c>
    </row>
    <row r="96" spans="1:13" x14ac:dyDescent="0.25">
      <c r="A96" s="2">
        <f t="shared" si="8"/>
        <v>90</v>
      </c>
      <c r="B96" s="2">
        <v>139959</v>
      </c>
      <c r="C96" t="s">
        <v>194</v>
      </c>
      <c r="D96" t="s">
        <v>195</v>
      </c>
      <c r="E96" t="s">
        <v>48</v>
      </c>
      <c r="F96" s="9">
        <v>1274343</v>
      </c>
      <c r="G96" s="9">
        <v>1151904</v>
      </c>
      <c r="H96" s="1">
        <f t="shared" si="7"/>
        <v>10.629271189265772</v>
      </c>
      <c r="I96" s="23">
        <v>37606</v>
      </c>
      <c r="J96" s="9">
        <f>(F96*1000)/I96</f>
        <v>33886.693612721378</v>
      </c>
      <c r="K96" s="11">
        <v>1</v>
      </c>
      <c r="L96" s="11">
        <v>2</v>
      </c>
      <c r="M96" s="11">
        <v>2</v>
      </c>
    </row>
    <row r="97" spans="1:13" x14ac:dyDescent="0.25">
      <c r="A97" s="2">
        <f t="shared" si="8"/>
        <v>91</v>
      </c>
      <c r="B97" s="2">
        <v>223223</v>
      </c>
      <c r="C97" t="s">
        <v>196</v>
      </c>
      <c r="D97" t="s">
        <v>54</v>
      </c>
      <c r="E97" t="s">
        <v>8</v>
      </c>
      <c r="F97" s="9">
        <v>1272276</v>
      </c>
      <c r="G97" s="9">
        <v>1166562</v>
      </c>
      <c r="H97" s="1">
        <f t="shared" si="7"/>
        <v>9.0620129920227122</v>
      </c>
      <c r="I97" s="23">
        <v>1577</v>
      </c>
      <c r="J97" s="9">
        <f>(F97*1000)/I97</f>
        <v>806769.81610653142</v>
      </c>
      <c r="K97" s="11">
        <v>2</v>
      </c>
      <c r="L97" s="11">
        <v>2</v>
      </c>
      <c r="M97" s="11">
        <v>5</v>
      </c>
    </row>
    <row r="98" spans="1:13" ht="17.25" x14ac:dyDescent="0.25">
      <c r="A98" s="2">
        <f t="shared" si="8"/>
        <v>92</v>
      </c>
      <c r="B98" s="12" t="s">
        <v>119</v>
      </c>
      <c r="C98" t="s">
        <v>1386</v>
      </c>
      <c r="D98" t="s">
        <v>197</v>
      </c>
      <c r="E98" t="s">
        <v>198</v>
      </c>
      <c r="F98" s="9">
        <v>1256358</v>
      </c>
      <c r="G98" s="9">
        <v>1230605</v>
      </c>
      <c r="H98" s="1">
        <f t="shared" si="7"/>
        <v>2.0927104960568177</v>
      </c>
      <c r="I98" s="23">
        <v>33411</v>
      </c>
      <c r="J98" s="9">
        <f>(F98*1000)/I98</f>
        <v>37603.124719403786</v>
      </c>
      <c r="K98" s="10" t="s">
        <v>119</v>
      </c>
      <c r="L98" s="10" t="s">
        <v>119</v>
      </c>
      <c r="M98" s="10" t="s">
        <v>119</v>
      </c>
    </row>
    <row r="99" spans="1:13" x14ac:dyDescent="0.25">
      <c r="A99" s="2">
        <f t="shared" si="8"/>
        <v>93</v>
      </c>
      <c r="B99" s="2">
        <v>179159</v>
      </c>
      <c r="C99" t="s">
        <v>199</v>
      </c>
      <c r="D99" t="s">
        <v>1078</v>
      </c>
      <c r="E99" t="s">
        <v>45</v>
      </c>
      <c r="F99" s="9">
        <v>1222688</v>
      </c>
      <c r="G99" s="9">
        <v>1146865</v>
      </c>
      <c r="H99" s="1">
        <f t="shared" si="7"/>
        <v>6.6113274012198477</v>
      </c>
      <c r="I99" s="23">
        <v>11971</v>
      </c>
      <c r="J99" s="9">
        <v>102137</v>
      </c>
      <c r="K99" s="11">
        <v>2</v>
      </c>
      <c r="L99" s="11">
        <v>2</v>
      </c>
      <c r="M99" s="11">
        <v>2</v>
      </c>
    </row>
    <row r="100" spans="1:13" x14ac:dyDescent="0.25">
      <c r="A100" s="2">
        <f t="shared" si="8"/>
        <v>94</v>
      </c>
      <c r="B100" s="2">
        <v>156295</v>
      </c>
      <c r="C100" t="s">
        <v>202</v>
      </c>
      <c r="D100" t="s">
        <v>203</v>
      </c>
      <c r="E100" t="s">
        <v>173</v>
      </c>
      <c r="F100" s="9">
        <v>1192078</v>
      </c>
      <c r="G100" s="9">
        <v>1150360</v>
      </c>
      <c r="H100" s="1">
        <f t="shared" si="7"/>
        <v>3.6265169164435478</v>
      </c>
      <c r="I100" s="23">
        <v>1637</v>
      </c>
      <c r="J100" s="9">
        <f>(F100*1000)/I100</f>
        <v>728208.91875381791</v>
      </c>
      <c r="K100" s="11">
        <v>2</v>
      </c>
      <c r="L100" s="11">
        <v>2</v>
      </c>
      <c r="M100" s="11">
        <v>4</v>
      </c>
    </row>
    <row r="101" spans="1:13" x14ac:dyDescent="0.25">
      <c r="A101" s="2">
        <f t="shared" si="8"/>
        <v>95</v>
      </c>
      <c r="B101" s="2">
        <v>230764</v>
      </c>
      <c r="C101" t="s">
        <v>204</v>
      </c>
      <c r="D101" t="s">
        <v>205</v>
      </c>
      <c r="E101" t="s">
        <v>206</v>
      </c>
      <c r="F101" s="9">
        <v>1186952</v>
      </c>
      <c r="G101" s="9">
        <v>1127686</v>
      </c>
      <c r="H101" s="1">
        <f t="shared" si="7"/>
        <v>5.2555409927940939</v>
      </c>
      <c r="I101" s="32" t="s">
        <v>119</v>
      </c>
      <c r="J101" s="13" t="s">
        <v>119</v>
      </c>
      <c r="K101" s="11">
        <v>1</v>
      </c>
      <c r="L101" s="11">
        <v>2</v>
      </c>
      <c r="M101" s="11">
        <v>2</v>
      </c>
    </row>
    <row r="102" spans="1:13" x14ac:dyDescent="0.25">
      <c r="A102" s="2">
        <f t="shared" si="8"/>
        <v>96</v>
      </c>
      <c r="B102" s="2">
        <v>108056</v>
      </c>
      <c r="C102" t="s">
        <v>1472</v>
      </c>
      <c r="D102" t="s">
        <v>1473</v>
      </c>
      <c r="E102" t="s">
        <v>201</v>
      </c>
      <c r="F102" s="9">
        <v>1185715</v>
      </c>
      <c r="G102" s="9">
        <v>996019</v>
      </c>
      <c r="H102" s="1">
        <f t="shared" si="7"/>
        <v>19.045419816288643</v>
      </c>
      <c r="I102" s="32" t="s">
        <v>119</v>
      </c>
      <c r="J102" s="13" t="s">
        <v>119</v>
      </c>
      <c r="K102" s="11">
        <v>0</v>
      </c>
      <c r="L102" s="11">
        <v>2</v>
      </c>
      <c r="M102" s="11">
        <v>0</v>
      </c>
    </row>
    <row r="103" spans="1:13" x14ac:dyDescent="0.25">
      <c r="A103" s="2">
        <f t="shared" si="8"/>
        <v>97</v>
      </c>
      <c r="B103" s="2">
        <v>233921</v>
      </c>
      <c r="C103" t="s">
        <v>207</v>
      </c>
      <c r="D103" t="s">
        <v>208</v>
      </c>
      <c r="E103" t="s">
        <v>52</v>
      </c>
      <c r="F103" s="9">
        <v>1146055</v>
      </c>
      <c r="G103" s="9">
        <v>995807</v>
      </c>
      <c r="H103" s="1">
        <f t="shared" si="7"/>
        <v>15.088064253414569</v>
      </c>
      <c r="I103" s="32" t="s">
        <v>119</v>
      </c>
      <c r="J103" s="13" t="s">
        <v>119</v>
      </c>
      <c r="K103" s="11">
        <v>1</v>
      </c>
      <c r="L103" s="11">
        <v>2</v>
      </c>
      <c r="M103" s="11">
        <v>2</v>
      </c>
    </row>
    <row r="104" spans="1:13" x14ac:dyDescent="0.25">
      <c r="A104" s="2">
        <f t="shared" si="8"/>
        <v>98</v>
      </c>
      <c r="B104" s="2">
        <v>230959</v>
      </c>
      <c r="C104" t="s">
        <v>209</v>
      </c>
      <c r="D104" t="s">
        <v>210</v>
      </c>
      <c r="E104" t="s">
        <v>211</v>
      </c>
      <c r="F104" s="9">
        <v>1124144</v>
      </c>
      <c r="G104" s="9">
        <v>1073976</v>
      </c>
      <c r="H104" s="1">
        <f t="shared" si="7"/>
        <v>4.6712403256683572</v>
      </c>
      <c r="I104" s="23">
        <v>3258</v>
      </c>
      <c r="J104" s="9">
        <f t="shared" ref="J104:J113" si="10">(F104*1000)/I104</f>
        <v>345041.12952731736</v>
      </c>
      <c r="K104" s="11">
        <v>2</v>
      </c>
      <c r="L104" s="11">
        <v>2</v>
      </c>
      <c r="M104" s="11">
        <v>4</v>
      </c>
    </row>
    <row r="105" spans="1:13" x14ac:dyDescent="0.25">
      <c r="A105" s="2">
        <f t="shared" si="8"/>
        <v>99</v>
      </c>
      <c r="B105" s="2">
        <v>186122</v>
      </c>
      <c r="C105" t="s">
        <v>212</v>
      </c>
      <c r="D105" t="s">
        <v>16</v>
      </c>
      <c r="E105" t="s">
        <v>17</v>
      </c>
      <c r="F105" s="9">
        <v>1119689</v>
      </c>
      <c r="G105" s="9">
        <v>1066351</v>
      </c>
      <c r="H105" s="1">
        <f t="shared" si="7"/>
        <v>5.0019177550356311</v>
      </c>
      <c r="I105" s="23">
        <v>480.67</v>
      </c>
      <c r="J105" s="9">
        <f t="shared" si="10"/>
        <v>2329433.9151600888</v>
      </c>
      <c r="K105" s="11">
        <v>2</v>
      </c>
      <c r="L105" s="11">
        <v>2</v>
      </c>
      <c r="M105" s="11">
        <v>5</v>
      </c>
    </row>
    <row r="106" spans="1:13" x14ac:dyDescent="0.25">
      <c r="A106" s="2">
        <f t="shared" si="8"/>
        <v>100</v>
      </c>
      <c r="B106" s="2">
        <v>207971</v>
      </c>
      <c r="C106" t="s">
        <v>213</v>
      </c>
      <c r="D106" t="s">
        <v>214</v>
      </c>
      <c r="E106" t="s">
        <v>135</v>
      </c>
      <c r="F106" s="9">
        <v>1093042</v>
      </c>
      <c r="G106" s="9">
        <v>1026476</v>
      </c>
      <c r="H106" s="1">
        <f t="shared" si="7"/>
        <v>6.4849056383198436</v>
      </c>
      <c r="I106" s="23">
        <v>4224</v>
      </c>
      <c r="J106" s="9">
        <f t="shared" si="10"/>
        <v>258769.41287878787</v>
      </c>
      <c r="K106" s="11">
        <v>2</v>
      </c>
      <c r="L106" s="11">
        <v>2</v>
      </c>
      <c r="M106" s="11">
        <v>2</v>
      </c>
    </row>
    <row r="107" spans="1:13" ht="17.25" x14ac:dyDescent="0.25">
      <c r="A107" s="2">
        <f t="shared" si="8"/>
        <v>101</v>
      </c>
      <c r="B107" s="12" t="s">
        <v>119</v>
      </c>
      <c r="C107" t="s">
        <v>1387</v>
      </c>
      <c r="D107" t="s">
        <v>215</v>
      </c>
      <c r="E107" t="s">
        <v>216</v>
      </c>
      <c r="F107" s="9">
        <v>1090429</v>
      </c>
      <c r="G107" s="9">
        <v>1003725</v>
      </c>
      <c r="H107" s="1">
        <f t="shared" si="7"/>
        <v>8.6382226207377517</v>
      </c>
      <c r="I107" s="23">
        <v>36044</v>
      </c>
      <c r="J107" s="9">
        <f t="shared" si="10"/>
        <v>30252.718899123294</v>
      </c>
      <c r="K107" s="10" t="s">
        <v>119</v>
      </c>
      <c r="L107" s="10" t="s">
        <v>119</v>
      </c>
      <c r="M107" s="10" t="s">
        <v>119</v>
      </c>
    </row>
    <row r="108" spans="1:13" x14ac:dyDescent="0.25">
      <c r="A108" s="2">
        <f t="shared" si="8"/>
        <v>102</v>
      </c>
      <c r="B108" s="2">
        <v>197133</v>
      </c>
      <c r="C108" t="s">
        <v>217</v>
      </c>
      <c r="D108" t="s">
        <v>218</v>
      </c>
      <c r="E108" t="s">
        <v>34</v>
      </c>
      <c r="F108" s="9">
        <v>1082831</v>
      </c>
      <c r="G108" s="9">
        <v>1002570</v>
      </c>
      <c r="H108" s="1">
        <f t="shared" si="7"/>
        <v>8.0055257986973487</v>
      </c>
      <c r="I108" s="23">
        <v>2340</v>
      </c>
      <c r="J108" s="9">
        <f t="shared" si="10"/>
        <v>462748.29059829062</v>
      </c>
      <c r="K108" s="11">
        <v>2</v>
      </c>
      <c r="L108" s="11">
        <v>2</v>
      </c>
      <c r="M108" s="11">
        <v>4</v>
      </c>
    </row>
    <row r="109" spans="1:13" x14ac:dyDescent="0.25">
      <c r="A109" s="2">
        <f t="shared" si="8"/>
        <v>103</v>
      </c>
      <c r="B109" s="2">
        <v>153603</v>
      </c>
      <c r="C109" t="s">
        <v>219</v>
      </c>
      <c r="D109" t="s">
        <v>220</v>
      </c>
      <c r="E109" t="s">
        <v>113</v>
      </c>
      <c r="F109" s="9">
        <v>1063772</v>
      </c>
      <c r="G109" s="9">
        <v>838871</v>
      </c>
      <c r="H109" s="1">
        <f t="shared" si="7"/>
        <v>26.809962437609595</v>
      </c>
      <c r="I109" s="23">
        <v>34573</v>
      </c>
      <c r="J109" s="9">
        <f t="shared" si="10"/>
        <v>30768.865877997279</v>
      </c>
      <c r="K109" s="11">
        <v>1</v>
      </c>
      <c r="L109" s="11">
        <v>2</v>
      </c>
      <c r="M109" s="11">
        <v>2</v>
      </c>
    </row>
    <row r="110" spans="1:13" x14ac:dyDescent="0.25">
      <c r="A110" s="2">
        <f t="shared" si="8"/>
        <v>104</v>
      </c>
      <c r="B110" s="2">
        <v>165015</v>
      </c>
      <c r="C110" t="s">
        <v>221</v>
      </c>
      <c r="D110" t="s">
        <v>4</v>
      </c>
      <c r="E110" t="s">
        <v>5</v>
      </c>
      <c r="F110" s="9">
        <v>1046386</v>
      </c>
      <c r="G110" s="9">
        <v>976887</v>
      </c>
      <c r="H110" s="1">
        <f t="shared" si="7"/>
        <v>7.1143335923192756</v>
      </c>
      <c r="I110" s="29">
        <v>5346</v>
      </c>
      <c r="J110" s="9">
        <f t="shared" si="10"/>
        <v>195732.51028806585</v>
      </c>
      <c r="K110" s="11">
        <v>2</v>
      </c>
      <c r="L110" s="11">
        <v>2</v>
      </c>
      <c r="M110" s="11">
        <v>2</v>
      </c>
    </row>
    <row r="111" spans="1:13" x14ac:dyDescent="0.25">
      <c r="A111" s="2">
        <f t="shared" si="8"/>
        <v>105</v>
      </c>
      <c r="B111" s="2">
        <v>236939</v>
      </c>
      <c r="C111" t="s">
        <v>222</v>
      </c>
      <c r="D111" t="s">
        <v>223</v>
      </c>
      <c r="E111" t="s">
        <v>87</v>
      </c>
      <c r="F111" s="9">
        <v>1024067</v>
      </c>
      <c r="G111" s="9">
        <v>974029</v>
      </c>
      <c r="H111" s="1">
        <f t="shared" si="7"/>
        <v>5.1372187070405504</v>
      </c>
      <c r="I111" s="23">
        <v>27439</v>
      </c>
      <c r="J111" s="9">
        <f t="shared" si="10"/>
        <v>37321.586063632058</v>
      </c>
      <c r="K111" s="11">
        <v>1</v>
      </c>
      <c r="L111" s="11">
        <v>2</v>
      </c>
      <c r="M111" s="11">
        <v>2</v>
      </c>
    </row>
    <row r="112" spans="1:13" ht="17.25" x14ac:dyDescent="0.25">
      <c r="A112" s="2">
        <f t="shared" si="8"/>
        <v>106</v>
      </c>
      <c r="B112" s="2">
        <v>135726</v>
      </c>
      <c r="C112" t="s">
        <v>1450</v>
      </c>
      <c r="D112" t="s">
        <v>224</v>
      </c>
      <c r="E112" t="s">
        <v>138</v>
      </c>
      <c r="F112" s="9">
        <v>1021508</v>
      </c>
      <c r="G112" s="9">
        <v>948579</v>
      </c>
      <c r="H112" s="1">
        <f t="shared" si="7"/>
        <v>7.6882368258205176</v>
      </c>
      <c r="I112" s="23">
        <v>16397.2</v>
      </c>
      <c r="J112" s="9">
        <f t="shared" si="10"/>
        <v>62297.709365013536</v>
      </c>
      <c r="K112" s="11">
        <v>2</v>
      </c>
      <c r="L112" s="11">
        <v>2</v>
      </c>
      <c r="M112" s="11">
        <v>2</v>
      </c>
    </row>
    <row r="113" spans="1:13" x14ac:dyDescent="0.25">
      <c r="A113" s="2">
        <f t="shared" si="8"/>
        <v>107</v>
      </c>
      <c r="B113" s="2">
        <v>130697</v>
      </c>
      <c r="C113" t="s">
        <v>225</v>
      </c>
      <c r="D113" t="s">
        <v>226</v>
      </c>
      <c r="E113" t="s">
        <v>11</v>
      </c>
      <c r="F113" s="9">
        <v>990039</v>
      </c>
      <c r="G113" s="9">
        <v>897800</v>
      </c>
      <c r="H113" s="1">
        <f t="shared" si="7"/>
        <v>10.273891735353086</v>
      </c>
      <c r="I113" s="23">
        <v>3103</v>
      </c>
      <c r="J113" s="9">
        <f t="shared" si="10"/>
        <v>319058.65291653236</v>
      </c>
      <c r="K113" s="11">
        <v>2</v>
      </c>
      <c r="L113" s="11">
        <v>2</v>
      </c>
      <c r="M113" s="11">
        <v>4</v>
      </c>
    </row>
    <row r="114" spans="1:13" x14ac:dyDescent="0.25">
      <c r="A114" s="2">
        <f t="shared" si="8"/>
        <v>108</v>
      </c>
      <c r="B114" s="12" t="s">
        <v>119</v>
      </c>
      <c r="C114" t="s">
        <v>227</v>
      </c>
      <c r="D114" t="s">
        <v>128</v>
      </c>
      <c r="E114" t="s">
        <v>129</v>
      </c>
      <c r="F114" s="9">
        <v>983966</v>
      </c>
      <c r="G114" s="9">
        <v>967689</v>
      </c>
      <c r="H114" s="1">
        <f t="shared" si="7"/>
        <v>1.6820486747291745</v>
      </c>
      <c r="I114" s="31" t="s">
        <v>119</v>
      </c>
      <c r="J114" s="25" t="s">
        <v>119</v>
      </c>
      <c r="K114" s="10" t="s">
        <v>119</v>
      </c>
      <c r="L114" s="10" t="s">
        <v>119</v>
      </c>
      <c r="M114" s="10" t="s">
        <v>119</v>
      </c>
    </row>
    <row r="115" spans="1:13" x14ac:dyDescent="0.25">
      <c r="A115" s="2">
        <f t="shared" si="8"/>
        <v>109</v>
      </c>
      <c r="B115" s="2">
        <v>122931</v>
      </c>
      <c r="C115" t="s">
        <v>228</v>
      </c>
      <c r="D115" t="s">
        <v>229</v>
      </c>
      <c r="E115" t="s">
        <v>14</v>
      </c>
      <c r="F115" s="9">
        <v>979248</v>
      </c>
      <c r="G115" s="9">
        <v>905858</v>
      </c>
      <c r="H115" s="1">
        <f t="shared" si="7"/>
        <v>8.101711305745491</v>
      </c>
      <c r="I115" s="23">
        <v>8160</v>
      </c>
      <c r="J115" s="9">
        <f>(F115*1000)/I115</f>
        <v>120005.88235294117</v>
      </c>
      <c r="K115" s="11">
        <v>2</v>
      </c>
      <c r="L115" s="11">
        <v>2</v>
      </c>
      <c r="M115" s="11">
        <v>3</v>
      </c>
    </row>
    <row r="116" spans="1:13" x14ac:dyDescent="0.25">
      <c r="A116" s="2">
        <f t="shared" si="8"/>
        <v>110</v>
      </c>
      <c r="B116" s="2">
        <v>139144</v>
      </c>
      <c r="C116" t="s">
        <v>230</v>
      </c>
      <c r="D116" t="s">
        <v>231</v>
      </c>
      <c r="E116" t="s">
        <v>48</v>
      </c>
      <c r="F116" s="9">
        <v>976754</v>
      </c>
      <c r="G116" s="9">
        <v>959996</v>
      </c>
      <c r="H116" s="1">
        <f t="shared" si="7"/>
        <v>1.745632273467806</v>
      </c>
      <c r="I116" s="23">
        <v>2056</v>
      </c>
      <c r="J116" s="9">
        <f>(F116*1000)/I116</f>
        <v>475074.90272373543</v>
      </c>
      <c r="K116" s="11">
        <v>2</v>
      </c>
      <c r="L116" s="11">
        <v>2</v>
      </c>
      <c r="M116" s="11">
        <v>3</v>
      </c>
    </row>
    <row r="117" spans="1:13" x14ac:dyDescent="0.25">
      <c r="A117" s="2">
        <f t="shared" si="8"/>
        <v>111</v>
      </c>
      <c r="B117" s="2">
        <v>110653</v>
      </c>
      <c r="C117" t="s">
        <v>232</v>
      </c>
      <c r="D117" t="s">
        <v>233</v>
      </c>
      <c r="E117" t="s">
        <v>14</v>
      </c>
      <c r="F117" s="9">
        <v>972186</v>
      </c>
      <c r="G117" s="9">
        <v>869491</v>
      </c>
      <c r="H117" s="1">
        <f t="shared" si="7"/>
        <v>11.810933063136938</v>
      </c>
      <c r="I117" s="31" t="s">
        <v>119</v>
      </c>
      <c r="J117" s="25" t="s">
        <v>119</v>
      </c>
      <c r="K117" s="11">
        <v>1</v>
      </c>
      <c r="L117" s="11">
        <v>2</v>
      </c>
      <c r="M117" s="11">
        <v>2</v>
      </c>
    </row>
    <row r="118" spans="1:13" x14ac:dyDescent="0.25">
      <c r="A118" s="2">
        <f t="shared" si="8"/>
        <v>112</v>
      </c>
      <c r="B118" s="2">
        <v>191515</v>
      </c>
      <c r="C118" t="s">
        <v>234</v>
      </c>
      <c r="D118" t="s">
        <v>235</v>
      </c>
      <c r="E118" t="s">
        <v>34</v>
      </c>
      <c r="F118" s="9">
        <v>964170</v>
      </c>
      <c r="G118" s="9">
        <v>905759</v>
      </c>
      <c r="H118" s="1">
        <f t="shared" si="7"/>
        <v>6.4488456642440211</v>
      </c>
      <c r="I118" s="23">
        <v>1847</v>
      </c>
      <c r="J118" s="9">
        <f>(F118*1000)/I118</f>
        <v>522019.49106659449</v>
      </c>
      <c r="K118" s="11">
        <v>2</v>
      </c>
      <c r="L118" s="11">
        <v>2</v>
      </c>
      <c r="M118" s="11">
        <v>4</v>
      </c>
    </row>
    <row r="119" spans="1:13" x14ac:dyDescent="0.25">
      <c r="A119" s="2">
        <f t="shared" si="8"/>
        <v>113</v>
      </c>
      <c r="B119" s="2">
        <v>207388</v>
      </c>
      <c r="C119" t="s">
        <v>236</v>
      </c>
      <c r="D119" t="s">
        <v>237</v>
      </c>
      <c r="E119" t="s">
        <v>135</v>
      </c>
      <c r="F119" s="9">
        <v>962861</v>
      </c>
      <c r="G119" s="9">
        <v>903415</v>
      </c>
      <c r="H119" s="1">
        <f t="shared" si="7"/>
        <v>6.5801431235921468</v>
      </c>
      <c r="I119" s="23">
        <v>21536</v>
      </c>
      <c r="J119" s="9">
        <f>(F119*1000)/I119</f>
        <v>44709.370356612184</v>
      </c>
      <c r="K119" s="11">
        <v>1</v>
      </c>
      <c r="L119" s="11">
        <v>2</v>
      </c>
      <c r="M119" s="11">
        <v>2</v>
      </c>
    </row>
    <row r="120" spans="1:13" x14ac:dyDescent="0.25">
      <c r="A120" s="2">
        <f t="shared" si="8"/>
        <v>114</v>
      </c>
      <c r="B120" s="2">
        <v>104179</v>
      </c>
      <c r="C120" t="s">
        <v>238</v>
      </c>
      <c r="D120" t="s">
        <v>239</v>
      </c>
      <c r="E120" t="s">
        <v>240</v>
      </c>
      <c r="F120" s="9">
        <v>959632</v>
      </c>
      <c r="G120" s="9">
        <v>843529</v>
      </c>
      <c r="H120" s="1">
        <f t="shared" si="7"/>
        <v>13.763960693704663</v>
      </c>
      <c r="I120" s="19">
        <v>39216</v>
      </c>
      <c r="J120" s="9">
        <f>(F120*1000)/I120</f>
        <v>24470.420236638107</v>
      </c>
      <c r="K120" s="11">
        <v>1</v>
      </c>
      <c r="L120" s="11">
        <v>2</v>
      </c>
      <c r="M120" s="11">
        <v>2</v>
      </c>
    </row>
    <row r="121" spans="1:13" x14ac:dyDescent="0.25">
      <c r="A121" s="2">
        <f t="shared" si="8"/>
        <v>115</v>
      </c>
      <c r="B121" s="2">
        <v>229407</v>
      </c>
      <c r="C121" t="s">
        <v>241</v>
      </c>
      <c r="D121" t="s">
        <v>54</v>
      </c>
      <c r="E121" t="s">
        <v>8</v>
      </c>
      <c r="F121" s="9">
        <v>942793</v>
      </c>
      <c r="G121" s="9">
        <v>962297</v>
      </c>
      <c r="H121" s="1">
        <f t="shared" si="7"/>
        <v>-2.0268170845383495</v>
      </c>
      <c r="I121" s="23">
        <v>72178</v>
      </c>
      <c r="J121" s="9">
        <f>(F121*1000)/I121</f>
        <v>13062.054919781651</v>
      </c>
      <c r="K121" s="11">
        <v>0</v>
      </c>
      <c r="L121" s="11">
        <v>2</v>
      </c>
      <c r="M121" s="11">
        <v>0</v>
      </c>
    </row>
    <row r="122" spans="1:13" x14ac:dyDescent="0.25">
      <c r="A122" s="2">
        <f t="shared" si="8"/>
        <v>116</v>
      </c>
      <c r="B122" s="2">
        <v>231624</v>
      </c>
      <c r="C122" t="s">
        <v>242</v>
      </c>
      <c r="D122" t="s">
        <v>243</v>
      </c>
      <c r="E122" t="s">
        <v>52</v>
      </c>
      <c r="F122" s="9">
        <v>935544</v>
      </c>
      <c r="G122" s="9">
        <v>874081</v>
      </c>
      <c r="H122" s="1">
        <f t="shared" si="7"/>
        <v>7.0317281807978889</v>
      </c>
      <c r="I122" s="31" t="s">
        <v>119</v>
      </c>
      <c r="J122" s="25" t="s">
        <v>119</v>
      </c>
      <c r="K122" s="11">
        <v>1</v>
      </c>
      <c r="L122" s="11">
        <v>2</v>
      </c>
      <c r="M122" s="11">
        <v>2</v>
      </c>
    </row>
    <row r="123" spans="1:13" x14ac:dyDescent="0.25">
      <c r="A123" s="2">
        <f t="shared" si="8"/>
        <v>117</v>
      </c>
      <c r="B123" s="2">
        <v>190099</v>
      </c>
      <c r="C123" t="s">
        <v>244</v>
      </c>
      <c r="D123" t="s">
        <v>245</v>
      </c>
      <c r="E123" t="s">
        <v>34</v>
      </c>
      <c r="F123" s="9">
        <v>934827</v>
      </c>
      <c r="G123" s="9">
        <v>881323</v>
      </c>
      <c r="H123" s="1">
        <f t="shared" si="7"/>
        <v>6.0708729943505384</v>
      </c>
      <c r="I123" s="23">
        <v>2867</v>
      </c>
      <c r="J123" s="9">
        <f>(F123*1000)/I123</f>
        <v>326064.52738053713</v>
      </c>
      <c r="K123" s="11">
        <v>2</v>
      </c>
      <c r="L123" s="11">
        <v>2</v>
      </c>
      <c r="M123" s="11">
        <v>4</v>
      </c>
    </row>
    <row r="124" spans="1:13" x14ac:dyDescent="0.25">
      <c r="A124" s="2">
        <f t="shared" si="8"/>
        <v>118</v>
      </c>
      <c r="B124" s="2">
        <v>239169</v>
      </c>
      <c r="C124" t="s">
        <v>246</v>
      </c>
      <c r="D124" t="s">
        <v>247</v>
      </c>
      <c r="E124" t="s">
        <v>80</v>
      </c>
      <c r="F124" s="9">
        <v>930961</v>
      </c>
      <c r="G124" s="9">
        <v>875817</v>
      </c>
      <c r="H124" s="1">
        <f t="shared" si="7"/>
        <v>6.2962924903261763</v>
      </c>
      <c r="I124" s="23">
        <v>1355</v>
      </c>
      <c r="J124" s="9">
        <f>(F124*1000)/I124</f>
        <v>687056.08856088563</v>
      </c>
      <c r="K124" s="11">
        <v>2</v>
      </c>
      <c r="L124" s="11">
        <v>2</v>
      </c>
      <c r="M124" s="11">
        <v>5</v>
      </c>
    </row>
    <row r="125" spans="1:13" x14ac:dyDescent="0.25">
      <c r="A125" s="2">
        <f t="shared" si="8"/>
        <v>119</v>
      </c>
      <c r="B125" s="2">
        <v>117636</v>
      </c>
      <c r="C125" t="s">
        <v>248</v>
      </c>
      <c r="D125" t="s">
        <v>249</v>
      </c>
      <c r="E125" t="s">
        <v>14</v>
      </c>
      <c r="F125" s="9">
        <v>928084</v>
      </c>
      <c r="G125" s="9">
        <v>848070</v>
      </c>
      <c r="H125" s="1">
        <f t="shared" si="7"/>
        <v>9.4348343886707458</v>
      </c>
      <c r="I125" s="23">
        <v>4417</v>
      </c>
      <c r="J125" s="9">
        <f>(F125*1000)/I125</f>
        <v>210116.36857595653</v>
      </c>
      <c r="K125" s="11">
        <v>2</v>
      </c>
      <c r="L125" s="11">
        <v>2</v>
      </c>
      <c r="M125" s="11">
        <v>5</v>
      </c>
    </row>
    <row r="126" spans="1:13" x14ac:dyDescent="0.25">
      <c r="A126" s="2">
        <f t="shared" si="8"/>
        <v>120</v>
      </c>
      <c r="B126" s="2">
        <v>195003</v>
      </c>
      <c r="C126" t="s">
        <v>250</v>
      </c>
      <c r="D126" t="s">
        <v>251</v>
      </c>
      <c r="E126" t="s">
        <v>34</v>
      </c>
      <c r="F126" s="9">
        <v>922463</v>
      </c>
      <c r="G126" s="9">
        <v>842305</v>
      </c>
      <c r="H126" s="1">
        <f t="shared" si="7"/>
        <v>9.5165053038982315</v>
      </c>
      <c r="I126" s="23">
        <v>15474</v>
      </c>
      <c r="J126" s="9">
        <f>(F126*1000)/I126</f>
        <v>59613.739175390976</v>
      </c>
      <c r="K126" s="11">
        <v>2</v>
      </c>
      <c r="L126" s="11">
        <v>2</v>
      </c>
      <c r="M126" s="11">
        <v>2</v>
      </c>
    </row>
    <row r="127" spans="1:13" x14ac:dyDescent="0.25">
      <c r="A127" s="2">
        <f t="shared" si="8"/>
        <v>121</v>
      </c>
      <c r="B127" s="2">
        <v>209551</v>
      </c>
      <c r="C127" t="s">
        <v>252</v>
      </c>
      <c r="D127" t="s">
        <v>253</v>
      </c>
      <c r="E127" t="s">
        <v>254</v>
      </c>
      <c r="F127" s="9">
        <v>912512</v>
      </c>
      <c r="G127" s="9">
        <v>828459</v>
      </c>
      <c r="H127" s="1">
        <f t="shared" si="7"/>
        <v>10.14570425331851</v>
      </c>
      <c r="I127" s="31" t="s">
        <v>119</v>
      </c>
      <c r="J127" s="25" t="s">
        <v>119</v>
      </c>
      <c r="K127" s="11">
        <v>1</v>
      </c>
      <c r="L127" s="11">
        <v>2</v>
      </c>
      <c r="M127" s="11">
        <v>2</v>
      </c>
    </row>
    <row r="128" spans="1:13" x14ac:dyDescent="0.25">
      <c r="A128" s="2">
        <f t="shared" si="8"/>
        <v>122</v>
      </c>
      <c r="B128" s="2">
        <v>204501</v>
      </c>
      <c r="C128" t="s">
        <v>255</v>
      </c>
      <c r="D128" t="s">
        <v>256</v>
      </c>
      <c r="E128" t="s">
        <v>60</v>
      </c>
      <c r="F128" s="9">
        <v>905947</v>
      </c>
      <c r="G128" s="9">
        <v>838199</v>
      </c>
      <c r="H128" s="1">
        <f t="shared" si="7"/>
        <v>8.0825675048526673</v>
      </c>
      <c r="I128" s="23">
        <v>2827</v>
      </c>
      <c r="J128" s="9">
        <f>(F128*1000)/I128</f>
        <v>320462.32755571278</v>
      </c>
      <c r="K128" s="11">
        <v>2</v>
      </c>
      <c r="L128" s="11">
        <v>2</v>
      </c>
      <c r="M128" s="11">
        <v>4</v>
      </c>
    </row>
    <row r="129" spans="1:13" x14ac:dyDescent="0.25">
      <c r="A129" s="2">
        <f t="shared" si="8"/>
        <v>123</v>
      </c>
      <c r="B129" s="2">
        <v>211273</v>
      </c>
      <c r="C129" t="s">
        <v>257</v>
      </c>
      <c r="D129" t="s">
        <v>258</v>
      </c>
      <c r="E129" t="s">
        <v>22</v>
      </c>
      <c r="F129" s="9">
        <v>893464</v>
      </c>
      <c r="G129" s="9">
        <v>845864</v>
      </c>
      <c r="H129" s="1">
        <f t="shared" si="7"/>
        <v>5.627382179641172</v>
      </c>
      <c r="I129" s="23">
        <v>1630</v>
      </c>
      <c r="J129" s="9">
        <f>(F129*1000)/I129</f>
        <v>548137.42331288347</v>
      </c>
      <c r="K129" s="11">
        <v>2</v>
      </c>
      <c r="L129" s="11">
        <v>2</v>
      </c>
      <c r="M129" s="11">
        <v>4</v>
      </c>
    </row>
    <row r="130" spans="1:13" x14ac:dyDescent="0.25">
      <c r="A130" s="2">
        <f t="shared" si="8"/>
        <v>124</v>
      </c>
      <c r="B130" s="2">
        <v>121150</v>
      </c>
      <c r="C130" t="s">
        <v>259</v>
      </c>
      <c r="D130" t="s">
        <v>260</v>
      </c>
      <c r="E130" t="s">
        <v>14</v>
      </c>
      <c r="F130" s="9">
        <v>891846</v>
      </c>
      <c r="G130" s="9">
        <v>861613</v>
      </c>
      <c r="H130" s="1">
        <f t="shared" si="7"/>
        <v>3.5088839188823751</v>
      </c>
      <c r="I130" s="23">
        <v>7710</v>
      </c>
      <c r="J130" s="9">
        <f>(F130*1000)/I130</f>
        <v>115673.9299610895</v>
      </c>
      <c r="K130" s="11">
        <v>2</v>
      </c>
      <c r="L130" s="11">
        <v>2</v>
      </c>
      <c r="M130" s="11">
        <v>2</v>
      </c>
    </row>
    <row r="131" spans="1:13" ht="17.25" x14ac:dyDescent="0.25">
      <c r="A131" s="2">
        <f t="shared" si="8"/>
        <v>125</v>
      </c>
      <c r="B131" s="2">
        <v>159638</v>
      </c>
      <c r="C131" t="s">
        <v>1451</v>
      </c>
      <c r="D131" t="s">
        <v>261</v>
      </c>
      <c r="E131" t="s">
        <v>169</v>
      </c>
      <c r="F131" s="9">
        <v>886387</v>
      </c>
      <c r="G131" s="9">
        <v>835176</v>
      </c>
      <c r="H131" s="1">
        <f t="shared" si="7"/>
        <v>6.1317614490837853</v>
      </c>
      <c r="I131" s="23">
        <v>41159</v>
      </c>
      <c r="J131" s="9">
        <f>(F131*1000)/I131</f>
        <v>21535.678709395273</v>
      </c>
      <c r="K131" s="10" t="s">
        <v>119</v>
      </c>
      <c r="L131" s="10" t="s">
        <v>119</v>
      </c>
      <c r="M131" s="10" t="s">
        <v>119</v>
      </c>
    </row>
    <row r="132" spans="1:13" x14ac:dyDescent="0.25">
      <c r="A132" s="2">
        <f t="shared" si="8"/>
        <v>126</v>
      </c>
      <c r="B132" s="2">
        <v>173258</v>
      </c>
      <c r="C132" t="s">
        <v>262</v>
      </c>
      <c r="D132" t="s">
        <v>263</v>
      </c>
      <c r="E132" t="s">
        <v>72</v>
      </c>
      <c r="F132" s="9">
        <v>878494</v>
      </c>
      <c r="G132" s="9">
        <v>828168</v>
      </c>
      <c r="H132" s="1">
        <f t="shared" si="7"/>
        <v>6.0767863525275061</v>
      </c>
      <c r="I132" s="23">
        <v>2023</v>
      </c>
      <c r="J132" s="9">
        <f>(F132*1000)/I132</f>
        <v>434253.08947108255</v>
      </c>
      <c r="K132" s="11">
        <v>2</v>
      </c>
      <c r="L132" s="11">
        <v>2</v>
      </c>
      <c r="M132" s="11">
        <v>4</v>
      </c>
    </row>
    <row r="133" spans="1:13" x14ac:dyDescent="0.25">
      <c r="A133" s="2">
        <f t="shared" si="8"/>
        <v>127</v>
      </c>
      <c r="B133" s="2">
        <v>166665</v>
      </c>
      <c r="C133" t="s">
        <v>264</v>
      </c>
      <c r="D133" t="s">
        <v>4</v>
      </c>
      <c r="E133" t="s">
        <v>5</v>
      </c>
      <c r="F133" s="9">
        <v>871950</v>
      </c>
      <c r="G133" s="9">
        <v>819687</v>
      </c>
      <c r="H133" s="1">
        <f t="shared" si="7"/>
        <v>6.3759703398980339</v>
      </c>
      <c r="I133" s="31" t="s">
        <v>119</v>
      </c>
      <c r="J133" s="10" t="s">
        <v>119</v>
      </c>
      <c r="K133" s="11">
        <v>0</v>
      </c>
      <c r="L133" s="11">
        <v>2</v>
      </c>
      <c r="M133" s="11">
        <v>0</v>
      </c>
    </row>
    <row r="134" spans="1:13" x14ac:dyDescent="0.25">
      <c r="A134" s="2">
        <f t="shared" si="8"/>
        <v>128</v>
      </c>
      <c r="B134" s="2">
        <v>211291</v>
      </c>
      <c r="C134" t="s">
        <v>265</v>
      </c>
      <c r="D134" t="s">
        <v>266</v>
      </c>
      <c r="E134" t="s">
        <v>22</v>
      </c>
      <c r="F134" s="9">
        <v>851309</v>
      </c>
      <c r="G134" s="9">
        <v>800765</v>
      </c>
      <c r="H134" s="1">
        <f t="shared" si="7"/>
        <v>6.3119641842488123</v>
      </c>
      <c r="I134" s="23">
        <v>3645</v>
      </c>
      <c r="J134" s="9">
        <f t="shared" ref="J134:J141" si="11">(F134*1000)/I134</f>
        <v>233555.28120713306</v>
      </c>
      <c r="K134" s="11">
        <v>2</v>
      </c>
      <c r="L134" s="11">
        <v>2</v>
      </c>
      <c r="M134" s="11">
        <v>4</v>
      </c>
    </row>
    <row r="135" spans="1:13" x14ac:dyDescent="0.25">
      <c r="A135" s="2">
        <f t="shared" si="8"/>
        <v>129</v>
      </c>
      <c r="B135" s="2">
        <v>202523</v>
      </c>
      <c r="C135" t="s">
        <v>267</v>
      </c>
      <c r="D135" t="s">
        <v>268</v>
      </c>
      <c r="E135" t="s">
        <v>60</v>
      </c>
      <c r="F135" s="9">
        <v>836357</v>
      </c>
      <c r="G135" s="9">
        <v>782544</v>
      </c>
      <c r="H135" s="1">
        <f t="shared" ref="H135:H199" si="12">((F135-G135)/G135)*100</f>
        <v>6.8766740272751443</v>
      </c>
      <c r="I135" s="23">
        <v>2320</v>
      </c>
      <c r="J135" s="9">
        <f t="shared" si="11"/>
        <v>360498.70689655171</v>
      </c>
      <c r="K135" s="11">
        <v>2</v>
      </c>
      <c r="L135" s="11">
        <v>2</v>
      </c>
      <c r="M135" s="11">
        <v>4</v>
      </c>
    </row>
    <row r="136" spans="1:13" x14ac:dyDescent="0.25">
      <c r="A136" s="2">
        <f t="shared" ref="A136:A199" si="13">RANK(F136,F$7:F$817,0)</f>
        <v>130</v>
      </c>
      <c r="B136" s="2">
        <v>112260</v>
      </c>
      <c r="C136" t="s">
        <v>269</v>
      </c>
      <c r="D136" t="s">
        <v>101</v>
      </c>
      <c r="E136" t="s">
        <v>14</v>
      </c>
      <c r="F136" s="9">
        <v>835306</v>
      </c>
      <c r="G136" s="9">
        <v>784363</v>
      </c>
      <c r="H136" s="1">
        <f t="shared" si="12"/>
        <v>6.494824462653134</v>
      </c>
      <c r="I136" s="23">
        <v>1345</v>
      </c>
      <c r="J136" s="9">
        <f t="shared" si="11"/>
        <v>621045.35315985128</v>
      </c>
      <c r="K136" s="11">
        <v>2</v>
      </c>
      <c r="L136" s="11">
        <v>2</v>
      </c>
      <c r="M136" s="11">
        <v>4</v>
      </c>
    </row>
    <row r="137" spans="1:13" x14ac:dyDescent="0.25">
      <c r="A137" s="2">
        <f t="shared" si="13"/>
        <v>131</v>
      </c>
      <c r="B137" s="2">
        <v>167358</v>
      </c>
      <c r="C137" t="s">
        <v>270</v>
      </c>
      <c r="D137" t="s">
        <v>4</v>
      </c>
      <c r="E137" t="s">
        <v>5</v>
      </c>
      <c r="F137" s="9">
        <v>831129</v>
      </c>
      <c r="G137" s="9">
        <v>778948</v>
      </c>
      <c r="H137" s="1">
        <f t="shared" si="12"/>
        <v>6.698906730616164</v>
      </c>
      <c r="I137" s="23">
        <v>26734</v>
      </c>
      <c r="J137" s="9">
        <f t="shared" si="11"/>
        <v>31088.838183586446</v>
      </c>
      <c r="K137" s="11">
        <v>2</v>
      </c>
      <c r="L137" s="11">
        <v>2</v>
      </c>
      <c r="M137" s="11">
        <v>2</v>
      </c>
    </row>
    <row r="138" spans="1:13" x14ac:dyDescent="0.25">
      <c r="A138" s="2">
        <f t="shared" si="13"/>
        <v>132</v>
      </c>
      <c r="B138" s="2">
        <v>213385</v>
      </c>
      <c r="C138" t="s">
        <v>271</v>
      </c>
      <c r="D138" t="s">
        <v>33</v>
      </c>
      <c r="E138" t="s">
        <v>34</v>
      </c>
      <c r="F138" s="9">
        <v>830637</v>
      </c>
      <c r="G138" s="9">
        <v>790307</v>
      </c>
      <c r="H138" s="1">
        <f t="shared" si="12"/>
        <v>5.1030801954177303</v>
      </c>
      <c r="I138" s="23">
        <v>2565</v>
      </c>
      <c r="J138" s="9">
        <f t="shared" si="11"/>
        <v>323835.08771929826</v>
      </c>
      <c r="K138" s="11">
        <v>2</v>
      </c>
      <c r="L138" s="11">
        <v>2</v>
      </c>
      <c r="M138" s="11">
        <v>4</v>
      </c>
    </row>
    <row r="139" spans="1:13" x14ac:dyDescent="0.25">
      <c r="A139" s="2">
        <f t="shared" si="13"/>
        <v>133</v>
      </c>
      <c r="B139" s="2">
        <v>161086</v>
      </c>
      <c r="C139" t="s">
        <v>272</v>
      </c>
      <c r="D139" t="s">
        <v>273</v>
      </c>
      <c r="E139" t="s">
        <v>150</v>
      </c>
      <c r="F139" s="9">
        <v>828013</v>
      </c>
      <c r="G139" s="9">
        <v>775129</v>
      </c>
      <c r="H139" s="1">
        <f t="shared" si="12"/>
        <v>6.8226063016607554</v>
      </c>
      <c r="I139" s="23">
        <v>1917</v>
      </c>
      <c r="J139" s="9">
        <f t="shared" si="11"/>
        <v>431931.66405842465</v>
      </c>
      <c r="K139" s="11">
        <v>2</v>
      </c>
      <c r="L139" s="11">
        <v>2</v>
      </c>
      <c r="M139" s="11">
        <v>4</v>
      </c>
    </row>
    <row r="140" spans="1:13" ht="17.25" x14ac:dyDescent="0.25">
      <c r="A140" s="2">
        <f t="shared" si="13"/>
        <v>134</v>
      </c>
      <c r="B140" s="12" t="s">
        <v>119</v>
      </c>
      <c r="C140" t="s">
        <v>1388</v>
      </c>
      <c r="D140" t="s">
        <v>274</v>
      </c>
      <c r="E140" t="s">
        <v>118</v>
      </c>
      <c r="F140" s="9">
        <v>827855</v>
      </c>
      <c r="G140" s="9">
        <v>789167</v>
      </c>
      <c r="H140" s="1">
        <f t="shared" si="12"/>
        <v>4.9023844129316103</v>
      </c>
      <c r="I140" s="23">
        <v>24143</v>
      </c>
      <c r="J140" s="9">
        <f t="shared" si="11"/>
        <v>34289.649173673526</v>
      </c>
      <c r="K140" s="10" t="s">
        <v>119</v>
      </c>
      <c r="L140" s="10" t="s">
        <v>119</v>
      </c>
      <c r="M140" s="10" t="s">
        <v>119</v>
      </c>
    </row>
    <row r="141" spans="1:13" x14ac:dyDescent="0.25">
      <c r="A141" s="2">
        <f t="shared" si="13"/>
        <v>135</v>
      </c>
      <c r="B141" s="2">
        <v>198385</v>
      </c>
      <c r="C141" t="s">
        <v>275</v>
      </c>
      <c r="D141" t="s">
        <v>276</v>
      </c>
      <c r="E141" t="s">
        <v>40</v>
      </c>
      <c r="F141" s="9">
        <v>821776</v>
      </c>
      <c r="G141" s="9">
        <v>730399</v>
      </c>
      <c r="H141" s="1">
        <f t="shared" si="12"/>
        <v>12.510559297041754</v>
      </c>
      <c r="I141" s="23">
        <v>1810</v>
      </c>
      <c r="J141" s="9">
        <f t="shared" si="11"/>
        <v>454019.88950276241</v>
      </c>
      <c r="K141" s="11">
        <v>2</v>
      </c>
      <c r="L141" s="11">
        <v>2</v>
      </c>
      <c r="M141" s="11">
        <v>4</v>
      </c>
    </row>
    <row r="142" spans="1:13" x14ac:dyDescent="0.25">
      <c r="A142" s="2">
        <f t="shared" si="13"/>
        <v>136</v>
      </c>
      <c r="B142" s="2">
        <v>218663</v>
      </c>
      <c r="C142" t="s">
        <v>277</v>
      </c>
      <c r="D142" t="s">
        <v>143</v>
      </c>
      <c r="E142" t="s">
        <v>278</v>
      </c>
      <c r="F142" s="9">
        <v>809937</v>
      </c>
      <c r="G142" s="9">
        <v>770782</v>
      </c>
      <c r="H142" s="1">
        <f t="shared" si="12"/>
        <v>5.0799058618390154</v>
      </c>
      <c r="I142" s="31" t="s">
        <v>119</v>
      </c>
      <c r="J142" s="10" t="s">
        <v>119</v>
      </c>
      <c r="K142" s="11">
        <v>1</v>
      </c>
      <c r="L142" s="11">
        <v>2</v>
      </c>
      <c r="M142" s="11">
        <v>2</v>
      </c>
    </row>
    <row r="143" spans="1:13" x14ac:dyDescent="0.25">
      <c r="A143" s="2">
        <f t="shared" si="13"/>
        <v>137</v>
      </c>
      <c r="B143" s="2">
        <v>166124</v>
      </c>
      <c r="C143" t="s">
        <v>279</v>
      </c>
      <c r="D143" t="s">
        <v>280</v>
      </c>
      <c r="E143" t="s">
        <v>5</v>
      </c>
      <c r="F143" s="9">
        <v>784264</v>
      </c>
      <c r="G143" s="9">
        <v>749737</v>
      </c>
      <c r="H143" s="1">
        <f t="shared" si="12"/>
        <v>4.6052148953566387</v>
      </c>
      <c r="I143" s="23">
        <v>3032</v>
      </c>
      <c r="J143" s="9">
        <f>(F143*1000)/I143</f>
        <v>258662.2691292876</v>
      </c>
      <c r="K143" s="11">
        <v>2</v>
      </c>
      <c r="L143" s="11">
        <v>2</v>
      </c>
      <c r="M143" s="11">
        <v>4</v>
      </c>
    </row>
    <row r="144" spans="1:13" x14ac:dyDescent="0.25">
      <c r="A144" s="2">
        <f t="shared" si="13"/>
        <v>138</v>
      </c>
      <c r="B144" s="2">
        <v>212054</v>
      </c>
      <c r="C144" t="s">
        <v>281</v>
      </c>
      <c r="D144" t="s">
        <v>21</v>
      </c>
      <c r="E144" t="s">
        <v>22</v>
      </c>
      <c r="F144" s="9">
        <v>779762</v>
      </c>
      <c r="G144" s="9">
        <v>707650</v>
      </c>
      <c r="H144" s="1">
        <f t="shared" si="12"/>
        <v>10.190348336041827</v>
      </c>
      <c r="I144" s="29">
        <v>20073</v>
      </c>
      <c r="J144" s="9">
        <f>(F144*1000)/I144</f>
        <v>38846.310964977834</v>
      </c>
      <c r="K144" s="11">
        <v>2</v>
      </c>
      <c r="L144" s="11">
        <v>2</v>
      </c>
      <c r="M144" s="11">
        <v>2</v>
      </c>
    </row>
    <row r="145" spans="1:13" x14ac:dyDescent="0.25">
      <c r="A145" s="2">
        <f t="shared" si="13"/>
        <v>139</v>
      </c>
      <c r="B145" s="2">
        <v>100858</v>
      </c>
      <c r="C145" t="s">
        <v>282</v>
      </c>
      <c r="D145" t="s">
        <v>283</v>
      </c>
      <c r="E145" t="s">
        <v>161</v>
      </c>
      <c r="F145" s="9">
        <v>778163</v>
      </c>
      <c r="G145" s="9">
        <v>738018</v>
      </c>
      <c r="H145" s="1">
        <f t="shared" si="12"/>
        <v>5.4395692245988583</v>
      </c>
      <c r="I145" s="23">
        <v>26838</v>
      </c>
      <c r="J145" s="9">
        <f>(F145*1000)/I145</f>
        <v>28994.820776510918</v>
      </c>
      <c r="K145" s="11">
        <v>1</v>
      </c>
      <c r="L145" s="11">
        <v>2</v>
      </c>
      <c r="M145" s="11">
        <v>2</v>
      </c>
    </row>
    <row r="146" spans="1:13" x14ac:dyDescent="0.25">
      <c r="A146" s="2">
        <f t="shared" si="13"/>
        <v>140</v>
      </c>
      <c r="B146" s="2">
        <v>166939</v>
      </c>
      <c r="C146" t="s">
        <v>284</v>
      </c>
      <c r="D146" t="s">
        <v>285</v>
      </c>
      <c r="E146" t="s">
        <v>5</v>
      </c>
      <c r="F146" s="9">
        <v>777739</v>
      </c>
      <c r="G146" s="9">
        <v>729438</v>
      </c>
      <c r="H146" s="1">
        <f t="shared" si="12"/>
        <v>6.6216731236924868</v>
      </c>
      <c r="I146" s="23">
        <v>2263</v>
      </c>
      <c r="J146" s="9">
        <f>(F146*1000)/I146</f>
        <v>343676.09368095448</v>
      </c>
      <c r="K146" s="11">
        <v>2</v>
      </c>
      <c r="L146" s="11">
        <v>2</v>
      </c>
      <c r="M146" s="11">
        <v>4</v>
      </c>
    </row>
    <row r="147" spans="1:13" ht="17.25" x14ac:dyDescent="0.25">
      <c r="A147" s="2">
        <f t="shared" si="13"/>
        <v>141</v>
      </c>
      <c r="B147" s="2">
        <v>183327</v>
      </c>
      <c r="C147" t="s">
        <v>1452</v>
      </c>
      <c r="D147" t="s">
        <v>286</v>
      </c>
      <c r="E147" t="s">
        <v>287</v>
      </c>
      <c r="F147" s="9">
        <v>776795</v>
      </c>
      <c r="G147" s="9">
        <v>726365</v>
      </c>
      <c r="H147" s="1">
        <f t="shared" si="12"/>
        <v>6.9427904703558125</v>
      </c>
      <c r="I147" s="31" t="s">
        <v>119</v>
      </c>
      <c r="J147" s="10" t="s">
        <v>119</v>
      </c>
      <c r="K147" s="11">
        <v>0</v>
      </c>
      <c r="L147" s="11">
        <v>2</v>
      </c>
      <c r="M147" s="11">
        <v>0</v>
      </c>
    </row>
    <row r="148" spans="1:13" x14ac:dyDescent="0.25">
      <c r="A148" s="2">
        <f t="shared" si="13"/>
        <v>142</v>
      </c>
      <c r="B148" s="2">
        <v>173902</v>
      </c>
      <c r="C148" t="s">
        <v>288</v>
      </c>
      <c r="D148" t="s">
        <v>289</v>
      </c>
      <c r="E148" t="s">
        <v>72</v>
      </c>
      <c r="F148" s="9">
        <v>767522</v>
      </c>
      <c r="G148" s="9">
        <v>747748</v>
      </c>
      <c r="H148" s="1">
        <f t="shared" si="12"/>
        <v>2.6444738066835352</v>
      </c>
      <c r="I148" s="23">
        <v>2107</v>
      </c>
      <c r="J148" s="9">
        <f>(F148*1000)/I148</f>
        <v>364272.42524916946</v>
      </c>
      <c r="K148" s="11">
        <v>2</v>
      </c>
      <c r="L148" s="11">
        <v>2</v>
      </c>
      <c r="M148" s="11">
        <v>4</v>
      </c>
    </row>
    <row r="149" spans="1:13" x14ac:dyDescent="0.25">
      <c r="A149" s="2">
        <f t="shared" si="13"/>
        <v>143</v>
      </c>
      <c r="B149" s="2">
        <v>126678</v>
      </c>
      <c r="C149" t="s">
        <v>290</v>
      </c>
      <c r="D149" t="s">
        <v>291</v>
      </c>
      <c r="E149" t="s">
        <v>175</v>
      </c>
      <c r="F149" s="9">
        <v>765230</v>
      </c>
      <c r="G149" s="9">
        <v>743175</v>
      </c>
      <c r="H149" s="1">
        <f t="shared" si="12"/>
        <v>2.967672486291923</v>
      </c>
      <c r="I149" s="23">
        <v>2107</v>
      </c>
      <c r="J149" s="9">
        <f>(F149*1000)/I149</f>
        <v>363184.62268628384</v>
      </c>
      <c r="K149" s="11">
        <v>2</v>
      </c>
      <c r="L149" s="11">
        <v>2</v>
      </c>
      <c r="M149" s="11">
        <v>4</v>
      </c>
    </row>
    <row r="150" spans="1:13" x14ac:dyDescent="0.25">
      <c r="A150" s="2">
        <f t="shared" si="13"/>
        <v>144</v>
      </c>
      <c r="B150" s="2">
        <v>127060</v>
      </c>
      <c r="C150" t="s">
        <v>292</v>
      </c>
      <c r="D150" t="s">
        <v>293</v>
      </c>
      <c r="E150" t="s">
        <v>175</v>
      </c>
      <c r="F150" s="9">
        <v>761952</v>
      </c>
      <c r="G150" s="9">
        <v>711346</v>
      </c>
      <c r="H150" s="1">
        <f t="shared" si="12"/>
        <v>7.1141188676115421</v>
      </c>
      <c r="I150" s="23">
        <v>9441</v>
      </c>
      <c r="J150" s="9">
        <f>(F150*1000)/I150</f>
        <v>80706.704798220526</v>
      </c>
      <c r="K150" s="11">
        <v>2</v>
      </c>
      <c r="L150" s="11">
        <v>2</v>
      </c>
      <c r="M150" s="11">
        <v>2</v>
      </c>
    </row>
    <row r="151" spans="1:13" x14ac:dyDescent="0.25">
      <c r="A151" s="2">
        <f t="shared" si="13"/>
        <v>145</v>
      </c>
      <c r="B151" s="2">
        <v>195809</v>
      </c>
      <c r="C151" t="s">
        <v>294</v>
      </c>
      <c r="D151" t="s">
        <v>295</v>
      </c>
      <c r="E151" t="s">
        <v>34</v>
      </c>
      <c r="F151" s="9">
        <v>756099</v>
      </c>
      <c r="G151" s="9">
        <v>716485</v>
      </c>
      <c r="H151" s="1">
        <f t="shared" si="12"/>
        <v>5.528936404809591</v>
      </c>
      <c r="I151" s="23">
        <v>17473</v>
      </c>
      <c r="J151" s="9">
        <f>(F151*1000)/I151</f>
        <v>43272.420305614374</v>
      </c>
      <c r="K151" s="11">
        <v>2</v>
      </c>
      <c r="L151" s="11">
        <v>2</v>
      </c>
      <c r="M151" s="11">
        <v>2</v>
      </c>
    </row>
    <row r="152" spans="1:13" x14ac:dyDescent="0.25">
      <c r="A152" s="2">
        <f t="shared" si="13"/>
        <v>146</v>
      </c>
      <c r="B152" s="12" t="s">
        <v>119</v>
      </c>
      <c r="C152" t="s">
        <v>296</v>
      </c>
      <c r="D152" t="s">
        <v>297</v>
      </c>
      <c r="E152" t="s">
        <v>135</v>
      </c>
      <c r="F152" s="9">
        <v>747707</v>
      </c>
      <c r="G152" s="9">
        <v>711415</v>
      </c>
      <c r="H152" s="1">
        <f t="shared" si="12"/>
        <v>5.1013824560910299</v>
      </c>
      <c r="I152" s="31" t="s">
        <v>119</v>
      </c>
      <c r="J152" s="10" t="s">
        <v>119</v>
      </c>
      <c r="K152" s="10" t="s">
        <v>119</v>
      </c>
      <c r="L152" s="10" t="s">
        <v>119</v>
      </c>
      <c r="M152" s="10" t="s">
        <v>119</v>
      </c>
    </row>
    <row r="153" spans="1:13" ht="17.25" x14ac:dyDescent="0.25">
      <c r="A153" s="2">
        <f t="shared" si="13"/>
        <v>147</v>
      </c>
      <c r="B153" s="2">
        <v>209490</v>
      </c>
      <c r="C153" t="s">
        <v>1453</v>
      </c>
      <c r="D153" t="s">
        <v>298</v>
      </c>
      <c r="E153" t="s">
        <v>254</v>
      </c>
      <c r="F153" s="9">
        <v>745744</v>
      </c>
      <c r="G153" s="9">
        <v>655992</v>
      </c>
      <c r="H153" s="1">
        <f t="shared" si="12"/>
        <v>13.681874169197187</v>
      </c>
      <c r="I153" s="23">
        <v>2530.7600000000002</v>
      </c>
      <c r="J153" s="9">
        <f>(F153*1000)/I153</f>
        <v>294671.95625029632</v>
      </c>
      <c r="K153" s="11">
        <v>1</v>
      </c>
      <c r="L153" s="11">
        <v>2</v>
      </c>
      <c r="M153" s="11">
        <v>5</v>
      </c>
    </row>
    <row r="154" spans="1:13" x14ac:dyDescent="0.25">
      <c r="A154" s="2">
        <f t="shared" si="13"/>
        <v>148</v>
      </c>
      <c r="B154" s="2">
        <v>217882</v>
      </c>
      <c r="C154" t="s">
        <v>299</v>
      </c>
      <c r="D154" t="s">
        <v>300</v>
      </c>
      <c r="E154" t="s">
        <v>278</v>
      </c>
      <c r="F154" s="9">
        <v>741802</v>
      </c>
      <c r="G154" s="9">
        <v>682736</v>
      </c>
      <c r="H154" s="1">
        <f t="shared" si="12"/>
        <v>8.6513674392444528</v>
      </c>
      <c r="I154" s="31" t="s">
        <v>119</v>
      </c>
      <c r="J154" s="10" t="s">
        <v>119</v>
      </c>
      <c r="K154" s="11">
        <v>1</v>
      </c>
      <c r="L154" s="11">
        <v>2</v>
      </c>
      <c r="M154" s="11">
        <v>2</v>
      </c>
    </row>
    <row r="155" spans="1:13" x14ac:dyDescent="0.25">
      <c r="A155" s="2">
        <f t="shared" si="13"/>
        <v>149</v>
      </c>
      <c r="B155" s="2">
        <v>110680</v>
      </c>
      <c r="C155" t="s">
        <v>301</v>
      </c>
      <c r="D155" t="s">
        <v>302</v>
      </c>
      <c r="E155" t="s">
        <v>14</v>
      </c>
      <c r="F155" s="9">
        <v>738174</v>
      </c>
      <c r="G155" s="9">
        <v>621440</v>
      </c>
      <c r="H155" s="1">
        <f t="shared" si="12"/>
        <v>18.784436148300721</v>
      </c>
      <c r="I155" s="31" t="s">
        <v>119</v>
      </c>
      <c r="J155" s="10" t="s">
        <v>119</v>
      </c>
      <c r="K155" s="11">
        <v>1</v>
      </c>
      <c r="L155" s="11">
        <v>2</v>
      </c>
      <c r="M155" s="11">
        <v>2</v>
      </c>
    </row>
    <row r="156" spans="1:13" x14ac:dyDescent="0.25">
      <c r="A156" s="2">
        <f t="shared" si="13"/>
        <v>150</v>
      </c>
      <c r="B156" s="12" t="s">
        <v>119</v>
      </c>
      <c r="C156" t="s">
        <v>303</v>
      </c>
      <c r="D156" t="s">
        <v>33</v>
      </c>
      <c r="E156" t="s">
        <v>34</v>
      </c>
      <c r="F156" s="9">
        <v>731979</v>
      </c>
      <c r="G156" s="9">
        <v>604617</v>
      </c>
      <c r="H156" s="1">
        <f t="shared" si="12"/>
        <v>21.064905551779059</v>
      </c>
      <c r="I156" s="23">
        <v>8389</v>
      </c>
      <c r="J156" s="9">
        <f>(F156*1000)/I156</f>
        <v>87254.6191441173</v>
      </c>
      <c r="K156" s="10" t="s">
        <v>119</v>
      </c>
      <c r="L156" s="10" t="s">
        <v>119</v>
      </c>
      <c r="M156" s="10" t="s">
        <v>119</v>
      </c>
    </row>
    <row r="157" spans="1:13" x14ac:dyDescent="0.25">
      <c r="A157" s="2">
        <f t="shared" si="13"/>
        <v>151</v>
      </c>
      <c r="B157" s="2">
        <v>150400</v>
      </c>
      <c r="C157" t="s">
        <v>304</v>
      </c>
      <c r="D157" t="s">
        <v>305</v>
      </c>
      <c r="E157" t="s">
        <v>37</v>
      </c>
      <c r="F157" s="9">
        <v>730850</v>
      </c>
      <c r="G157" s="9">
        <v>669137</v>
      </c>
      <c r="H157" s="1">
        <f t="shared" si="12"/>
        <v>9.2227750072107799</v>
      </c>
      <c r="I157" s="23">
        <v>2146</v>
      </c>
      <c r="J157" s="9">
        <f>(F157*1000)/I157</f>
        <v>340563.83970177075</v>
      </c>
      <c r="K157" s="11">
        <v>2</v>
      </c>
      <c r="L157" s="11">
        <v>2</v>
      </c>
      <c r="M157" s="11">
        <v>4</v>
      </c>
    </row>
    <row r="158" spans="1:13" x14ac:dyDescent="0.25">
      <c r="A158" s="2">
        <f t="shared" si="13"/>
        <v>152</v>
      </c>
      <c r="B158" s="2">
        <v>191241</v>
      </c>
      <c r="C158" t="s">
        <v>306</v>
      </c>
      <c r="D158" t="s">
        <v>307</v>
      </c>
      <c r="E158" t="s">
        <v>34</v>
      </c>
      <c r="F158" s="9">
        <v>729179</v>
      </c>
      <c r="G158" s="9">
        <v>691077</v>
      </c>
      <c r="H158" s="1">
        <f t="shared" si="12"/>
        <v>5.5134232509546699</v>
      </c>
      <c r="I158" s="23">
        <v>14732</v>
      </c>
      <c r="J158" s="9">
        <f>(F158*1000)/I158</f>
        <v>49496.266630464299</v>
      </c>
      <c r="K158" s="11">
        <v>2</v>
      </c>
      <c r="L158" s="11">
        <v>2</v>
      </c>
      <c r="M158" s="11">
        <v>2</v>
      </c>
    </row>
    <row r="159" spans="1:13" x14ac:dyDescent="0.25">
      <c r="A159" s="2">
        <f t="shared" si="13"/>
        <v>153</v>
      </c>
      <c r="B159" s="2">
        <v>196088</v>
      </c>
      <c r="C159" t="s">
        <v>308</v>
      </c>
      <c r="D159" t="s">
        <v>309</v>
      </c>
      <c r="E159" t="s">
        <v>34</v>
      </c>
      <c r="F159" s="9">
        <v>725000</v>
      </c>
      <c r="G159" s="9">
        <v>659156</v>
      </c>
      <c r="H159" s="1">
        <f t="shared" si="12"/>
        <v>9.9891376244773618</v>
      </c>
      <c r="I159" s="31" t="s">
        <v>119</v>
      </c>
      <c r="J159" s="10" t="s">
        <v>119</v>
      </c>
      <c r="K159" s="11">
        <v>1</v>
      </c>
      <c r="L159" s="11">
        <v>2</v>
      </c>
      <c r="M159" s="11">
        <v>2</v>
      </c>
    </row>
    <row r="160" spans="1:13" x14ac:dyDescent="0.25">
      <c r="A160" s="2">
        <f t="shared" si="13"/>
        <v>154</v>
      </c>
      <c r="B160" s="2">
        <v>104151</v>
      </c>
      <c r="C160" t="s">
        <v>310</v>
      </c>
      <c r="D160" t="s">
        <v>311</v>
      </c>
      <c r="E160" t="s">
        <v>240</v>
      </c>
      <c r="F160" s="9">
        <v>720565</v>
      </c>
      <c r="G160" s="9">
        <v>665488</v>
      </c>
      <c r="H160" s="1">
        <f t="shared" si="12"/>
        <v>8.2761822902892312</v>
      </c>
      <c r="I160" s="19">
        <v>103530</v>
      </c>
      <c r="J160" s="9">
        <f>(F160*1000)/I160</f>
        <v>6959.963295663093</v>
      </c>
      <c r="K160" s="11">
        <v>1</v>
      </c>
      <c r="L160" s="11">
        <v>2</v>
      </c>
      <c r="M160" s="11">
        <v>2</v>
      </c>
    </row>
    <row r="161" spans="1:13" x14ac:dyDescent="0.25">
      <c r="A161" s="2">
        <f t="shared" si="13"/>
        <v>155</v>
      </c>
      <c r="B161" s="2">
        <v>194824</v>
      </c>
      <c r="C161" t="s">
        <v>1483</v>
      </c>
      <c r="D161" t="s">
        <v>792</v>
      </c>
      <c r="E161" t="s">
        <v>34</v>
      </c>
      <c r="F161" s="9">
        <v>718199</v>
      </c>
      <c r="G161" s="9">
        <v>677231</v>
      </c>
      <c r="H161" s="1">
        <f t="shared" si="12"/>
        <v>6.0493391472038347</v>
      </c>
      <c r="I161" s="23">
        <v>7989</v>
      </c>
      <c r="J161" s="9">
        <f>(F161*1000)/I161</f>
        <v>89898.485417448988</v>
      </c>
      <c r="K161" s="11">
        <v>2</v>
      </c>
      <c r="L161" s="11">
        <v>2</v>
      </c>
      <c r="M161" s="11">
        <v>2</v>
      </c>
    </row>
    <row r="162" spans="1:13" x14ac:dyDescent="0.25">
      <c r="A162" s="2">
        <f t="shared" si="13"/>
        <v>156</v>
      </c>
      <c r="B162" s="2">
        <v>216597</v>
      </c>
      <c r="C162" t="s">
        <v>312</v>
      </c>
      <c r="D162" t="s">
        <v>313</v>
      </c>
      <c r="E162" t="s">
        <v>22</v>
      </c>
      <c r="F162" s="9">
        <v>715650</v>
      </c>
      <c r="G162" s="9">
        <v>645568</v>
      </c>
      <c r="H162" s="1">
        <f t="shared" si="12"/>
        <v>10.855866461782494</v>
      </c>
      <c r="I162" s="23">
        <v>10300</v>
      </c>
      <c r="J162" s="9">
        <f>(F162*1000)/I162</f>
        <v>69480.582524271842</v>
      </c>
      <c r="K162" s="11">
        <v>2</v>
      </c>
      <c r="L162" s="11">
        <v>2</v>
      </c>
      <c r="M162" s="11">
        <v>2</v>
      </c>
    </row>
    <row r="163" spans="1:13" x14ac:dyDescent="0.25">
      <c r="A163" s="2">
        <f t="shared" si="13"/>
        <v>157</v>
      </c>
      <c r="B163" s="2">
        <v>176017</v>
      </c>
      <c r="C163" t="s">
        <v>314</v>
      </c>
      <c r="D163" t="s">
        <v>315</v>
      </c>
      <c r="E163" t="s">
        <v>316</v>
      </c>
      <c r="F163" s="9">
        <v>713129</v>
      </c>
      <c r="G163" s="9">
        <v>670619</v>
      </c>
      <c r="H163" s="1">
        <f t="shared" si="12"/>
        <v>6.3389197144727492</v>
      </c>
      <c r="I163" s="23">
        <v>21537</v>
      </c>
      <c r="J163" s="9">
        <f>(F163*1000)/I163</f>
        <v>33111.807586943403</v>
      </c>
      <c r="K163" s="11">
        <v>1</v>
      </c>
      <c r="L163" s="11">
        <v>2</v>
      </c>
      <c r="M163" s="11">
        <v>2</v>
      </c>
    </row>
    <row r="164" spans="1:13" x14ac:dyDescent="0.25">
      <c r="A164" s="2">
        <f t="shared" si="13"/>
        <v>158</v>
      </c>
      <c r="B164" s="2">
        <v>157289</v>
      </c>
      <c r="C164" t="s">
        <v>317</v>
      </c>
      <c r="D164" t="s">
        <v>318</v>
      </c>
      <c r="E164" t="s">
        <v>173</v>
      </c>
      <c r="F164" s="9">
        <v>712295</v>
      </c>
      <c r="G164" s="9">
        <v>719001</v>
      </c>
      <c r="H164" s="1">
        <f t="shared" si="12"/>
        <v>-0.9326829865327031</v>
      </c>
      <c r="I164" s="31" t="s">
        <v>119</v>
      </c>
      <c r="J164" s="10" t="s">
        <v>119</v>
      </c>
      <c r="K164" s="11">
        <v>1</v>
      </c>
      <c r="L164" s="11">
        <v>2</v>
      </c>
      <c r="M164" s="11">
        <v>2</v>
      </c>
    </row>
    <row r="165" spans="1:13" x14ac:dyDescent="0.25">
      <c r="A165" s="2">
        <f t="shared" si="13"/>
        <v>159</v>
      </c>
      <c r="B165" s="2">
        <v>218070</v>
      </c>
      <c r="C165" t="s">
        <v>319</v>
      </c>
      <c r="D165" t="s">
        <v>320</v>
      </c>
      <c r="E165" t="s">
        <v>278</v>
      </c>
      <c r="F165" s="9">
        <v>702855</v>
      </c>
      <c r="G165" s="9">
        <v>661046</v>
      </c>
      <c r="H165" s="1">
        <f t="shared" si="12"/>
        <v>6.3246733207673902</v>
      </c>
      <c r="I165" s="23">
        <v>2790</v>
      </c>
      <c r="J165" s="9">
        <f t="shared" ref="J165:J176" si="14">(F165*1000)/I165</f>
        <v>251919.35483870967</v>
      </c>
      <c r="K165" s="11">
        <v>2</v>
      </c>
      <c r="L165" s="11">
        <v>2</v>
      </c>
      <c r="M165" s="11">
        <v>4</v>
      </c>
    </row>
    <row r="166" spans="1:13" x14ac:dyDescent="0.25">
      <c r="A166" s="2">
        <f t="shared" si="13"/>
        <v>160</v>
      </c>
      <c r="B166" s="2">
        <v>131159</v>
      </c>
      <c r="C166" t="s">
        <v>321</v>
      </c>
      <c r="D166" t="s">
        <v>128</v>
      </c>
      <c r="E166" t="s">
        <v>129</v>
      </c>
      <c r="F166" s="9">
        <v>695025</v>
      </c>
      <c r="G166" s="9">
        <v>647138</v>
      </c>
      <c r="H166" s="1">
        <f t="shared" si="12"/>
        <v>7.3998127138261083</v>
      </c>
      <c r="I166" s="23">
        <v>11942</v>
      </c>
      <c r="J166" s="9">
        <f t="shared" si="14"/>
        <v>58200.050242840392</v>
      </c>
      <c r="K166" s="11">
        <v>2</v>
      </c>
      <c r="L166" s="11">
        <v>2</v>
      </c>
      <c r="M166" s="11">
        <v>2</v>
      </c>
    </row>
    <row r="167" spans="1:13" x14ac:dyDescent="0.25">
      <c r="A167" s="2">
        <f t="shared" si="13"/>
        <v>161</v>
      </c>
      <c r="B167" s="2">
        <v>131520</v>
      </c>
      <c r="C167" t="s">
        <v>322</v>
      </c>
      <c r="D167" t="s">
        <v>128</v>
      </c>
      <c r="E167" t="s">
        <v>129</v>
      </c>
      <c r="F167" s="9">
        <v>688562</v>
      </c>
      <c r="G167" s="9">
        <v>646556</v>
      </c>
      <c r="H167" s="1">
        <f t="shared" si="12"/>
        <v>6.4968850339336432</v>
      </c>
      <c r="I167" s="23">
        <v>8893</v>
      </c>
      <c r="J167" s="9">
        <f t="shared" si="14"/>
        <v>77427.414820645456</v>
      </c>
      <c r="K167" s="11">
        <v>2</v>
      </c>
      <c r="L167" s="11">
        <v>1</v>
      </c>
      <c r="M167" s="11">
        <v>2</v>
      </c>
    </row>
    <row r="168" spans="1:13" x14ac:dyDescent="0.25">
      <c r="A168" s="2">
        <f t="shared" si="13"/>
        <v>162</v>
      </c>
      <c r="B168" s="2">
        <v>148016</v>
      </c>
      <c r="C168" t="s">
        <v>323</v>
      </c>
      <c r="D168" t="s">
        <v>44</v>
      </c>
      <c r="E168" t="s">
        <v>45</v>
      </c>
      <c r="F168" s="9">
        <v>686710</v>
      </c>
      <c r="G168" s="9">
        <v>682373</v>
      </c>
      <c r="H168" s="1">
        <f t="shared" si="12"/>
        <v>0.6355761438392199</v>
      </c>
      <c r="I168" s="23">
        <v>3576</v>
      </c>
      <c r="J168" s="9">
        <f t="shared" si="14"/>
        <v>192032.99776286352</v>
      </c>
      <c r="K168" s="11">
        <v>2</v>
      </c>
      <c r="L168" s="11">
        <v>2</v>
      </c>
      <c r="M168" s="11">
        <v>4</v>
      </c>
    </row>
    <row r="169" spans="1:13" x14ac:dyDescent="0.25">
      <c r="A169" s="2">
        <f t="shared" si="13"/>
        <v>163</v>
      </c>
      <c r="B169" s="2">
        <v>134097</v>
      </c>
      <c r="C169" t="s">
        <v>324</v>
      </c>
      <c r="D169" t="s">
        <v>325</v>
      </c>
      <c r="E169" t="s">
        <v>138</v>
      </c>
      <c r="F169" s="9">
        <v>681370</v>
      </c>
      <c r="G169" s="9">
        <v>639371</v>
      </c>
      <c r="H169" s="1">
        <f t="shared" si="12"/>
        <v>6.5687996484044469</v>
      </c>
      <c r="I169" s="23">
        <v>37154</v>
      </c>
      <c r="J169" s="9">
        <f t="shared" si="14"/>
        <v>18339.075200516767</v>
      </c>
      <c r="K169" s="11">
        <v>1</v>
      </c>
      <c r="L169" s="11">
        <v>2</v>
      </c>
      <c r="M169" s="11">
        <v>2</v>
      </c>
    </row>
    <row r="170" spans="1:13" x14ac:dyDescent="0.25">
      <c r="A170" s="2">
        <f t="shared" si="13"/>
        <v>164</v>
      </c>
      <c r="B170" s="2">
        <v>239105</v>
      </c>
      <c r="C170" t="s">
        <v>326</v>
      </c>
      <c r="D170" t="s">
        <v>247</v>
      </c>
      <c r="E170" t="s">
        <v>80</v>
      </c>
      <c r="F170" s="9">
        <v>668567</v>
      </c>
      <c r="G170" s="9">
        <v>626169</v>
      </c>
      <c r="H170" s="1">
        <f t="shared" si="12"/>
        <v>6.7710154926225989</v>
      </c>
      <c r="I170" s="23">
        <v>10603</v>
      </c>
      <c r="J170" s="9">
        <f t="shared" si="14"/>
        <v>63054.512873714986</v>
      </c>
      <c r="K170" s="11">
        <v>2</v>
      </c>
      <c r="L170" s="11">
        <v>2</v>
      </c>
      <c r="M170" s="11">
        <v>2</v>
      </c>
    </row>
    <row r="171" spans="1:13" x14ac:dyDescent="0.25">
      <c r="A171" s="2">
        <f t="shared" si="13"/>
        <v>165</v>
      </c>
      <c r="B171" s="2">
        <v>197708</v>
      </c>
      <c r="C171" t="s">
        <v>327</v>
      </c>
      <c r="D171" t="s">
        <v>33</v>
      </c>
      <c r="E171" t="s">
        <v>34</v>
      </c>
      <c r="F171" s="9">
        <v>665001</v>
      </c>
      <c r="G171" s="9">
        <v>657569</v>
      </c>
      <c r="H171" s="1">
        <f t="shared" si="12"/>
        <v>1.1302235963070035</v>
      </c>
      <c r="I171" s="23">
        <v>7186</v>
      </c>
      <c r="J171" s="9">
        <f t="shared" si="14"/>
        <v>92541.191205121067</v>
      </c>
      <c r="K171" s="11">
        <v>2</v>
      </c>
      <c r="L171" s="11">
        <v>2</v>
      </c>
      <c r="M171" s="11">
        <v>2</v>
      </c>
    </row>
    <row r="172" spans="1:13" x14ac:dyDescent="0.25">
      <c r="A172" s="2">
        <f t="shared" si="13"/>
        <v>166</v>
      </c>
      <c r="B172" s="2">
        <v>146719</v>
      </c>
      <c r="C172" t="s">
        <v>328</v>
      </c>
      <c r="D172" t="s">
        <v>42</v>
      </c>
      <c r="E172" t="s">
        <v>29</v>
      </c>
      <c r="F172" s="9">
        <v>643806</v>
      </c>
      <c r="G172" s="9">
        <v>595819</v>
      </c>
      <c r="H172" s="1">
        <f t="shared" si="12"/>
        <v>8.0539559832768006</v>
      </c>
      <c r="I172" s="23">
        <v>15446</v>
      </c>
      <c r="J172" s="9">
        <f t="shared" si="14"/>
        <v>41681.082480901205</v>
      </c>
      <c r="K172" s="11">
        <v>2</v>
      </c>
      <c r="L172" s="11">
        <v>2</v>
      </c>
      <c r="M172" s="11">
        <v>2</v>
      </c>
    </row>
    <row r="173" spans="1:13" x14ac:dyDescent="0.25">
      <c r="A173" s="2">
        <f t="shared" si="13"/>
        <v>167</v>
      </c>
      <c r="B173" s="2">
        <v>216339</v>
      </c>
      <c r="C173" t="s">
        <v>329</v>
      </c>
      <c r="D173" t="s">
        <v>21</v>
      </c>
      <c r="E173" t="s">
        <v>22</v>
      </c>
      <c r="F173" s="9">
        <v>642326</v>
      </c>
      <c r="G173" s="9">
        <v>581960</v>
      </c>
      <c r="H173" s="1">
        <f t="shared" si="12"/>
        <v>10.372877861021376</v>
      </c>
      <c r="I173" s="23">
        <v>36440</v>
      </c>
      <c r="J173" s="9">
        <f t="shared" si="14"/>
        <v>17626.94840834248</v>
      </c>
      <c r="K173" s="11">
        <v>1</v>
      </c>
      <c r="L173" s="11">
        <v>2</v>
      </c>
      <c r="M173" s="11">
        <v>2</v>
      </c>
    </row>
    <row r="174" spans="1:13" x14ac:dyDescent="0.25">
      <c r="A174" s="2">
        <f t="shared" si="13"/>
        <v>168</v>
      </c>
      <c r="B174" s="2">
        <v>148511</v>
      </c>
      <c r="C174" t="s">
        <v>330</v>
      </c>
      <c r="D174" t="s">
        <v>42</v>
      </c>
      <c r="E174" t="s">
        <v>29</v>
      </c>
      <c r="F174" s="9">
        <v>632467</v>
      </c>
      <c r="G174" s="9">
        <v>595869</v>
      </c>
      <c r="H174" s="1">
        <f t="shared" si="12"/>
        <v>6.1419540200950209</v>
      </c>
      <c r="I174" s="23">
        <v>2579</v>
      </c>
      <c r="J174" s="9">
        <f t="shared" si="14"/>
        <v>245237.30127956573</v>
      </c>
      <c r="K174" s="11">
        <v>2</v>
      </c>
      <c r="L174" s="11">
        <v>2</v>
      </c>
      <c r="M174" s="11">
        <v>5</v>
      </c>
    </row>
    <row r="175" spans="1:13" x14ac:dyDescent="0.25">
      <c r="A175" s="2">
        <f t="shared" si="13"/>
        <v>169</v>
      </c>
      <c r="B175" s="2">
        <v>130590</v>
      </c>
      <c r="C175" t="s">
        <v>331</v>
      </c>
      <c r="D175" t="s">
        <v>332</v>
      </c>
      <c r="E175" t="s">
        <v>11</v>
      </c>
      <c r="F175" s="9">
        <v>614782</v>
      </c>
      <c r="G175" s="9">
        <v>577376</v>
      </c>
      <c r="H175" s="1">
        <f t="shared" si="12"/>
        <v>6.4786205176522751</v>
      </c>
      <c r="I175" s="23">
        <v>2174</v>
      </c>
      <c r="J175" s="9">
        <f t="shared" si="14"/>
        <v>282788.40846366144</v>
      </c>
      <c r="K175" s="11">
        <v>2</v>
      </c>
      <c r="L175" s="11">
        <v>2</v>
      </c>
      <c r="M175" s="11">
        <v>4</v>
      </c>
    </row>
    <row r="176" spans="1:13" x14ac:dyDescent="0.25">
      <c r="A176" s="2">
        <f t="shared" si="13"/>
        <v>170</v>
      </c>
      <c r="B176" s="2">
        <v>238032</v>
      </c>
      <c r="C176" t="s">
        <v>333</v>
      </c>
      <c r="D176" t="s">
        <v>334</v>
      </c>
      <c r="E176" t="s">
        <v>335</v>
      </c>
      <c r="F176" s="9">
        <v>608386</v>
      </c>
      <c r="G176" s="9">
        <v>566426</v>
      </c>
      <c r="H176" s="1">
        <f t="shared" si="12"/>
        <v>7.4078520406902229</v>
      </c>
      <c r="I176" s="23">
        <v>26227.16</v>
      </c>
      <c r="J176" s="9">
        <f t="shared" si="14"/>
        <v>23196.792942888213</v>
      </c>
      <c r="K176" s="11">
        <v>1</v>
      </c>
      <c r="L176" s="11">
        <v>2</v>
      </c>
      <c r="M176" s="11">
        <v>2</v>
      </c>
    </row>
    <row r="177" spans="1:13" x14ac:dyDescent="0.25">
      <c r="A177" s="2">
        <f t="shared" si="13"/>
        <v>171</v>
      </c>
      <c r="B177" s="2">
        <v>209542</v>
      </c>
      <c r="C177" t="s">
        <v>336</v>
      </c>
      <c r="D177" t="s">
        <v>337</v>
      </c>
      <c r="E177" t="s">
        <v>254</v>
      </c>
      <c r="F177" s="9">
        <v>595763</v>
      </c>
      <c r="G177" s="9">
        <v>549448</v>
      </c>
      <c r="H177" s="1">
        <f t="shared" si="12"/>
        <v>8.4293691122726813</v>
      </c>
      <c r="I177" s="23">
        <v>25834</v>
      </c>
      <c r="J177" s="9">
        <v>23061.200000000001</v>
      </c>
      <c r="K177" s="11">
        <v>1</v>
      </c>
      <c r="L177" s="11">
        <v>2</v>
      </c>
      <c r="M177" s="11">
        <v>2</v>
      </c>
    </row>
    <row r="178" spans="1:13" x14ac:dyDescent="0.25">
      <c r="A178" s="2">
        <f t="shared" si="13"/>
        <v>172</v>
      </c>
      <c r="B178" s="2">
        <v>144740</v>
      </c>
      <c r="C178" t="s">
        <v>338</v>
      </c>
      <c r="D178" t="s">
        <v>42</v>
      </c>
      <c r="E178" t="s">
        <v>29</v>
      </c>
      <c r="F178" s="9">
        <v>593407</v>
      </c>
      <c r="G178" s="9">
        <v>492399</v>
      </c>
      <c r="H178" s="1">
        <f t="shared" si="12"/>
        <v>20.513445396924041</v>
      </c>
      <c r="I178" s="23">
        <v>19820</v>
      </c>
      <c r="J178" s="9">
        <f t="shared" ref="J178:J184" si="15">(F178*1000)/I178</f>
        <v>29939.808274470233</v>
      </c>
      <c r="K178" s="11">
        <v>2</v>
      </c>
      <c r="L178" s="11">
        <v>2</v>
      </c>
      <c r="M178" s="11">
        <v>2</v>
      </c>
    </row>
    <row r="179" spans="1:13" x14ac:dyDescent="0.25">
      <c r="A179" s="2">
        <f t="shared" si="13"/>
        <v>173</v>
      </c>
      <c r="B179" s="2">
        <v>209922</v>
      </c>
      <c r="C179" t="s">
        <v>339</v>
      </c>
      <c r="D179" t="s">
        <v>298</v>
      </c>
      <c r="E179" t="s">
        <v>254</v>
      </c>
      <c r="F179" s="9">
        <v>577790</v>
      </c>
      <c r="G179" s="9">
        <v>539668</v>
      </c>
      <c r="H179" s="1">
        <f t="shared" si="12"/>
        <v>7.0639726646753189</v>
      </c>
      <c r="I179" s="23">
        <v>1433</v>
      </c>
      <c r="J179" s="9">
        <f t="shared" si="15"/>
        <v>403203.07048150734</v>
      </c>
      <c r="K179" s="11">
        <v>2</v>
      </c>
      <c r="L179" s="11">
        <v>2</v>
      </c>
      <c r="M179" s="11">
        <v>4</v>
      </c>
    </row>
    <row r="180" spans="1:13" x14ac:dyDescent="0.25">
      <c r="A180" s="2">
        <f t="shared" si="13"/>
        <v>174</v>
      </c>
      <c r="B180" s="2">
        <v>191649</v>
      </c>
      <c r="C180" t="s">
        <v>340</v>
      </c>
      <c r="D180" t="s">
        <v>341</v>
      </c>
      <c r="E180" t="s">
        <v>34</v>
      </c>
      <c r="F180" s="9">
        <v>573574</v>
      </c>
      <c r="G180" s="9">
        <v>516319</v>
      </c>
      <c r="H180" s="1">
        <f t="shared" si="12"/>
        <v>11.089074777414739</v>
      </c>
      <c r="I180" s="23">
        <v>10042</v>
      </c>
      <c r="J180" s="9">
        <f t="shared" si="15"/>
        <v>57117.506472814181</v>
      </c>
      <c r="K180" s="11">
        <v>2</v>
      </c>
      <c r="L180" s="11">
        <v>2</v>
      </c>
      <c r="M180" s="11">
        <v>2</v>
      </c>
    </row>
    <row r="181" spans="1:13" x14ac:dyDescent="0.25">
      <c r="A181" s="2">
        <f t="shared" si="13"/>
        <v>175</v>
      </c>
      <c r="B181" s="2">
        <v>204857</v>
      </c>
      <c r="C181" t="s">
        <v>342</v>
      </c>
      <c r="D181" t="s">
        <v>195</v>
      </c>
      <c r="E181" t="s">
        <v>60</v>
      </c>
      <c r="F181" s="9">
        <v>568907</v>
      </c>
      <c r="G181" s="9">
        <v>536197</v>
      </c>
      <c r="H181" s="1">
        <f t="shared" si="12"/>
        <v>6.1003698267614332</v>
      </c>
      <c r="I181" s="23">
        <v>28802</v>
      </c>
      <c r="J181" s="9">
        <f t="shared" si="15"/>
        <v>19752.343587250885</v>
      </c>
      <c r="K181" s="11">
        <v>1</v>
      </c>
      <c r="L181" s="11">
        <v>2</v>
      </c>
      <c r="M181" s="11">
        <v>2</v>
      </c>
    </row>
    <row r="182" spans="1:13" x14ac:dyDescent="0.25">
      <c r="A182" s="2">
        <f t="shared" si="13"/>
        <v>176</v>
      </c>
      <c r="B182" s="2">
        <v>181002</v>
      </c>
      <c r="C182" t="s">
        <v>343</v>
      </c>
      <c r="D182" t="s">
        <v>344</v>
      </c>
      <c r="E182" t="s">
        <v>141</v>
      </c>
      <c r="F182" s="9">
        <v>568813</v>
      </c>
      <c r="G182" s="9">
        <v>525581</v>
      </c>
      <c r="H182" s="1">
        <f t="shared" si="12"/>
        <v>8.2255637094948266</v>
      </c>
      <c r="I182" s="23">
        <v>7445</v>
      </c>
      <c r="J182" s="9">
        <f t="shared" si="15"/>
        <v>76402.014775016796</v>
      </c>
      <c r="K182" s="11">
        <v>2</v>
      </c>
      <c r="L182" s="11">
        <v>2</v>
      </c>
      <c r="M182" s="11">
        <v>3</v>
      </c>
    </row>
    <row r="183" spans="1:13" x14ac:dyDescent="0.25">
      <c r="A183" s="2">
        <f t="shared" si="13"/>
        <v>177</v>
      </c>
      <c r="B183" s="2">
        <v>202480</v>
      </c>
      <c r="C183" t="s">
        <v>1470</v>
      </c>
      <c r="D183" t="s">
        <v>345</v>
      </c>
      <c r="E183" t="s">
        <v>60</v>
      </c>
      <c r="F183" s="9">
        <v>568374</v>
      </c>
      <c r="G183" s="9">
        <v>525221</v>
      </c>
      <c r="H183" s="1">
        <f t="shared" si="12"/>
        <v>8.2161604353215125</v>
      </c>
      <c r="I183" s="23">
        <v>10168</v>
      </c>
      <c r="J183" s="9">
        <f t="shared" si="15"/>
        <v>55898.308418568056</v>
      </c>
      <c r="K183" s="11">
        <v>2</v>
      </c>
      <c r="L183" s="11">
        <v>2</v>
      </c>
      <c r="M183" s="11">
        <v>2</v>
      </c>
    </row>
    <row r="184" spans="1:13" x14ac:dyDescent="0.25">
      <c r="A184" s="2">
        <f t="shared" si="13"/>
        <v>178</v>
      </c>
      <c r="B184" s="2">
        <v>237057</v>
      </c>
      <c r="C184" t="s">
        <v>346</v>
      </c>
      <c r="D184" t="s">
        <v>347</v>
      </c>
      <c r="E184" t="s">
        <v>87</v>
      </c>
      <c r="F184" s="9">
        <v>561010</v>
      </c>
      <c r="G184" s="9">
        <v>518290</v>
      </c>
      <c r="H184" s="1">
        <f t="shared" si="12"/>
        <v>8.2424897258291683</v>
      </c>
      <c r="I184" s="23">
        <v>1471</v>
      </c>
      <c r="J184" s="9">
        <f t="shared" si="15"/>
        <v>381380.01359619305</v>
      </c>
      <c r="K184" s="11">
        <v>2</v>
      </c>
      <c r="L184" s="11">
        <v>2</v>
      </c>
      <c r="M184" s="11">
        <v>4</v>
      </c>
    </row>
    <row r="185" spans="1:13" x14ac:dyDescent="0.25">
      <c r="A185" s="2">
        <f t="shared" si="13"/>
        <v>179</v>
      </c>
      <c r="B185" s="10" t="s">
        <v>119</v>
      </c>
      <c r="C185" t="s">
        <v>348</v>
      </c>
      <c r="D185" t="s">
        <v>33</v>
      </c>
      <c r="E185" t="s">
        <v>34</v>
      </c>
      <c r="F185" s="9">
        <v>537875</v>
      </c>
      <c r="G185" s="9">
        <v>519273</v>
      </c>
      <c r="H185" s="1">
        <f t="shared" si="12"/>
        <v>3.5823160457023571</v>
      </c>
      <c r="I185" s="28" t="s">
        <v>119</v>
      </c>
      <c r="J185" s="25" t="s">
        <v>119</v>
      </c>
      <c r="K185" s="10" t="s">
        <v>119</v>
      </c>
      <c r="L185" s="10" t="s">
        <v>119</v>
      </c>
      <c r="M185" s="10" t="s">
        <v>119</v>
      </c>
    </row>
    <row r="186" spans="1:13" x14ac:dyDescent="0.25">
      <c r="A186" s="2">
        <f t="shared" si="13"/>
        <v>180</v>
      </c>
      <c r="B186" s="2">
        <v>204024</v>
      </c>
      <c r="C186" t="s">
        <v>349</v>
      </c>
      <c r="D186" t="s">
        <v>315</v>
      </c>
      <c r="E186" t="s">
        <v>60</v>
      </c>
      <c r="F186" s="9">
        <v>534686</v>
      </c>
      <c r="G186" s="9">
        <v>512400</v>
      </c>
      <c r="H186" s="1">
        <f t="shared" si="12"/>
        <v>4.349336455893833</v>
      </c>
      <c r="I186" s="23">
        <v>22283</v>
      </c>
      <c r="J186" s="9">
        <f>(F186*1000)/I186</f>
        <v>23995.243010366648</v>
      </c>
      <c r="K186" s="11">
        <v>1</v>
      </c>
      <c r="L186" s="11">
        <v>2</v>
      </c>
      <c r="M186" s="11">
        <v>2</v>
      </c>
    </row>
    <row r="187" spans="1:13" x14ac:dyDescent="0.25">
      <c r="A187" s="2">
        <f t="shared" si="13"/>
        <v>181</v>
      </c>
      <c r="B187" s="2">
        <v>174844</v>
      </c>
      <c r="C187" t="s">
        <v>350</v>
      </c>
      <c r="D187" t="s">
        <v>263</v>
      </c>
      <c r="E187" t="s">
        <v>72</v>
      </c>
      <c r="F187" s="9">
        <v>530828</v>
      </c>
      <c r="G187" s="9">
        <v>493886</v>
      </c>
      <c r="H187" s="1">
        <f t="shared" si="12"/>
        <v>7.4798637742313003</v>
      </c>
      <c r="I187" s="23">
        <v>3012</v>
      </c>
      <c r="J187" s="9">
        <f>(F187*1000)/I187</f>
        <v>176237.71580345285</v>
      </c>
      <c r="K187" s="11">
        <v>2</v>
      </c>
      <c r="L187" s="11">
        <v>2</v>
      </c>
      <c r="M187" s="11">
        <v>4</v>
      </c>
    </row>
    <row r="188" spans="1:13" x14ac:dyDescent="0.25">
      <c r="A188" s="2">
        <f t="shared" si="13"/>
        <v>182</v>
      </c>
      <c r="B188" s="2">
        <v>122436</v>
      </c>
      <c r="C188" t="s">
        <v>351</v>
      </c>
      <c r="D188" t="s">
        <v>352</v>
      </c>
      <c r="E188" t="s">
        <v>14</v>
      </c>
      <c r="F188" s="9">
        <v>529997</v>
      </c>
      <c r="G188" s="9">
        <v>503568</v>
      </c>
      <c r="H188" s="1">
        <f t="shared" si="12"/>
        <v>5.2483477901693512</v>
      </c>
      <c r="I188" s="23">
        <v>7812</v>
      </c>
      <c r="J188" s="9">
        <v>67843.960000000006</v>
      </c>
      <c r="K188" s="11">
        <v>2</v>
      </c>
      <c r="L188" s="11">
        <v>2</v>
      </c>
      <c r="M188" s="11">
        <v>2</v>
      </c>
    </row>
    <row r="189" spans="1:13" x14ac:dyDescent="0.25">
      <c r="A189" s="2">
        <f t="shared" si="13"/>
        <v>183</v>
      </c>
      <c r="B189" s="2">
        <v>130226</v>
      </c>
      <c r="C189" t="s">
        <v>353</v>
      </c>
      <c r="D189" t="s">
        <v>354</v>
      </c>
      <c r="E189" t="s">
        <v>11</v>
      </c>
      <c r="F189" s="9">
        <v>526568</v>
      </c>
      <c r="G189" s="9">
        <v>481626</v>
      </c>
      <c r="H189" s="1">
        <f t="shared" si="12"/>
        <v>9.331306864662622</v>
      </c>
      <c r="I189" s="23">
        <v>9081</v>
      </c>
      <c r="J189" s="9">
        <f>(F189*1000)/I189</f>
        <v>57985.68439599163</v>
      </c>
      <c r="K189" s="11">
        <v>2</v>
      </c>
      <c r="L189" s="11">
        <v>2</v>
      </c>
      <c r="M189" s="11">
        <v>3</v>
      </c>
    </row>
    <row r="190" spans="1:13" x14ac:dyDescent="0.25">
      <c r="A190" s="2">
        <f t="shared" si="13"/>
        <v>184</v>
      </c>
      <c r="B190" s="10" t="s">
        <v>119</v>
      </c>
      <c r="C190" t="s">
        <v>355</v>
      </c>
      <c r="D190" t="s">
        <v>33</v>
      </c>
      <c r="E190" t="s">
        <v>34</v>
      </c>
      <c r="F190" s="9">
        <v>522991</v>
      </c>
      <c r="G190" s="9">
        <v>477248</v>
      </c>
      <c r="H190" s="1">
        <f t="shared" si="12"/>
        <v>9.5847442000804612</v>
      </c>
      <c r="I190" s="23">
        <v>8528</v>
      </c>
      <c r="J190" s="9">
        <f>(F190*1000)/I190</f>
        <v>61326.336772983115</v>
      </c>
      <c r="K190" s="10" t="s">
        <v>119</v>
      </c>
      <c r="L190" s="10" t="s">
        <v>119</v>
      </c>
      <c r="M190" s="10" t="s">
        <v>119</v>
      </c>
    </row>
    <row r="191" spans="1:13" x14ac:dyDescent="0.25">
      <c r="A191" s="2">
        <f t="shared" si="13"/>
        <v>185</v>
      </c>
      <c r="B191" s="2">
        <v>212911</v>
      </c>
      <c r="C191" t="s">
        <v>356</v>
      </c>
      <c r="D191" t="s">
        <v>357</v>
      </c>
      <c r="E191" t="s">
        <v>22</v>
      </c>
      <c r="F191" s="9">
        <v>521538</v>
      </c>
      <c r="G191" s="28">
        <v>511533</v>
      </c>
      <c r="H191" s="22">
        <f t="shared" si="12"/>
        <v>1.9558855440411467</v>
      </c>
      <c r="I191" s="23">
        <v>1295</v>
      </c>
      <c r="J191" s="9">
        <f>(F191*1000)/I191</f>
        <v>402732.04633204633</v>
      </c>
      <c r="K191" s="11">
        <v>2</v>
      </c>
      <c r="L191" s="11">
        <v>2</v>
      </c>
      <c r="M191" s="11">
        <v>4</v>
      </c>
    </row>
    <row r="192" spans="1:13" x14ac:dyDescent="0.25">
      <c r="A192" s="2">
        <f t="shared" si="13"/>
        <v>186</v>
      </c>
      <c r="B192" s="2">
        <v>168421</v>
      </c>
      <c r="C192" t="s">
        <v>358</v>
      </c>
      <c r="D192" t="s">
        <v>280</v>
      </c>
      <c r="E192" t="s">
        <v>5</v>
      </c>
      <c r="F192" s="23">
        <v>519631</v>
      </c>
      <c r="G192" s="9">
        <v>502471</v>
      </c>
      <c r="H192" s="1">
        <f t="shared" si="12"/>
        <v>3.4151224647790621</v>
      </c>
      <c r="I192" s="23">
        <v>5722</v>
      </c>
      <c r="J192" s="9">
        <f>(F192*1000)/I192</f>
        <v>90812.827682628456</v>
      </c>
      <c r="K192" s="11">
        <v>2</v>
      </c>
      <c r="L192" s="11">
        <v>2</v>
      </c>
      <c r="M192" s="11">
        <v>2</v>
      </c>
    </row>
    <row r="193" spans="1:13" x14ac:dyDescent="0.25">
      <c r="A193" s="2">
        <f t="shared" si="13"/>
        <v>187</v>
      </c>
      <c r="B193" s="10" t="s">
        <v>119</v>
      </c>
      <c r="C193" t="s">
        <v>359</v>
      </c>
      <c r="D193" t="s">
        <v>19</v>
      </c>
      <c r="E193" t="s">
        <v>5</v>
      </c>
      <c r="F193" s="9">
        <v>519177</v>
      </c>
      <c r="G193" s="9">
        <v>483580</v>
      </c>
      <c r="H193" s="1">
        <f t="shared" si="12"/>
        <v>7.3611398320856942</v>
      </c>
      <c r="I193" s="31" t="s">
        <v>119</v>
      </c>
      <c r="J193" s="25" t="s">
        <v>119</v>
      </c>
      <c r="K193" s="10" t="s">
        <v>119</v>
      </c>
      <c r="L193" s="10" t="s">
        <v>119</v>
      </c>
      <c r="M193" s="10" t="s">
        <v>119</v>
      </c>
    </row>
    <row r="194" spans="1:13" x14ac:dyDescent="0.25">
      <c r="A194" s="2">
        <f t="shared" si="13"/>
        <v>188</v>
      </c>
      <c r="B194" s="2">
        <v>174914</v>
      </c>
      <c r="C194" t="s">
        <v>360</v>
      </c>
      <c r="D194" t="s">
        <v>289</v>
      </c>
      <c r="E194" t="s">
        <v>72</v>
      </c>
      <c r="F194" s="9">
        <v>518710</v>
      </c>
      <c r="G194" s="9">
        <v>494002</v>
      </c>
      <c r="H194" s="1">
        <f t="shared" si="12"/>
        <v>5.0015991838089722</v>
      </c>
      <c r="I194" s="23">
        <v>8546</v>
      </c>
      <c r="J194" s="9">
        <f>(F194*1000)/I194</f>
        <v>60696.232155394333</v>
      </c>
      <c r="K194" s="11">
        <v>2</v>
      </c>
      <c r="L194" s="11">
        <v>2</v>
      </c>
      <c r="M194" s="11">
        <v>2</v>
      </c>
    </row>
    <row r="195" spans="1:13" x14ac:dyDescent="0.25">
      <c r="A195" s="2">
        <f t="shared" si="13"/>
        <v>189</v>
      </c>
      <c r="B195" s="10" t="s">
        <v>119</v>
      </c>
      <c r="C195" t="s">
        <v>361</v>
      </c>
      <c r="D195" t="s">
        <v>362</v>
      </c>
      <c r="E195" t="s">
        <v>363</v>
      </c>
      <c r="F195" s="9">
        <v>513201</v>
      </c>
      <c r="G195" s="9">
        <v>464269</v>
      </c>
      <c r="H195" s="1">
        <f t="shared" si="12"/>
        <v>10.539579424859296</v>
      </c>
      <c r="I195" s="23">
        <v>10601</v>
      </c>
      <c r="J195" s="9">
        <f>(F195*1000)/I195</f>
        <v>48410.621639467972</v>
      </c>
      <c r="K195" s="10" t="s">
        <v>119</v>
      </c>
      <c r="L195" s="10" t="s">
        <v>119</v>
      </c>
      <c r="M195" s="10" t="s">
        <v>119</v>
      </c>
    </row>
    <row r="196" spans="1:13" x14ac:dyDescent="0.25">
      <c r="A196" s="2">
        <f t="shared" si="13"/>
        <v>190</v>
      </c>
      <c r="B196" s="2">
        <v>178697</v>
      </c>
      <c r="C196" t="s">
        <v>364</v>
      </c>
      <c r="D196" t="s">
        <v>365</v>
      </c>
      <c r="E196" t="s">
        <v>45</v>
      </c>
      <c r="F196" s="9">
        <v>509083</v>
      </c>
      <c r="G196" s="9">
        <v>459302</v>
      </c>
      <c r="H196" s="1">
        <f t="shared" si="12"/>
        <v>10.838402619627173</v>
      </c>
      <c r="I196" s="23">
        <v>1508</v>
      </c>
      <c r="J196" s="9">
        <v>335585.37</v>
      </c>
      <c r="K196" s="11">
        <v>2</v>
      </c>
      <c r="L196" s="11">
        <v>2</v>
      </c>
      <c r="M196" s="11">
        <v>4</v>
      </c>
    </row>
    <row r="197" spans="1:13" x14ac:dyDescent="0.25">
      <c r="A197" s="2">
        <f t="shared" si="13"/>
        <v>191</v>
      </c>
      <c r="B197" s="2">
        <v>176080</v>
      </c>
      <c r="C197" t="s">
        <v>366</v>
      </c>
      <c r="D197" t="s">
        <v>367</v>
      </c>
      <c r="E197" t="s">
        <v>316</v>
      </c>
      <c r="F197" s="9">
        <v>506138</v>
      </c>
      <c r="G197" s="9">
        <v>472000</v>
      </c>
      <c r="H197" s="1">
        <f t="shared" si="12"/>
        <v>7.2326271186440678</v>
      </c>
      <c r="I197" s="23">
        <v>20307</v>
      </c>
      <c r="J197" s="9">
        <f>(F197*1000)/I197</f>
        <v>24924.311813660315</v>
      </c>
      <c r="K197" s="11">
        <v>1</v>
      </c>
      <c r="L197" s="11">
        <v>2</v>
      </c>
      <c r="M197" s="11">
        <v>2</v>
      </c>
    </row>
    <row r="198" spans="1:13" x14ac:dyDescent="0.25">
      <c r="A198" s="2">
        <f t="shared" si="13"/>
        <v>192</v>
      </c>
      <c r="B198" s="10" t="s">
        <v>119</v>
      </c>
      <c r="C198" t="s">
        <v>368</v>
      </c>
      <c r="D198" t="s">
        <v>70</v>
      </c>
      <c r="E198" t="s">
        <v>22</v>
      </c>
      <c r="F198" s="9">
        <v>501719</v>
      </c>
      <c r="G198" s="9">
        <v>471244</v>
      </c>
      <c r="H198" s="1">
        <f t="shared" si="12"/>
        <v>6.4669258388435722</v>
      </c>
      <c r="I198" s="31" t="s">
        <v>119</v>
      </c>
      <c r="J198" s="25" t="s">
        <v>119</v>
      </c>
      <c r="K198" s="10" t="s">
        <v>119</v>
      </c>
      <c r="L198" s="10" t="s">
        <v>119</v>
      </c>
      <c r="M198" s="10" t="s">
        <v>119</v>
      </c>
    </row>
    <row r="199" spans="1:13" x14ac:dyDescent="0.25">
      <c r="A199" s="2">
        <f t="shared" si="13"/>
        <v>193</v>
      </c>
      <c r="B199" s="2">
        <v>234085</v>
      </c>
      <c r="C199" t="s">
        <v>369</v>
      </c>
      <c r="D199" t="s">
        <v>154</v>
      </c>
      <c r="E199" t="s">
        <v>52</v>
      </c>
      <c r="F199" s="9">
        <v>491862</v>
      </c>
      <c r="G199" s="9">
        <v>435159</v>
      </c>
      <c r="H199" s="1">
        <f t="shared" si="12"/>
        <v>13.030409574431415</v>
      </c>
      <c r="I199" s="23">
        <v>1705</v>
      </c>
      <c r="J199" s="9">
        <f>(F199*1000)/I199</f>
        <v>288482.11143695016</v>
      </c>
      <c r="K199" s="11">
        <v>1</v>
      </c>
      <c r="L199" s="11">
        <v>2</v>
      </c>
      <c r="M199" s="11">
        <v>4</v>
      </c>
    </row>
    <row r="200" spans="1:13" ht="17.25" x14ac:dyDescent="0.25">
      <c r="A200" s="2">
        <f t="shared" ref="A200:A263" si="16">RANK(F200,F$7:F$817,0)</f>
        <v>194</v>
      </c>
      <c r="B200" s="10" t="s">
        <v>119</v>
      </c>
      <c r="C200" t="s">
        <v>1389</v>
      </c>
      <c r="D200" t="s">
        <v>370</v>
      </c>
      <c r="E200" t="s">
        <v>371</v>
      </c>
      <c r="F200" s="9">
        <v>490035</v>
      </c>
      <c r="G200" s="9">
        <v>458979</v>
      </c>
      <c r="H200" s="1">
        <f t="shared" ref="H200:H263" si="17">((F200-G200)/G200)*100</f>
        <v>6.7663226422123888</v>
      </c>
      <c r="I200" s="23">
        <v>16902</v>
      </c>
      <c r="J200" s="9">
        <f>(F200*1000)/I200</f>
        <v>28992.722754703584</v>
      </c>
      <c r="K200" s="10" t="s">
        <v>119</v>
      </c>
      <c r="L200" s="10" t="s">
        <v>119</v>
      </c>
      <c r="M200" s="10" t="s">
        <v>119</v>
      </c>
    </row>
    <row r="201" spans="1:13" x14ac:dyDescent="0.25">
      <c r="A201" s="2">
        <f t="shared" si="16"/>
        <v>195</v>
      </c>
      <c r="B201" s="2">
        <v>149781</v>
      </c>
      <c r="C201" t="s">
        <v>372</v>
      </c>
      <c r="D201" t="s">
        <v>373</v>
      </c>
      <c r="E201" t="s">
        <v>29</v>
      </c>
      <c r="F201" s="9">
        <v>489131</v>
      </c>
      <c r="G201" s="9">
        <v>446376</v>
      </c>
      <c r="H201" s="1">
        <f t="shared" si="17"/>
        <v>9.5782479344767637</v>
      </c>
      <c r="I201" s="23">
        <v>2667</v>
      </c>
      <c r="J201" s="9">
        <f>(F201*1000)/I201</f>
        <v>183401.19985001875</v>
      </c>
      <c r="K201" s="11">
        <v>2</v>
      </c>
      <c r="L201" s="11">
        <v>2</v>
      </c>
      <c r="M201" s="11">
        <v>4</v>
      </c>
    </row>
    <row r="202" spans="1:13" x14ac:dyDescent="0.25">
      <c r="A202" s="2">
        <f t="shared" si="16"/>
        <v>196</v>
      </c>
      <c r="B202" s="2">
        <v>135717</v>
      </c>
      <c r="C202" t="s">
        <v>374</v>
      </c>
      <c r="D202" t="s">
        <v>375</v>
      </c>
      <c r="E202" t="s">
        <v>138</v>
      </c>
      <c r="F202" s="9">
        <v>486093</v>
      </c>
      <c r="G202" s="9">
        <v>444102</v>
      </c>
      <c r="H202" s="1">
        <f t="shared" si="17"/>
        <v>9.4552602780442339</v>
      </c>
      <c r="I202" s="23">
        <v>48188</v>
      </c>
      <c r="J202" s="9">
        <f>(F202*1000)/I202</f>
        <v>10087.428405412136</v>
      </c>
      <c r="K202" s="11">
        <v>1</v>
      </c>
      <c r="L202" s="11">
        <v>2</v>
      </c>
      <c r="M202" s="11">
        <v>1</v>
      </c>
    </row>
    <row r="203" spans="1:13" x14ac:dyDescent="0.25">
      <c r="A203" s="2">
        <f t="shared" si="16"/>
        <v>197</v>
      </c>
      <c r="B203" s="2">
        <v>155399</v>
      </c>
      <c r="C203" t="s">
        <v>376</v>
      </c>
      <c r="D203" t="s">
        <v>377</v>
      </c>
      <c r="E203" t="s">
        <v>132</v>
      </c>
      <c r="F203" s="9">
        <v>480785</v>
      </c>
      <c r="G203" s="9">
        <v>450462</v>
      </c>
      <c r="H203" s="1">
        <f t="shared" si="17"/>
        <v>6.7315334034835344</v>
      </c>
      <c r="I203" s="23">
        <v>20898</v>
      </c>
      <c r="J203" s="9">
        <v>23006.27</v>
      </c>
      <c r="K203" s="11">
        <v>1</v>
      </c>
      <c r="L203" s="11">
        <v>2</v>
      </c>
      <c r="M203" s="11">
        <v>2</v>
      </c>
    </row>
    <row r="204" spans="1:13" x14ac:dyDescent="0.25">
      <c r="A204" s="2">
        <f t="shared" si="16"/>
        <v>198</v>
      </c>
      <c r="B204" s="2">
        <v>137351</v>
      </c>
      <c r="C204" t="s">
        <v>378</v>
      </c>
      <c r="D204" t="s">
        <v>379</v>
      </c>
      <c r="E204" t="s">
        <v>138</v>
      </c>
      <c r="F204" s="9">
        <v>480427</v>
      </c>
      <c r="G204" s="9">
        <v>442033</v>
      </c>
      <c r="H204" s="1">
        <f t="shared" si="17"/>
        <v>8.6857768537643114</v>
      </c>
      <c r="I204" s="23">
        <v>42949</v>
      </c>
      <c r="J204" s="9">
        <v>11185.99</v>
      </c>
      <c r="K204" s="11">
        <v>1</v>
      </c>
      <c r="L204" s="11">
        <v>2</v>
      </c>
      <c r="M204" s="11">
        <v>2</v>
      </c>
    </row>
    <row r="205" spans="1:13" x14ac:dyDescent="0.25">
      <c r="A205" s="2">
        <f t="shared" si="16"/>
        <v>199</v>
      </c>
      <c r="B205" s="2">
        <v>117946</v>
      </c>
      <c r="C205" t="s">
        <v>380</v>
      </c>
      <c r="D205" t="s">
        <v>56</v>
      </c>
      <c r="E205" t="s">
        <v>14</v>
      </c>
      <c r="F205" s="9">
        <v>471841</v>
      </c>
      <c r="G205" s="9">
        <v>454478</v>
      </c>
      <c r="H205" s="1">
        <f t="shared" si="17"/>
        <v>3.8204269513595817</v>
      </c>
      <c r="I205" s="23">
        <v>9034</v>
      </c>
      <c r="J205" s="9">
        <f>(F205*1000)/I205</f>
        <v>52229.466460039846</v>
      </c>
      <c r="K205" s="11">
        <v>2</v>
      </c>
      <c r="L205" s="11">
        <v>2</v>
      </c>
      <c r="M205" s="11">
        <v>3</v>
      </c>
    </row>
    <row r="206" spans="1:13" x14ac:dyDescent="0.25">
      <c r="A206" s="2">
        <f t="shared" si="16"/>
        <v>200</v>
      </c>
      <c r="B206" s="10" t="s">
        <v>119</v>
      </c>
      <c r="C206" t="s">
        <v>381</v>
      </c>
      <c r="D206" t="s">
        <v>93</v>
      </c>
      <c r="E206" t="s">
        <v>52</v>
      </c>
      <c r="F206" s="9">
        <v>457310</v>
      </c>
      <c r="G206" s="9">
        <v>418870</v>
      </c>
      <c r="H206" s="1">
        <f t="shared" si="17"/>
        <v>9.1770716451404972</v>
      </c>
      <c r="I206" s="31" t="s">
        <v>119</v>
      </c>
      <c r="J206" s="25" t="s">
        <v>119</v>
      </c>
      <c r="K206" s="10" t="s">
        <v>119</v>
      </c>
      <c r="L206" s="10" t="s">
        <v>119</v>
      </c>
      <c r="M206" s="10" t="s">
        <v>119</v>
      </c>
    </row>
    <row r="207" spans="1:13" x14ac:dyDescent="0.25">
      <c r="A207" s="2">
        <f t="shared" si="16"/>
        <v>201</v>
      </c>
      <c r="B207" s="2">
        <v>206084</v>
      </c>
      <c r="C207" t="s">
        <v>382</v>
      </c>
      <c r="D207" t="s">
        <v>383</v>
      </c>
      <c r="E207" t="s">
        <v>60</v>
      </c>
      <c r="F207" s="9">
        <v>454578</v>
      </c>
      <c r="G207" s="9">
        <v>427589</v>
      </c>
      <c r="H207" s="1">
        <f t="shared" si="17"/>
        <v>6.3119023174122812</v>
      </c>
      <c r="I207" s="23">
        <v>17185</v>
      </c>
      <c r="J207" s="9">
        <v>26452.02</v>
      </c>
      <c r="K207" s="11">
        <v>1</v>
      </c>
      <c r="L207" s="11">
        <v>2</v>
      </c>
      <c r="M207" s="11">
        <v>2</v>
      </c>
    </row>
    <row r="208" spans="1:13" x14ac:dyDescent="0.25">
      <c r="A208" s="2">
        <f t="shared" si="16"/>
        <v>202</v>
      </c>
      <c r="B208" s="2">
        <v>120883</v>
      </c>
      <c r="C208" t="s">
        <v>384</v>
      </c>
      <c r="D208" t="s">
        <v>385</v>
      </c>
      <c r="E208" t="s">
        <v>14</v>
      </c>
      <c r="F208" s="9">
        <v>452976</v>
      </c>
      <c r="G208" s="9">
        <v>422744</v>
      </c>
      <c r="H208" s="1">
        <f t="shared" si="17"/>
        <v>7.1513729349204249</v>
      </c>
      <c r="I208" s="23">
        <v>5420</v>
      </c>
      <c r="J208" s="9">
        <f>(F208*1000)/I208</f>
        <v>83574.907749077494</v>
      </c>
      <c r="K208" s="11">
        <v>2</v>
      </c>
      <c r="L208" s="11">
        <v>2</v>
      </c>
      <c r="M208" s="11">
        <v>2</v>
      </c>
    </row>
    <row r="209" spans="1:13" x14ac:dyDescent="0.25">
      <c r="A209" s="2">
        <f t="shared" si="16"/>
        <v>203</v>
      </c>
      <c r="B209" s="2">
        <v>187985</v>
      </c>
      <c r="C209" t="s">
        <v>386</v>
      </c>
      <c r="D209" t="s">
        <v>387</v>
      </c>
      <c r="E209" t="s">
        <v>388</v>
      </c>
      <c r="F209" s="9">
        <v>452527</v>
      </c>
      <c r="G209" s="9">
        <v>423496</v>
      </c>
      <c r="H209" s="1">
        <f t="shared" si="17"/>
        <v>6.8550824565049018</v>
      </c>
      <c r="I209" s="23">
        <v>21983</v>
      </c>
      <c r="J209" s="9">
        <f>(F209*1000)/I209</f>
        <v>20585.315925942774</v>
      </c>
      <c r="K209" s="11">
        <v>1</v>
      </c>
      <c r="L209" s="11">
        <v>2</v>
      </c>
      <c r="M209" s="11">
        <v>2</v>
      </c>
    </row>
    <row r="210" spans="1:13" x14ac:dyDescent="0.25">
      <c r="A210" s="2">
        <f t="shared" si="16"/>
        <v>204</v>
      </c>
      <c r="B210" s="2">
        <v>196866</v>
      </c>
      <c r="C210" t="s">
        <v>389</v>
      </c>
      <c r="D210" t="s">
        <v>390</v>
      </c>
      <c r="E210" t="s">
        <v>34</v>
      </c>
      <c r="F210" s="9">
        <v>452304</v>
      </c>
      <c r="G210" s="9">
        <v>423404</v>
      </c>
      <c r="H210" s="1">
        <f t="shared" si="17"/>
        <v>6.8256322566626668</v>
      </c>
      <c r="I210" s="23">
        <v>2212</v>
      </c>
      <c r="J210" s="9">
        <f>(F210*1000)/I210</f>
        <v>204477.39602169982</v>
      </c>
      <c r="K210" s="11">
        <v>2</v>
      </c>
      <c r="L210" s="11">
        <v>2</v>
      </c>
      <c r="M210" s="11">
        <v>4</v>
      </c>
    </row>
    <row r="211" spans="1:13" x14ac:dyDescent="0.25">
      <c r="A211" s="2">
        <f t="shared" si="16"/>
        <v>205</v>
      </c>
      <c r="B211" s="2">
        <v>129020</v>
      </c>
      <c r="C211" t="s">
        <v>391</v>
      </c>
      <c r="D211" t="s">
        <v>392</v>
      </c>
      <c r="E211" t="s">
        <v>11</v>
      </c>
      <c r="F211" s="9">
        <v>447739</v>
      </c>
      <c r="G211" s="9">
        <v>421894</v>
      </c>
      <c r="H211" s="1">
        <f t="shared" si="17"/>
        <v>6.1259463277505724</v>
      </c>
      <c r="I211" s="23">
        <v>28684</v>
      </c>
      <c r="J211" s="9">
        <v>15609.36</v>
      </c>
      <c r="K211" s="11">
        <v>1</v>
      </c>
      <c r="L211" s="11">
        <v>2</v>
      </c>
      <c r="M211" s="11">
        <v>2</v>
      </c>
    </row>
    <row r="212" spans="1:13" x14ac:dyDescent="0.25">
      <c r="A212" s="2">
        <f t="shared" si="16"/>
        <v>206</v>
      </c>
      <c r="B212" s="2">
        <v>110644</v>
      </c>
      <c r="C212" t="s">
        <v>393</v>
      </c>
      <c r="D212" t="s">
        <v>394</v>
      </c>
      <c r="E212" t="s">
        <v>14</v>
      </c>
      <c r="F212" s="23">
        <v>442247</v>
      </c>
      <c r="G212" s="9">
        <v>400127</v>
      </c>
      <c r="H212" s="1">
        <f t="shared" si="17"/>
        <v>10.526657786152896</v>
      </c>
      <c r="I212" s="23">
        <v>31785</v>
      </c>
      <c r="J212" s="9">
        <v>13913.7</v>
      </c>
      <c r="K212" s="11">
        <v>1</v>
      </c>
      <c r="L212" s="11">
        <v>2</v>
      </c>
      <c r="M212" s="11">
        <v>2</v>
      </c>
    </row>
    <row r="213" spans="1:13" x14ac:dyDescent="0.25">
      <c r="A213" s="2">
        <f t="shared" si="16"/>
        <v>207</v>
      </c>
      <c r="B213" s="2">
        <v>165334</v>
      </c>
      <c r="C213" t="s">
        <v>395</v>
      </c>
      <c r="D213" t="s">
        <v>280</v>
      </c>
      <c r="E213" t="s">
        <v>5</v>
      </c>
      <c r="F213" s="9">
        <v>441830</v>
      </c>
      <c r="G213" s="9">
        <v>417187</v>
      </c>
      <c r="H213" s="1">
        <f t="shared" si="17"/>
        <v>5.9069434090707524</v>
      </c>
      <c r="I213" s="23">
        <v>3045</v>
      </c>
      <c r="J213" s="9">
        <f t="shared" ref="J213:J221" si="18">(F213*1000)/I213</f>
        <v>145100.16420361248</v>
      </c>
      <c r="K213" s="11">
        <v>2</v>
      </c>
      <c r="L213" s="11">
        <v>2</v>
      </c>
      <c r="M213" s="11">
        <v>2</v>
      </c>
    </row>
    <row r="214" spans="1:13" x14ac:dyDescent="0.25">
      <c r="A214" s="2">
        <f t="shared" si="16"/>
        <v>208</v>
      </c>
      <c r="B214" s="2">
        <v>212009</v>
      </c>
      <c r="C214" t="s">
        <v>396</v>
      </c>
      <c r="D214" t="s">
        <v>397</v>
      </c>
      <c r="E214" t="s">
        <v>22</v>
      </c>
      <c r="F214" s="9">
        <v>437527</v>
      </c>
      <c r="G214" s="9">
        <v>412810</v>
      </c>
      <c r="H214" s="1">
        <f t="shared" si="17"/>
        <v>5.9875003028027427</v>
      </c>
      <c r="I214" s="19">
        <v>2359</v>
      </c>
      <c r="J214" s="9">
        <f t="shared" si="18"/>
        <v>185471.38618058499</v>
      </c>
      <c r="K214" s="11">
        <v>2</v>
      </c>
      <c r="L214" s="11">
        <v>2</v>
      </c>
      <c r="M214" s="11">
        <v>4</v>
      </c>
    </row>
    <row r="215" spans="1:13" x14ac:dyDescent="0.25">
      <c r="A215" s="2">
        <f t="shared" si="16"/>
        <v>209</v>
      </c>
      <c r="B215" s="2">
        <v>120254</v>
      </c>
      <c r="C215" t="s">
        <v>398</v>
      </c>
      <c r="D215" t="s">
        <v>56</v>
      </c>
      <c r="E215" t="s">
        <v>14</v>
      </c>
      <c r="F215" s="9">
        <v>434234</v>
      </c>
      <c r="G215" s="9">
        <v>413430</v>
      </c>
      <c r="H215" s="1">
        <f t="shared" si="17"/>
        <v>5.0320489562924804</v>
      </c>
      <c r="I215" s="23">
        <v>2048.66</v>
      </c>
      <c r="J215" s="9">
        <f t="shared" si="18"/>
        <v>211960.01288647213</v>
      </c>
      <c r="K215" s="11">
        <v>2</v>
      </c>
      <c r="L215" s="11">
        <v>2</v>
      </c>
      <c r="M215" s="11">
        <v>4</v>
      </c>
    </row>
    <row r="216" spans="1:13" x14ac:dyDescent="0.25">
      <c r="A216" s="2">
        <f t="shared" si="16"/>
        <v>210</v>
      </c>
      <c r="B216" s="2">
        <v>150455</v>
      </c>
      <c r="C216" t="s">
        <v>399</v>
      </c>
      <c r="D216" t="s">
        <v>93</v>
      </c>
      <c r="E216" t="s">
        <v>37</v>
      </c>
      <c r="F216" s="9">
        <v>429202</v>
      </c>
      <c r="G216" s="9">
        <v>425495</v>
      </c>
      <c r="H216" s="1">
        <f t="shared" si="17"/>
        <v>0.87122057838517497</v>
      </c>
      <c r="I216" s="23">
        <v>1087</v>
      </c>
      <c r="J216" s="9">
        <f t="shared" si="18"/>
        <v>394850.04599816009</v>
      </c>
      <c r="K216" s="11">
        <v>2</v>
      </c>
      <c r="L216" s="11">
        <v>2</v>
      </c>
      <c r="M216" s="11">
        <v>4</v>
      </c>
    </row>
    <row r="217" spans="1:13" ht="17.25" x14ac:dyDescent="0.25">
      <c r="A217" s="2">
        <f t="shared" si="16"/>
        <v>211</v>
      </c>
      <c r="B217" s="2">
        <v>222178</v>
      </c>
      <c r="C217" t="s">
        <v>1454</v>
      </c>
      <c r="D217" t="s">
        <v>400</v>
      </c>
      <c r="E217" t="s">
        <v>8</v>
      </c>
      <c r="F217" s="9">
        <v>427572</v>
      </c>
      <c r="G217" s="9">
        <v>384539</v>
      </c>
      <c r="H217" s="1">
        <f t="shared" si="17"/>
        <v>11.190802493375184</v>
      </c>
      <c r="I217" s="23">
        <v>4694</v>
      </c>
      <c r="J217" s="9">
        <f t="shared" si="18"/>
        <v>91089.04985087346</v>
      </c>
      <c r="K217" s="11">
        <v>2</v>
      </c>
      <c r="L217" s="11">
        <v>2</v>
      </c>
      <c r="M217" s="11">
        <v>3</v>
      </c>
    </row>
    <row r="218" spans="1:13" x14ac:dyDescent="0.25">
      <c r="A218" s="2">
        <f t="shared" si="16"/>
        <v>212</v>
      </c>
      <c r="B218" s="2">
        <v>164580</v>
      </c>
      <c r="C218" t="s">
        <v>401</v>
      </c>
      <c r="D218" t="s">
        <v>402</v>
      </c>
      <c r="E218" t="s">
        <v>5</v>
      </c>
      <c r="F218" s="9">
        <v>420115</v>
      </c>
      <c r="G218" s="9">
        <v>389539</v>
      </c>
      <c r="H218" s="1">
        <f t="shared" si="17"/>
        <v>7.8492782494179014</v>
      </c>
      <c r="I218" s="23">
        <v>2342</v>
      </c>
      <c r="J218" s="9">
        <f t="shared" si="18"/>
        <v>179383.00597779677</v>
      </c>
      <c r="K218" s="11">
        <v>2</v>
      </c>
      <c r="L218" s="11">
        <v>2</v>
      </c>
      <c r="M218" s="11">
        <v>5</v>
      </c>
    </row>
    <row r="219" spans="1:13" x14ac:dyDescent="0.25">
      <c r="A219" s="2">
        <f t="shared" si="16"/>
        <v>213</v>
      </c>
      <c r="B219" s="2">
        <v>203535</v>
      </c>
      <c r="C219" t="s">
        <v>403</v>
      </c>
      <c r="D219" t="s">
        <v>404</v>
      </c>
      <c r="E219" t="s">
        <v>60</v>
      </c>
      <c r="F219" s="9">
        <v>413864</v>
      </c>
      <c r="G219" s="9">
        <v>238193</v>
      </c>
      <c r="H219" s="1">
        <f t="shared" si="17"/>
        <v>73.751537618653785</v>
      </c>
      <c r="I219" s="23">
        <v>1666</v>
      </c>
      <c r="J219" s="9">
        <f t="shared" si="18"/>
        <v>248417.76710684274</v>
      </c>
      <c r="K219" s="11">
        <v>2</v>
      </c>
      <c r="L219" s="11">
        <v>2</v>
      </c>
      <c r="M219" s="11">
        <v>4</v>
      </c>
    </row>
    <row r="220" spans="1:13" x14ac:dyDescent="0.25">
      <c r="A220" s="2">
        <f t="shared" si="16"/>
        <v>214</v>
      </c>
      <c r="B220" s="2">
        <v>221519</v>
      </c>
      <c r="C220" t="s">
        <v>405</v>
      </c>
      <c r="D220" t="s">
        <v>406</v>
      </c>
      <c r="E220" t="s">
        <v>63</v>
      </c>
      <c r="F220" s="9">
        <v>410986</v>
      </c>
      <c r="G220" s="9">
        <v>395006</v>
      </c>
      <c r="H220" s="1">
        <f t="shared" si="17"/>
        <v>4.0455081694961592</v>
      </c>
      <c r="I220" s="23">
        <v>1708</v>
      </c>
      <c r="J220" s="9">
        <f t="shared" si="18"/>
        <v>240624.12177985947</v>
      </c>
      <c r="K220" s="11">
        <v>2</v>
      </c>
      <c r="L220" s="11">
        <v>2</v>
      </c>
      <c r="M220" s="11">
        <v>4</v>
      </c>
    </row>
    <row r="221" spans="1:13" x14ac:dyDescent="0.25">
      <c r="A221" s="2">
        <f t="shared" si="16"/>
        <v>215</v>
      </c>
      <c r="B221" s="2">
        <v>215123</v>
      </c>
      <c r="C221" t="s">
        <v>407</v>
      </c>
      <c r="D221" t="s">
        <v>21</v>
      </c>
      <c r="E221" t="s">
        <v>22</v>
      </c>
      <c r="F221" s="9">
        <v>406578</v>
      </c>
      <c r="G221" s="9">
        <v>332940</v>
      </c>
      <c r="H221" s="1">
        <f t="shared" si="17"/>
        <v>22.117498648405117</v>
      </c>
      <c r="I221" s="23">
        <v>2700</v>
      </c>
      <c r="J221" s="9">
        <f t="shared" si="18"/>
        <v>150584.44444444444</v>
      </c>
      <c r="K221" s="11">
        <v>2</v>
      </c>
      <c r="L221" s="11">
        <v>2</v>
      </c>
      <c r="M221" s="11">
        <v>5</v>
      </c>
    </row>
    <row r="222" spans="1:13" x14ac:dyDescent="0.25">
      <c r="A222" s="2">
        <f t="shared" si="16"/>
        <v>216</v>
      </c>
      <c r="B222" s="2">
        <v>172699</v>
      </c>
      <c r="C222" t="s">
        <v>408</v>
      </c>
      <c r="D222" t="s">
        <v>409</v>
      </c>
      <c r="E222" t="s">
        <v>26</v>
      </c>
      <c r="F222" s="9">
        <v>405245</v>
      </c>
      <c r="G222" s="9">
        <v>386621</v>
      </c>
      <c r="H222" s="1">
        <f t="shared" si="17"/>
        <v>4.8171206426965947</v>
      </c>
      <c r="I222" s="23">
        <v>19784</v>
      </c>
      <c r="J222" s="9">
        <v>20483.47</v>
      </c>
      <c r="K222" s="11">
        <v>1</v>
      </c>
      <c r="L222" s="11">
        <v>2</v>
      </c>
      <c r="M222" s="11">
        <v>2</v>
      </c>
    </row>
    <row r="223" spans="1:13" ht="17.25" x14ac:dyDescent="0.25">
      <c r="A223" s="2">
        <f t="shared" si="16"/>
        <v>217</v>
      </c>
      <c r="B223" s="2">
        <v>111948</v>
      </c>
      <c r="C223" t="s">
        <v>1455</v>
      </c>
      <c r="D223" t="s">
        <v>410</v>
      </c>
      <c r="E223" t="s">
        <v>14</v>
      </c>
      <c r="F223" s="9">
        <v>394071</v>
      </c>
      <c r="G223" s="9">
        <v>352616</v>
      </c>
      <c r="H223" s="1">
        <f t="shared" si="17"/>
        <v>11.756414910270664</v>
      </c>
      <c r="I223" s="23">
        <v>8898.36</v>
      </c>
      <c r="J223" s="9">
        <v>47870.63</v>
      </c>
      <c r="K223" s="11">
        <v>2</v>
      </c>
      <c r="L223" s="11">
        <v>2</v>
      </c>
      <c r="M223" s="11">
        <v>3</v>
      </c>
    </row>
    <row r="224" spans="1:13" x14ac:dyDescent="0.25">
      <c r="A224" s="2">
        <f t="shared" si="16"/>
        <v>218</v>
      </c>
      <c r="B224" s="2">
        <v>122612</v>
      </c>
      <c r="C224" t="s">
        <v>411</v>
      </c>
      <c r="D224" t="s">
        <v>145</v>
      </c>
      <c r="E224" t="s">
        <v>14</v>
      </c>
      <c r="F224" s="9">
        <v>393399</v>
      </c>
      <c r="G224" s="9">
        <v>345010</v>
      </c>
      <c r="H224" s="1">
        <f t="shared" si="17"/>
        <v>14.025390568389323</v>
      </c>
      <c r="I224" s="23">
        <v>10565</v>
      </c>
      <c r="J224" s="9">
        <v>37236.06</v>
      </c>
      <c r="K224" s="11">
        <v>2</v>
      </c>
      <c r="L224" s="11">
        <v>2</v>
      </c>
      <c r="M224" s="11">
        <v>2</v>
      </c>
    </row>
    <row r="225" spans="1:13" x14ac:dyDescent="0.25">
      <c r="A225" s="2">
        <f t="shared" si="16"/>
        <v>219</v>
      </c>
      <c r="B225" s="2">
        <v>193654</v>
      </c>
      <c r="C225" t="s">
        <v>412</v>
      </c>
      <c r="D225" t="s">
        <v>33</v>
      </c>
      <c r="E225" t="s">
        <v>34</v>
      </c>
      <c r="F225" s="9">
        <v>392132</v>
      </c>
      <c r="G225" s="9">
        <v>368029</v>
      </c>
      <c r="H225" s="1">
        <f t="shared" si="17"/>
        <v>6.5492121544769564</v>
      </c>
      <c r="I225" s="23">
        <v>9663</v>
      </c>
      <c r="J225" s="9">
        <f t="shared" ref="J225:J231" si="19">(F225*1000)/I225</f>
        <v>40580.772016971954</v>
      </c>
      <c r="K225" s="11">
        <v>2</v>
      </c>
      <c r="L225" s="11">
        <v>2</v>
      </c>
      <c r="M225" s="11">
        <v>2</v>
      </c>
    </row>
    <row r="226" spans="1:13" x14ac:dyDescent="0.25">
      <c r="A226" s="2">
        <f t="shared" si="16"/>
        <v>220</v>
      </c>
      <c r="B226" s="2">
        <v>141060</v>
      </c>
      <c r="C226" t="s">
        <v>413</v>
      </c>
      <c r="D226" t="s">
        <v>47</v>
      </c>
      <c r="E226" t="s">
        <v>48</v>
      </c>
      <c r="F226" s="9">
        <v>389207</v>
      </c>
      <c r="G226" s="9">
        <v>366056</v>
      </c>
      <c r="H226" s="1">
        <f t="shared" si="17"/>
        <v>6.3244421618550168</v>
      </c>
      <c r="I226" s="23">
        <v>2106</v>
      </c>
      <c r="J226" s="9">
        <f t="shared" si="19"/>
        <v>184808.64197530865</v>
      </c>
      <c r="K226" s="11">
        <v>2</v>
      </c>
      <c r="L226" s="11">
        <v>1</v>
      </c>
      <c r="M226" s="11">
        <v>4</v>
      </c>
    </row>
    <row r="227" spans="1:13" x14ac:dyDescent="0.25">
      <c r="A227" s="2">
        <f t="shared" si="16"/>
        <v>221</v>
      </c>
      <c r="B227" s="2">
        <v>441982</v>
      </c>
      <c r="C227" t="s">
        <v>414</v>
      </c>
      <c r="D227" t="s">
        <v>415</v>
      </c>
      <c r="E227" t="s">
        <v>5</v>
      </c>
      <c r="F227" s="9">
        <v>384059</v>
      </c>
      <c r="G227" s="9">
        <v>376279</v>
      </c>
      <c r="H227" s="1">
        <f t="shared" si="17"/>
        <v>2.0676147220546457</v>
      </c>
      <c r="I227" s="19">
        <v>361</v>
      </c>
      <c r="J227" s="9">
        <f t="shared" si="19"/>
        <v>1063875.3462603879</v>
      </c>
      <c r="K227" s="11">
        <v>2</v>
      </c>
      <c r="L227" s="11">
        <v>2</v>
      </c>
      <c r="M227" s="11">
        <v>5</v>
      </c>
    </row>
    <row r="228" spans="1:13" x14ac:dyDescent="0.25">
      <c r="A228" s="2">
        <f t="shared" si="16"/>
        <v>222</v>
      </c>
      <c r="B228" s="2">
        <v>136950</v>
      </c>
      <c r="C228" t="s">
        <v>416</v>
      </c>
      <c r="D228" t="s">
        <v>417</v>
      </c>
      <c r="E228" t="s">
        <v>138</v>
      </c>
      <c r="F228" s="9">
        <v>379418</v>
      </c>
      <c r="G228" s="9">
        <v>361786</v>
      </c>
      <c r="H228" s="1">
        <f t="shared" si="17"/>
        <v>4.8735993100893893</v>
      </c>
      <c r="I228" s="23">
        <v>3126</v>
      </c>
      <c r="J228" s="9">
        <f t="shared" si="19"/>
        <v>121374.92002559181</v>
      </c>
      <c r="K228" s="11">
        <v>2</v>
      </c>
      <c r="L228" s="11">
        <v>2</v>
      </c>
      <c r="M228" s="11">
        <v>3</v>
      </c>
    </row>
    <row r="229" spans="1:13" x14ac:dyDescent="0.25">
      <c r="A229" s="2">
        <f t="shared" si="16"/>
        <v>223</v>
      </c>
      <c r="B229" s="2">
        <v>172644</v>
      </c>
      <c r="C229" t="s">
        <v>418</v>
      </c>
      <c r="D229" t="s">
        <v>419</v>
      </c>
      <c r="E229" t="s">
        <v>26</v>
      </c>
      <c r="F229" s="9">
        <v>376467</v>
      </c>
      <c r="G229" s="9">
        <v>339467</v>
      </c>
      <c r="H229" s="1">
        <f t="shared" si="17"/>
        <v>10.899439415318721</v>
      </c>
      <c r="I229" s="23">
        <v>21696</v>
      </c>
      <c r="J229" s="9">
        <f t="shared" si="19"/>
        <v>17351.908185840708</v>
      </c>
      <c r="K229" s="11">
        <v>1</v>
      </c>
      <c r="L229" s="11">
        <v>2</v>
      </c>
      <c r="M229" s="11">
        <v>2</v>
      </c>
    </row>
    <row r="230" spans="1:13" x14ac:dyDescent="0.25">
      <c r="A230" s="2">
        <f t="shared" si="16"/>
        <v>224</v>
      </c>
      <c r="B230" s="2">
        <v>195526</v>
      </c>
      <c r="C230" t="s">
        <v>420</v>
      </c>
      <c r="D230" t="s">
        <v>421</v>
      </c>
      <c r="E230" t="s">
        <v>34</v>
      </c>
      <c r="F230" s="9">
        <v>376010</v>
      </c>
      <c r="G230" s="9">
        <v>367158</v>
      </c>
      <c r="H230" s="1">
        <f t="shared" si="17"/>
        <v>2.4109511436493278</v>
      </c>
      <c r="I230" s="23">
        <v>2652</v>
      </c>
      <c r="J230" s="9">
        <f t="shared" si="19"/>
        <v>141783.55957767722</v>
      </c>
      <c r="K230" s="11">
        <v>2</v>
      </c>
      <c r="L230" s="11">
        <v>2</v>
      </c>
      <c r="M230" s="11">
        <v>4</v>
      </c>
    </row>
    <row r="231" spans="1:13" x14ac:dyDescent="0.25">
      <c r="A231" s="2">
        <f t="shared" si="16"/>
        <v>225</v>
      </c>
      <c r="B231" s="2">
        <v>230728</v>
      </c>
      <c r="C231" t="s">
        <v>422</v>
      </c>
      <c r="D231" t="s">
        <v>423</v>
      </c>
      <c r="E231" t="s">
        <v>206</v>
      </c>
      <c r="F231" s="9">
        <v>375424</v>
      </c>
      <c r="G231" s="9">
        <v>358965</v>
      </c>
      <c r="H231" s="1">
        <f t="shared" si="17"/>
        <v>4.5851266836599667</v>
      </c>
      <c r="I231" s="23">
        <v>22024</v>
      </c>
      <c r="J231" s="9">
        <f t="shared" si="19"/>
        <v>17046.131492916818</v>
      </c>
      <c r="K231" s="11">
        <v>1</v>
      </c>
      <c r="L231" s="11">
        <v>2</v>
      </c>
      <c r="M231" s="11">
        <v>2</v>
      </c>
    </row>
    <row r="232" spans="1:13" x14ac:dyDescent="0.25">
      <c r="A232" s="2">
        <f t="shared" si="16"/>
        <v>226</v>
      </c>
      <c r="B232" s="10" t="s">
        <v>119</v>
      </c>
      <c r="C232" t="s">
        <v>424</v>
      </c>
      <c r="D232" t="s">
        <v>425</v>
      </c>
      <c r="E232" t="s">
        <v>161</v>
      </c>
      <c r="F232" s="9">
        <v>374210</v>
      </c>
      <c r="G232" s="9">
        <v>365243</v>
      </c>
      <c r="H232" s="1">
        <f t="shared" si="17"/>
        <v>2.4550778522791679</v>
      </c>
      <c r="I232" s="28" t="s">
        <v>119</v>
      </c>
      <c r="J232" s="25" t="s">
        <v>119</v>
      </c>
      <c r="K232" s="10" t="s">
        <v>119</v>
      </c>
      <c r="L232" s="10" t="s">
        <v>119</v>
      </c>
      <c r="M232" s="10" t="s">
        <v>119</v>
      </c>
    </row>
    <row r="233" spans="1:13" ht="17.25" x14ac:dyDescent="0.25">
      <c r="A233" s="2">
        <f t="shared" si="16"/>
        <v>227</v>
      </c>
      <c r="B233" s="10" t="s">
        <v>119</v>
      </c>
      <c r="C233" t="s">
        <v>1390</v>
      </c>
      <c r="D233" t="s">
        <v>426</v>
      </c>
      <c r="E233" t="s">
        <v>158</v>
      </c>
      <c r="F233" s="9">
        <v>372931</v>
      </c>
      <c r="G233" s="9">
        <v>349121</v>
      </c>
      <c r="H233" s="1">
        <f t="shared" si="17"/>
        <v>6.8199850481638169</v>
      </c>
      <c r="I233" s="31" t="s">
        <v>119</v>
      </c>
      <c r="J233" s="25" t="s">
        <v>119</v>
      </c>
      <c r="K233" s="10" t="s">
        <v>119</v>
      </c>
      <c r="L233" s="10" t="s">
        <v>119</v>
      </c>
      <c r="M233" s="10" t="s">
        <v>119</v>
      </c>
    </row>
    <row r="234" spans="1:13" x14ac:dyDescent="0.25">
      <c r="A234" s="2">
        <f t="shared" si="16"/>
        <v>228</v>
      </c>
      <c r="B234" s="10" t="s">
        <v>119</v>
      </c>
      <c r="C234" t="s">
        <v>427</v>
      </c>
      <c r="D234" t="s">
        <v>128</v>
      </c>
      <c r="E234" t="s">
        <v>129</v>
      </c>
      <c r="F234" s="9">
        <v>372666</v>
      </c>
      <c r="G234" s="9">
        <v>346419</v>
      </c>
      <c r="H234" s="1">
        <f t="shared" si="17"/>
        <v>7.5766629428524412</v>
      </c>
      <c r="I234" s="31" t="s">
        <v>119</v>
      </c>
      <c r="J234" s="25" t="s">
        <v>119</v>
      </c>
      <c r="K234" s="10" t="s">
        <v>119</v>
      </c>
      <c r="L234" s="10" t="s">
        <v>119</v>
      </c>
      <c r="M234" s="10" t="s">
        <v>119</v>
      </c>
    </row>
    <row r="235" spans="1:13" x14ac:dyDescent="0.25">
      <c r="A235" s="2">
        <f t="shared" si="16"/>
        <v>229</v>
      </c>
      <c r="B235" s="2">
        <v>218335</v>
      </c>
      <c r="C235" t="s">
        <v>428</v>
      </c>
      <c r="D235" t="s">
        <v>429</v>
      </c>
      <c r="E235" t="s">
        <v>278</v>
      </c>
      <c r="F235" s="9">
        <v>371301</v>
      </c>
      <c r="G235" s="9">
        <v>342052</v>
      </c>
      <c r="H235" s="1">
        <f t="shared" si="17"/>
        <v>8.551039023306398</v>
      </c>
      <c r="I235" s="23">
        <v>2996</v>
      </c>
      <c r="J235" s="9">
        <f>(F235*1000)/I235</f>
        <v>123932.24299065421</v>
      </c>
      <c r="K235" s="11">
        <v>1</v>
      </c>
      <c r="L235" s="11">
        <v>2</v>
      </c>
      <c r="M235" s="11">
        <v>5</v>
      </c>
    </row>
    <row r="236" spans="1:13" x14ac:dyDescent="0.25">
      <c r="A236" s="2">
        <f t="shared" si="16"/>
        <v>230</v>
      </c>
      <c r="B236" s="2">
        <v>212106</v>
      </c>
      <c r="C236" t="s">
        <v>430</v>
      </c>
      <c r="D236" t="s">
        <v>70</v>
      </c>
      <c r="E236" t="s">
        <v>22</v>
      </c>
      <c r="F236" s="9">
        <v>370371</v>
      </c>
      <c r="G236" s="9">
        <v>307895</v>
      </c>
      <c r="H236" s="1">
        <f t="shared" si="17"/>
        <v>20.291333084330699</v>
      </c>
      <c r="I236" s="19">
        <v>8869</v>
      </c>
      <c r="J236" s="9">
        <f>(F236*1000)/I236</f>
        <v>41760.175893561842</v>
      </c>
      <c r="K236" s="11">
        <v>2</v>
      </c>
      <c r="L236" s="11">
        <v>2</v>
      </c>
      <c r="M236" s="11">
        <v>2</v>
      </c>
    </row>
    <row r="237" spans="1:13" x14ac:dyDescent="0.25">
      <c r="A237" s="2">
        <f t="shared" si="16"/>
        <v>231</v>
      </c>
      <c r="B237" s="2">
        <v>236328</v>
      </c>
      <c r="C237" t="s">
        <v>431</v>
      </c>
      <c r="D237" t="s">
        <v>432</v>
      </c>
      <c r="E237" t="s">
        <v>87</v>
      </c>
      <c r="F237" s="9">
        <v>369038</v>
      </c>
      <c r="G237" s="9">
        <v>344560</v>
      </c>
      <c r="H237" s="1">
        <f t="shared" si="17"/>
        <v>7.1041328070582779</v>
      </c>
      <c r="I237" s="23">
        <v>2628</v>
      </c>
      <c r="J237" s="9">
        <f>(F237*1000)/I237</f>
        <v>140425.41856925419</v>
      </c>
      <c r="K237" s="11">
        <v>2</v>
      </c>
      <c r="L237" s="11">
        <v>2</v>
      </c>
      <c r="M237" s="11">
        <v>4</v>
      </c>
    </row>
    <row r="238" spans="1:13" x14ac:dyDescent="0.25">
      <c r="A238" s="2">
        <f t="shared" si="16"/>
        <v>232</v>
      </c>
      <c r="B238" s="10" t="s">
        <v>119</v>
      </c>
      <c r="C238" t="s">
        <v>433</v>
      </c>
      <c r="D238" t="s">
        <v>82</v>
      </c>
      <c r="E238" t="s">
        <v>26</v>
      </c>
      <c r="F238" s="9">
        <v>364000</v>
      </c>
      <c r="G238" s="9">
        <v>353663</v>
      </c>
      <c r="H238" s="1">
        <f t="shared" si="17"/>
        <v>2.9228389738253648</v>
      </c>
      <c r="I238" s="31" t="s">
        <v>119</v>
      </c>
      <c r="J238" s="25" t="s">
        <v>119</v>
      </c>
      <c r="K238" s="10" t="s">
        <v>119</v>
      </c>
      <c r="L238" s="10" t="s">
        <v>119</v>
      </c>
      <c r="M238" s="10" t="s">
        <v>119</v>
      </c>
    </row>
    <row r="239" spans="1:13" ht="17.25" x14ac:dyDescent="0.25">
      <c r="A239" s="2">
        <f t="shared" si="16"/>
        <v>233</v>
      </c>
      <c r="B239" s="2">
        <v>182290</v>
      </c>
      <c r="C239" t="s">
        <v>1457</v>
      </c>
      <c r="D239" t="s">
        <v>434</v>
      </c>
      <c r="E239" t="s">
        <v>435</v>
      </c>
      <c r="F239" s="9">
        <v>363802</v>
      </c>
      <c r="G239" s="9">
        <v>338894</v>
      </c>
      <c r="H239" s="1">
        <f t="shared" si="17"/>
        <v>7.3497907900405428</v>
      </c>
      <c r="I239" s="29">
        <v>18559</v>
      </c>
      <c r="J239" s="9">
        <v>20191.03</v>
      </c>
      <c r="K239" s="11">
        <v>1</v>
      </c>
      <c r="L239" s="11">
        <v>2</v>
      </c>
      <c r="M239" s="11">
        <v>2</v>
      </c>
    </row>
    <row r="240" spans="1:13" x14ac:dyDescent="0.25">
      <c r="A240" s="2">
        <f t="shared" si="16"/>
        <v>234</v>
      </c>
      <c r="B240" s="2">
        <v>164748</v>
      </c>
      <c r="C240" t="s">
        <v>436</v>
      </c>
      <c r="D240" t="s">
        <v>4</v>
      </c>
      <c r="E240" t="s">
        <v>5</v>
      </c>
      <c r="F240" s="9">
        <v>363673</v>
      </c>
      <c r="G240" s="9">
        <v>339628</v>
      </c>
      <c r="H240" s="1">
        <f t="shared" si="17"/>
        <v>7.0798049630772493</v>
      </c>
      <c r="I240" s="29">
        <v>4186</v>
      </c>
      <c r="J240" s="9">
        <f>(F240*1000)/I240</f>
        <v>86878.404204491162</v>
      </c>
      <c r="K240" s="11">
        <v>2</v>
      </c>
      <c r="L240" s="11">
        <v>2</v>
      </c>
      <c r="M240" s="11">
        <v>5</v>
      </c>
    </row>
    <row r="241" spans="1:13" x14ac:dyDescent="0.25">
      <c r="A241" s="2">
        <f t="shared" si="16"/>
        <v>235</v>
      </c>
      <c r="B241" s="2">
        <v>129242</v>
      </c>
      <c r="C241" t="s">
        <v>437</v>
      </c>
      <c r="D241" t="s">
        <v>438</v>
      </c>
      <c r="E241" t="s">
        <v>11</v>
      </c>
      <c r="F241" s="9">
        <v>362648</v>
      </c>
      <c r="G241" s="9">
        <v>349348</v>
      </c>
      <c r="H241" s="1">
        <f t="shared" si="17"/>
        <v>3.8070920686536058</v>
      </c>
      <c r="I241" s="23">
        <v>4634</v>
      </c>
      <c r="J241" s="9">
        <f>(F241*1000)/I241</f>
        <v>78258.092360811395</v>
      </c>
      <c r="K241" s="11">
        <v>2</v>
      </c>
      <c r="L241" s="11">
        <v>2</v>
      </c>
      <c r="M241" s="11">
        <v>3</v>
      </c>
    </row>
    <row r="242" spans="1:13" x14ac:dyDescent="0.25">
      <c r="A242" s="2">
        <f t="shared" si="16"/>
        <v>236</v>
      </c>
      <c r="B242" s="2">
        <v>123165</v>
      </c>
      <c r="C242" t="s">
        <v>439</v>
      </c>
      <c r="D242" t="s">
        <v>101</v>
      </c>
      <c r="E242" t="s">
        <v>14</v>
      </c>
      <c r="F242" s="9">
        <v>362046</v>
      </c>
      <c r="G242" s="9">
        <v>336705</v>
      </c>
      <c r="H242" s="1">
        <f t="shared" si="17"/>
        <v>7.5261727625072394</v>
      </c>
      <c r="I242" s="23">
        <v>1075</v>
      </c>
      <c r="J242" s="9">
        <f>(F242*1000)/I242</f>
        <v>336786.97674418607</v>
      </c>
      <c r="K242" s="11">
        <v>2</v>
      </c>
      <c r="L242" s="11">
        <v>2</v>
      </c>
      <c r="M242" s="11">
        <v>4</v>
      </c>
    </row>
    <row r="243" spans="1:13" x14ac:dyDescent="0.25">
      <c r="A243" s="2">
        <f t="shared" si="16"/>
        <v>237</v>
      </c>
      <c r="B243" s="2">
        <v>221351</v>
      </c>
      <c r="C243" t="s">
        <v>440</v>
      </c>
      <c r="D243" t="s">
        <v>441</v>
      </c>
      <c r="E243" t="s">
        <v>63</v>
      </c>
      <c r="F243" s="9">
        <v>359279</v>
      </c>
      <c r="G243" s="9">
        <v>342350</v>
      </c>
      <c r="H243" s="1">
        <f t="shared" si="17"/>
        <v>4.9449393895136557</v>
      </c>
      <c r="I243" s="23">
        <v>1973</v>
      </c>
      <c r="J243" s="9">
        <f>(F243*1000)/I243</f>
        <v>182097.8205778003</v>
      </c>
      <c r="K243" s="11">
        <v>2</v>
      </c>
      <c r="L243" s="11">
        <v>2</v>
      </c>
      <c r="M243" s="11">
        <v>4</v>
      </c>
    </row>
    <row r="244" spans="1:13" x14ac:dyDescent="0.25">
      <c r="A244" s="2">
        <f t="shared" si="16"/>
        <v>238</v>
      </c>
      <c r="B244" s="2">
        <v>126818</v>
      </c>
      <c r="C244" t="s">
        <v>442</v>
      </c>
      <c r="D244" t="s">
        <v>443</v>
      </c>
      <c r="E244" t="s">
        <v>175</v>
      </c>
      <c r="F244" s="9">
        <v>355923</v>
      </c>
      <c r="G244" s="9">
        <v>330200</v>
      </c>
      <c r="H244" s="1">
        <f t="shared" si="17"/>
        <v>7.7901271956390072</v>
      </c>
      <c r="I244" s="23">
        <v>27361</v>
      </c>
      <c r="J244" s="9">
        <v>13008.41</v>
      </c>
      <c r="K244" s="11">
        <v>1</v>
      </c>
      <c r="L244" s="11">
        <v>2</v>
      </c>
      <c r="M244" s="11">
        <v>2</v>
      </c>
    </row>
    <row r="245" spans="1:13" x14ac:dyDescent="0.25">
      <c r="A245" s="2">
        <f t="shared" si="16"/>
        <v>239</v>
      </c>
      <c r="B245" s="2">
        <v>163286</v>
      </c>
      <c r="C245" t="s">
        <v>444</v>
      </c>
      <c r="D245" t="s">
        <v>445</v>
      </c>
      <c r="E245" t="s">
        <v>66</v>
      </c>
      <c r="F245" s="9">
        <v>355272</v>
      </c>
      <c r="G245" s="9">
        <v>316109</v>
      </c>
      <c r="H245" s="1">
        <f t="shared" si="17"/>
        <v>12.389080981560157</v>
      </c>
      <c r="I245" s="23">
        <v>33810</v>
      </c>
      <c r="J245" s="9">
        <v>10507.9</v>
      </c>
      <c r="K245" s="11">
        <v>1</v>
      </c>
      <c r="L245" s="11">
        <v>2</v>
      </c>
      <c r="M245" s="11">
        <v>2</v>
      </c>
    </row>
    <row r="246" spans="1:13" x14ac:dyDescent="0.25">
      <c r="A246" s="2">
        <f t="shared" si="16"/>
        <v>240</v>
      </c>
      <c r="B246" s="2">
        <v>110705</v>
      </c>
      <c r="C246" t="s">
        <v>446</v>
      </c>
      <c r="D246" t="s">
        <v>447</v>
      </c>
      <c r="E246" t="s">
        <v>14</v>
      </c>
      <c r="F246" s="9">
        <v>353027</v>
      </c>
      <c r="G246" s="9">
        <v>322419</v>
      </c>
      <c r="H246" s="1">
        <f t="shared" si="17"/>
        <v>9.4932370610913122</v>
      </c>
      <c r="I246" s="23">
        <v>23960</v>
      </c>
      <c r="J246" s="9">
        <v>14734.02</v>
      </c>
      <c r="K246" s="11">
        <v>1</v>
      </c>
      <c r="L246" s="11">
        <v>2</v>
      </c>
      <c r="M246" s="11">
        <v>2</v>
      </c>
    </row>
    <row r="247" spans="1:13" x14ac:dyDescent="0.25">
      <c r="A247" s="2">
        <f t="shared" si="16"/>
        <v>241</v>
      </c>
      <c r="B247" s="2">
        <v>212577</v>
      </c>
      <c r="C247" t="s">
        <v>448</v>
      </c>
      <c r="D247" t="s">
        <v>449</v>
      </c>
      <c r="E247" t="s">
        <v>22</v>
      </c>
      <c r="F247" s="9">
        <v>352131</v>
      </c>
      <c r="G247" s="9">
        <v>340699</v>
      </c>
      <c r="H247" s="1">
        <f t="shared" si="17"/>
        <v>3.3554545214397455</v>
      </c>
      <c r="I247" s="19">
        <v>2271</v>
      </c>
      <c r="J247" s="9">
        <f>(F247*1000)/I247</f>
        <v>155055.48216644651</v>
      </c>
      <c r="K247" s="11">
        <v>2</v>
      </c>
      <c r="L247" s="11">
        <v>2</v>
      </c>
      <c r="M247" s="11">
        <v>4</v>
      </c>
    </row>
    <row r="248" spans="1:13" x14ac:dyDescent="0.25">
      <c r="A248" s="2">
        <f t="shared" si="16"/>
        <v>242</v>
      </c>
      <c r="B248" s="2">
        <v>131283</v>
      </c>
      <c r="C248" t="s">
        <v>450</v>
      </c>
      <c r="D248" t="s">
        <v>128</v>
      </c>
      <c r="E248" t="s">
        <v>129</v>
      </c>
      <c r="F248" s="9">
        <v>350041</v>
      </c>
      <c r="G248" s="9">
        <v>330182</v>
      </c>
      <c r="H248" s="1">
        <f t="shared" si="17"/>
        <v>6.0145616659902723</v>
      </c>
      <c r="I248" s="23">
        <v>6367</v>
      </c>
      <c r="J248" s="9">
        <v>54977.38</v>
      </c>
      <c r="K248" s="11">
        <v>2</v>
      </c>
      <c r="L248" s="11">
        <v>2</v>
      </c>
      <c r="M248" s="11">
        <v>2</v>
      </c>
    </row>
    <row r="249" spans="1:13" x14ac:dyDescent="0.25">
      <c r="A249" s="2">
        <f t="shared" si="16"/>
        <v>243</v>
      </c>
      <c r="B249" s="2">
        <v>217493</v>
      </c>
      <c r="C249" t="s">
        <v>451</v>
      </c>
      <c r="D249" t="s">
        <v>74</v>
      </c>
      <c r="E249" t="s">
        <v>75</v>
      </c>
      <c r="F249" s="9">
        <v>349751</v>
      </c>
      <c r="G249" s="9">
        <v>329521</v>
      </c>
      <c r="H249" s="1">
        <f t="shared" si="17"/>
        <v>6.1392141927221635</v>
      </c>
      <c r="I249" s="23">
        <v>2440</v>
      </c>
      <c r="J249" s="9">
        <f t="shared" ref="J249:J257" si="20">(F249*1000)/I249</f>
        <v>143340.57377049181</v>
      </c>
      <c r="K249" s="11">
        <v>2</v>
      </c>
      <c r="L249" s="11">
        <v>2</v>
      </c>
      <c r="M249" s="11">
        <v>5</v>
      </c>
    </row>
    <row r="250" spans="1:13" x14ac:dyDescent="0.25">
      <c r="A250" s="2">
        <f t="shared" si="16"/>
        <v>244</v>
      </c>
      <c r="B250" s="2">
        <v>152673</v>
      </c>
      <c r="C250" t="s">
        <v>452</v>
      </c>
      <c r="D250" t="s">
        <v>453</v>
      </c>
      <c r="E250" t="s">
        <v>37</v>
      </c>
      <c r="F250" s="9">
        <v>349670</v>
      </c>
      <c r="G250" s="9">
        <v>340245</v>
      </c>
      <c r="H250" s="1">
        <f t="shared" si="17"/>
        <v>2.7700627489015268</v>
      </c>
      <c r="I250" s="23">
        <v>864</v>
      </c>
      <c r="J250" s="9">
        <f t="shared" si="20"/>
        <v>404710.64814814815</v>
      </c>
      <c r="K250" s="11">
        <v>2</v>
      </c>
      <c r="L250" s="11">
        <v>2</v>
      </c>
      <c r="M250" s="11">
        <v>4</v>
      </c>
    </row>
    <row r="251" spans="1:13" x14ac:dyDescent="0.25">
      <c r="A251" s="2">
        <f t="shared" si="16"/>
        <v>245</v>
      </c>
      <c r="B251" s="2">
        <v>189097</v>
      </c>
      <c r="C251" t="s">
        <v>454</v>
      </c>
      <c r="D251" t="s">
        <v>33</v>
      </c>
      <c r="E251" t="s">
        <v>34</v>
      </c>
      <c r="F251" s="9">
        <v>345097</v>
      </c>
      <c r="G251" s="9">
        <v>327160</v>
      </c>
      <c r="H251" s="1">
        <f t="shared" si="17"/>
        <v>5.4826384643599466</v>
      </c>
      <c r="I251" s="23">
        <v>2554</v>
      </c>
      <c r="J251" s="9">
        <f t="shared" si="20"/>
        <v>135120.20360219263</v>
      </c>
      <c r="K251" s="11">
        <v>2</v>
      </c>
      <c r="L251" s="11">
        <v>2</v>
      </c>
      <c r="M251" s="11">
        <v>4</v>
      </c>
    </row>
    <row r="252" spans="1:13" x14ac:dyDescent="0.25">
      <c r="A252" s="2">
        <f t="shared" si="16"/>
        <v>246</v>
      </c>
      <c r="B252" s="2">
        <v>239017</v>
      </c>
      <c r="C252" t="s">
        <v>455</v>
      </c>
      <c r="D252" t="s">
        <v>1440</v>
      </c>
      <c r="E252" t="s">
        <v>80</v>
      </c>
      <c r="F252" s="9">
        <v>339831</v>
      </c>
      <c r="G252" s="9">
        <v>318204</v>
      </c>
      <c r="H252" s="1">
        <f t="shared" si="17"/>
        <v>6.7965833239054199</v>
      </c>
      <c r="I252" s="23">
        <v>1511</v>
      </c>
      <c r="J252" s="9">
        <f t="shared" si="20"/>
        <v>224904.69887491726</v>
      </c>
      <c r="K252" s="11">
        <v>2</v>
      </c>
      <c r="L252" s="11">
        <v>2</v>
      </c>
      <c r="M252" s="11">
        <v>4</v>
      </c>
    </row>
    <row r="253" spans="1:13" ht="17.25" x14ac:dyDescent="0.25">
      <c r="A253" s="2">
        <f t="shared" si="16"/>
        <v>247</v>
      </c>
      <c r="B253" s="10" t="s">
        <v>119</v>
      </c>
      <c r="C253" t="s">
        <v>1391</v>
      </c>
      <c r="D253" t="s">
        <v>456</v>
      </c>
      <c r="E253" t="s">
        <v>158</v>
      </c>
      <c r="F253" s="9">
        <v>339264</v>
      </c>
      <c r="G253" s="9">
        <v>331445</v>
      </c>
      <c r="H253" s="1">
        <f t="shared" si="17"/>
        <v>2.3590640981158262</v>
      </c>
      <c r="I253" s="23">
        <v>21700</v>
      </c>
      <c r="J253" s="9">
        <f t="shared" si="20"/>
        <v>15634.285714285714</v>
      </c>
      <c r="K253" s="10" t="s">
        <v>119</v>
      </c>
      <c r="L253" s="10" t="s">
        <v>119</v>
      </c>
      <c r="M253" s="10" t="s">
        <v>119</v>
      </c>
    </row>
    <row r="254" spans="1:13" x14ac:dyDescent="0.25">
      <c r="A254" s="2">
        <f t="shared" si="16"/>
        <v>248</v>
      </c>
      <c r="B254" s="2">
        <v>103529</v>
      </c>
      <c r="C254" t="s">
        <v>457</v>
      </c>
      <c r="D254" t="s">
        <v>458</v>
      </c>
      <c r="E254" t="s">
        <v>459</v>
      </c>
      <c r="F254" s="9">
        <v>339137</v>
      </c>
      <c r="G254" s="9">
        <v>320705</v>
      </c>
      <c r="H254" s="1">
        <f t="shared" si="17"/>
        <v>5.7473378961974397</v>
      </c>
      <c r="I254" s="19">
        <v>16350</v>
      </c>
      <c r="J254" s="9">
        <f t="shared" si="20"/>
        <v>20742.324159021406</v>
      </c>
      <c r="K254" s="11">
        <v>0</v>
      </c>
      <c r="L254" s="11">
        <v>2</v>
      </c>
      <c r="M254" s="11">
        <v>0</v>
      </c>
    </row>
    <row r="255" spans="1:13" x14ac:dyDescent="0.25">
      <c r="A255" s="2">
        <f t="shared" si="16"/>
        <v>249</v>
      </c>
      <c r="B255" s="2">
        <v>206589</v>
      </c>
      <c r="C255" t="s">
        <v>460</v>
      </c>
      <c r="D255" t="s">
        <v>461</v>
      </c>
      <c r="E255" t="s">
        <v>60</v>
      </c>
      <c r="F255" s="9">
        <v>326296</v>
      </c>
      <c r="G255" s="9">
        <v>296900</v>
      </c>
      <c r="H255" s="1">
        <f t="shared" si="17"/>
        <v>9.9009767598518028</v>
      </c>
      <c r="I255" s="23">
        <v>1967</v>
      </c>
      <c r="J255" s="9">
        <f t="shared" si="20"/>
        <v>165885.10421962378</v>
      </c>
      <c r="K255" s="11">
        <v>2</v>
      </c>
      <c r="L255" s="11">
        <v>2</v>
      </c>
      <c r="M255" s="11">
        <v>4</v>
      </c>
    </row>
    <row r="256" spans="1:13" x14ac:dyDescent="0.25">
      <c r="A256" s="2">
        <f t="shared" si="16"/>
        <v>250</v>
      </c>
      <c r="B256" s="2">
        <v>212674</v>
      </c>
      <c r="C256" t="s">
        <v>462</v>
      </c>
      <c r="D256" t="s">
        <v>463</v>
      </c>
      <c r="E256" t="s">
        <v>22</v>
      </c>
      <c r="F256" s="9">
        <v>324007</v>
      </c>
      <c r="G256" s="9">
        <v>308021</v>
      </c>
      <c r="H256" s="1">
        <f t="shared" si="17"/>
        <v>5.1899058830404421</v>
      </c>
      <c r="I256" s="19">
        <v>2613</v>
      </c>
      <c r="J256" s="9">
        <f t="shared" si="20"/>
        <v>123998.0864906238</v>
      </c>
      <c r="K256" s="11">
        <v>2</v>
      </c>
      <c r="L256" s="11">
        <v>2</v>
      </c>
      <c r="M256" s="11">
        <v>4</v>
      </c>
    </row>
    <row r="257" spans="1:13" x14ac:dyDescent="0.25">
      <c r="A257" s="2">
        <f t="shared" si="16"/>
        <v>251</v>
      </c>
      <c r="B257" s="2">
        <v>156408</v>
      </c>
      <c r="C257" t="s">
        <v>464</v>
      </c>
      <c r="D257" t="s">
        <v>465</v>
      </c>
      <c r="E257" t="s">
        <v>173</v>
      </c>
      <c r="F257" s="9">
        <v>322550</v>
      </c>
      <c r="G257" s="9">
        <v>312905</v>
      </c>
      <c r="H257" s="1">
        <f t="shared" si="17"/>
        <v>3.0824052028570974</v>
      </c>
      <c r="I257" s="23">
        <v>1449</v>
      </c>
      <c r="J257" s="9">
        <f t="shared" si="20"/>
        <v>222601.79434092477</v>
      </c>
      <c r="K257" s="11">
        <v>2</v>
      </c>
      <c r="L257" s="11">
        <v>2</v>
      </c>
      <c r="M257" s="11">
        <v>4</v>
      </c>
    </row>
    <row r="258" spans="1:13" x14ac:dyDescent="0.25">
      <c r="A258" s="2">
        <f t="shared" si="16"/>
        <v>252</v>
      </c>
      <c r="B258" s="2">
        <v>141963</v>
      </c>
      <c r="C258" t="s">
        <v>466</v>
      </c>
      <c r="D258" t="s">
        <v>467</v>
      </c>
      <c r="E258" t="s">
        <v>468</v>
      </c>
      <c r="F258" s="9">
        <v>321040</v>
      </c>
      <c r="G258" s="9">
        <v>307777</v>
      </c>
      <c r="H258" s="1">
        <f t="shared" si="17"/>
        <v>4.3092888682390171</v>
      </c>
      <c r="I258" s="23">
        <v>36702</v>
      </c>
      <c r="J258" s="9">
        <v>8747.2099999999991</v>
      </c>
      <c r="K258" s="11">
        <v>0</v>
      </c>
      <c r="L258" s="11">
        <v>2</v>
      </c>
      <c r="M258" s="11">
        <v>0</v>
      </c>
    </row>
    <row r="259" spans="1:13" x14ac:dyDescent="0.25">
      <c r="A259" s="2">
        <f t="shared" si="16"/>
        <v>253</v>
      </c>
      <c r="B259" s="2">
        <v>168847</v>
      </c>
      <c r="C259" t="s">
        <v>469</v>
      </c>
      <c r="D259" t="s">
        <v>470</v>
      </c>
      <c r="E259" t="s">
        <v>26</v>
      </c>
      <c r="F259" s="9">
        <v>319588</v>
      </c>
      <c r="G259" s="9">
        <v>294014</v>
      </c>
      <c r="H259" s="1">
        <f t="shared" si="17"/>
        <v>8.6982252545797145</v>
      </c>
      <c r="I259" s="23">
        <v>9543</v>
      </c>
      <c r="J259" s="9">
        <f t="shared" ref="J259:J266" si="21">(F259*1000)/I259</f>
        <v>33489.259142827206</v>
      </c>
      <c r="K259" s="11">
        <v>2</v>
      </c>
      <c r="L259" s="11">
        <v>2</v>
      </c>
      <c r="M259" s="11">
        <v>4</v>
      </c>
    </row>
    <row r="260" spans="1:13" x14ac:dyDescent="0.25">
      <c r="A260" s="2">
        <f t="shared" si="16"/>
        <v>254</v>
      </c>
      <c r="B260" s="2">
        <v>128902</v>
      </c>
      <c r="C260" t="s">
        <v>471</v>
      </c>
      <c r="D260" t="s">
        <v>472</v>
      </c>
      <c r="E260" t="s">
        <v>11</v>
      </c>
      <c r="F260" s="9">
        <v>318346</v>
      </c>
      <c r="G260" s="9">
        <v>299593</v>
      </c>
      <c r="H260" s="1">
        <f t="shared" si="17"/>
        <v>6.2594920442066408</v>
      </c>
      <c r="I260" s="23">
        <v>1783</v>
      </c>
      <c r="J260" s="9">
        <f t="shared" si="21"/>
        <v>178545.14862591139</v>
      </c>
      <c r="K260" s="11">
        <v>2</v>
      </c>
      <c r="L260" s="11">
        <v>2</v>
      </c>
      <c r="M260" s="11">
        <v>4</v>
      </c>
    </row>
    <row r="261" spans="1:13" x14ac:dyDescent="0.25">
      <c r="A261" s="2">
        <f t="shared" si="16"/>
        <v>255</v>
      </c>
      <c r="B261" s="2">
        <v>115409</v>
      </c>
      <c r="C261" t="s">
        <v>473</v>
      </c>
      <c r="D261" t="s">
        <v>101</v>
      </c>
      <c r="E261" t="s">
        <v>14</v>
      </c>
      <c r="F261" s="9">
        <v>316815</v>
      </c>
      <c r="G261" s="9">
        <v>298859</v>
      </c>
      <c r="H261" s="1">
        <f t="shared" si="17"/>
        <v>6.0081844615688338</v>
      </c>
      <c r="I261" s="23">
        <v>839</v>
      </c>
      <c r="J261" s="9">
        <f t="shared" si="21"/>
        <v>377610.25029797381</v>
      </c>
      <c r="K261" s="11">
        <v>2</v>
      </c>
      <c r="L261" s="11">
        <v>2</v>
      </c>
      <c r="M261" s="11">
        <v>4</v>
      </c>
    </row>
    <row r="262" spans="1:13" x14ac:dyDescent="0.25">
      <c r="A262" s="2">
        <f t="shared" si="16"/>
        <v>256</v>
      </c>
      <c r="B262" s="2">
        <v>191968</v>
      </c>
      <c r="C262" t="s">
        <v>482</v>
      </c>
      <c r="D262" t="s">
        <v>483</v>
      </c>
      <c r="E262" t="s">
        <v>34</v>
      </c>
      <c r="F262" s="23">
        <v>316025</v>
      </c>
      <c r="G262" s="23">
        <v>300716</v>
      </c>
      <c r="H262" s="22">
        <f t="shared" si="17"/>
        <v>5.0908498383857195</v>
      </c>
      <c r="I262" s="23">
        <v>6516</v>
      </c>
      <c r="J262" s="9">
        <f t="shared" si="21"/>
        <v>48499.846531614487</v>
      </c>
      <c r="K262" s="11">
        <v>2</v>
      </c>
      <c r="L262" s="11">
        <v>2</v>
      </c>
      <c r="M262" s="11">
        <v>3</v>
      </c>
    </row>
    <row r="263" spans="1:13" x14ac:dyDescent="0.25">
      <c r="A263" s="2">
        <f t="shared" si="16"/>
        <v>257</v>
      </c>
      <c r="B263" s="2">
        <v>196468</v>
      </c>
      <c r="C263" t="s">
        <v>474</v>
      </c>
      <c r="D263" t="s">
        <v>33</v>
      </c>
      <c r="E263" t="s">
        <v>34</v>
      </c>
      <c r="F263" s="9">
        <v>315908</v>
      </c>
      <c r="G263" s="9">
        <v>289997</v>
      </c>
      <c r="H263" s="1">
        <f t="shared" si="17"/>
        <v>8.9349200164139617</v>
      </c>
      <c r="I263" s="23">
        <v>3189</v>
      </c>
      <c r="J263" s="9">
        <f t="shared" si="21"/>
        <v>99061.77485105049</v>
      </c>
      <c r="K263" s="11">
        <v>2</v>
      </c>
      <c r="L263" s="11">
        <v>2</v>
      </c>
      <c r="M263" s="11">
        <v>2</v>
      </c>
    </row>
    <row r="264" spans="1:13" x14ac:dyDescent="0.25">
      <c r="A264" s="2">
        <f t="shared" ref="A264:A327" si="22">RANK(F264,F$7:F$817,0)</f>
        <v>258</v>
      </c>
      <c r="B264" s="2">
        <v>160977</v>
      </c>
      <c r="C264" t="s">
        <v>475</v>
      </c>
      <c r="D264" t="s">
        <v>476</v>
      </c>
      <c r="E264" t="s">
        <v>150</v>
      </c>
      <c r="F264" s="9">
        <v>315579</v>
      </c>
      <c r="G264" s="9">
        <v>293833</v>
      </c>
      <c r="H264" s="1">
        <f t="shared" ref="H264:H327" si="23">((F264-G264)/G264)*100</f>
        <v>7.4008024966562642</v>
      </c>
      <c r="I264" s="23">
        <v>1787</v>
      </c>
      <c r="J264" s="9">
        <f t="shared" si="21"/>
        <v>176597.09009513151</v>
      </c>
      <c r="K264" s="11">
        <v>2</v>
      </c>
      <c r="L264" s="11">
        <v>2</v>
      </c>
      <c r="M264" s="11">
        <v>4</v>
      </c>
    </row>
    <row r="265" spans="1:13" x14ac:dyDescent="0.25">
      <c r="A265" s="2">
        <f t="shared" si="22"/>
        <v>259</v>
      </c>
      <c r="B265" s="2">
        <v>143358</v>
      </c>
      <c r="C265" t="s">
        <v>477</v>
      </c>
      <c r="D265" t="s">
        <v>478</v>
      </c>
      <c r="E265" t="s">
        <v>29</v>
      </c>
      <c r="F265" s="9">
        <v>310837</v>
      </c>
      <c r="G265" s="9">
        <v>297260</v>
      </c>
      <c r="H265" s="1">
        <f t="shared" si="23"/>
        <v>4.5673820897530781</v>
      </c>
      <c r="I265" s="23">
        <v>5272</v>
      </c>
      <c r="J265" s="9">
        <f t="shared" si="21"/>
        <v>58959.977238239757</v>
      </c>
      <c r="K265" s="11">
        <v>2</v>
      </c>
      <c r="L265" s="11">
        <v>2</v>
      </c>
      <c r="M265" s="11">
        <v>3</v>
      </c>
    </row>
    <row r="266" spans="1:13" x14ac:dyDescent="0.25">
      <c r="A266" s="2">
        <f t="shared" si="22"/>
        <v>260</v>
      </c>
      <c r="B266" s="2">
        <v>217864</v>
      </c>
      <c r="C266" t="s">
        <v>479</v>
      </c>
      <c r="D266" t="s">
        <v>429</v>
      </c>
      <c r="E266" t="s">
        <v>278</v>
      </c>
      <c r="F266" s="9">
        <v>309194</v>
      </c>
      <c r="G266" s="9">
        <v>280494</v>
      </c>
      <c r="H266" s="1">
        <f t="shared" si="23"/>
        <v>10.231947920454626</v>
      </c>
      <c r="I266" s="23">
        <v>3717</v>
      </c>
      <c r="J266" s="9">
        <f t="shared" si="21"/>
        <v>83183.750336292709</v>
      </c>
      <c r="K266" s="11">
        <v>1</v>
      </c>
      <c r="L266" s="11">
        <v>2</v>
      </c>
      <c r="M266" s="11">
        <v>3</v>
      </c>
    </row>
    <row r="267" spans="1:13" x14ac:dyDescent="0.25">
      <c r="A267" s="2">
        <f t="shared" si="22"/>
        <v>261</v>
      </c>
      <c r="B267" s="10" t="s">
        <v>119</v>
      </c>
      <c r="C267" t="s">
        <v>480</v>
      </c>
      <c r="D267" t="s">
        <v>481</v>
      </c>
      <c r="E267" t="s">
        <v>34</v>
      </c>
      <c r="F267" s="9">
        <v>308017</v>
      </c>
      <c r="G267" s="9">
        <v>253946</v>
      </c>
      <c r="H267" s="1">
        <f t="shared" si="23"/>
        <v>21.292321989714349</v>
      </c>
      <c r="I267" s="31" t="s">
        <v>119</v>
      </c>
      <c r="J267" s="25" t="s">
        <v>119</v>
      </c>
      <c r="K267" s="10" t="s">
        <v>119</v>
      </c>
      <c r="L267" s="10" t="s">
        <v>119</v>
      </c>
      <c r="M267" s="10" t="s">
        <v>119</v>
      </c>
    </row>
    <row r="268" spans="1:13" x14ac:dyDescent="0.25">
      <c r="A268" s="2">
        <f t="shared" si="22"/>
        <v>262</v>
      </c>
      <c r="B268" s="2">
        <v>195216</v>
      </c>
      <c r="C268" t="s">
        <v>484</v>
      </c>
      <c r="D268" t="s">
        <v>485</v>
      </c>
      <c r="E268" t="s">
        <v>34</v>
      </c>
      <c r="F268" s="9">
        <v>305689</v>
      </c>
      <c r="G268" s="9">
        <v>295884</v>
      </c>
      <c r="H268" s="1">
        <f t="shared" si="23"/>
        <v>3.31379865082262</v>
      </c>
      <c r="I268" s="23">
        <v>2386</v>
      </c>
      <c r="J268" s="9">
        <f>(F268*1000)/I268</f>
        <v>128117.77032690696</v>
      </c>
      <c r="K268" s="11">
        <v>2</v>
      </c>
      <c r="L268" s="11">
        <v>2</v>
      </c>
      <c r="M268" s="11">
        <v>4</v>
      </c>
    </row>
    <row r="269" spans="1:13" x14ac:dyDescent="0.25">
      <c r="A269" s="2">
        <f t="shared" si="22"/>
        <v>263</v>
      </c>
      <c r="B269" s="2">
        <v>196097</v>
      </c>
      <c r="C269" t="s">
        <v>486</v>
      </c>
      <c r="D269" t="s">
        <v>487</v>
      </c>
      <c r="E269" t="s">
        <v>34</v>
      </c>
      <c r="F269" s="9">
        <v>305017</v>
      </c>
      <c r="G269" s="9">
        <v>290031</v>
      </c>
      <c r="H269" s="1">
        <f t="shared" si="23"/>
        <v>5.1670338687933359</v>
      </c>
      <c r="I269" s="23">
        <v>22938</v>
      </c>
      <c r="J269" s="9">
        <v>13297.45</v>
      </c>
      <c r="K269" s="11">
        <v>1</v>
      </c>
      <c r="L269" s="11">
        <v>2</v>
      </c>
      <c r="M269" s="11">
        <v>2</v>
      </c>
    </row>
    <row r="270" spans="1:13" x14ac:dyDescent="0.25">
      <c r="A270" s="2">
        <f t="shared" si="22"/>
        <v>264</v>
      </c>
      <c r="B270" s="2">
        <v>126775</v>
      </c>
      <c r="C270" t="s">
        <v>488</v>
      </c>
      <c r="D270" t="s">
        <v>489</v>
      </c>
      <c r="E270" t="s">
        <v>175</v>
      </c>
      <c r="F270" s="9">
        <v>296420</v>
      </c>
      <c r="G270" s="9">
        <v>285918</v>
      </c>
      <c r="H270" s="1">
        <f t="shared" si="23"/>
        <v>3.6730810931805622</v>
      </c>
      <c r="I270" s="23">
        <v>5850</v>
      </c>
      <c r="J270" s="9">
        <v>50670.09</v>
      </c>
      <c r="K270" s="11">
        <v>1</v>
      </c>
      <c r="L270" s="11">
        <v>2</v>
      </c>
      <c r="M270" s="11">
        <v>2</v>
      </c>
    </row>
    <row r="271" spans="1:13" x14ac:dyDescent="0.25">
      <c r="A271" s="2">
        <f t="shared" si="22"/>
        <v>265</v>
      </c>
      <c r="B271" s="2">
        <v>199148</v>
      </c>
      <c r="C271" t="s">
        <v>490</v>
      </c>
      <c r="D271" t="s">
        <v>491</v>
      </c>
      <c r="E271" t="s">
        <v>40</v>
      </c>
      <c r="F271" s="9">
        <v>293162</v>
      </c>
      <c r="G271" s="9">
        <v>276121</v>
      </c>
      <c r="H271" s="1">
        <f t="shared" si="23"/>
        <v>6.1715697103805942</v>
      </c>
      <c r="I271" s="23">
        <v>16036.25</v>
      </c>
      <c r="J271" s="9">
        <f>(F271*1000)/I271</f>
        <v>18281.206641203524</v>
      </c>
      <c r="K271" s="11">
        <v>1</v>
      </c>
      <c r="L271" s="11">
        <v>2</v>
      </c>
      <c r="M271" s="11">
        <v>2</v>
      </c>
    </row>
    <row r="272" spans="1:13" x14ac:dyDescent="0.25">
      <c r="A272" s="2">
        <f t="shared" si="22"/>
        <v>266</v>
      </c>
      <c r="B272" s="2">
        <v>122409</v>
      </c>
      <c r="C272" t="s">
        <v>492</v>
      </c>
      <c r="D272" t="s">
        <v>352</v>
      </c>
      <c r="E272" t="s">
        <v>14</v>
      </c>
      <c r="F272" s="9">
        <v>293038</v>
      </c>
      <c r="G272" s="9">
        <v>261544</v>
      </c>
      <c r="H272" s="1">
        <f t="shared" si="23"/>
        <v>12.041568531489922</v>
      </c>
      <c r="I272" s="23">
        <v>30211</v>
      </c>
      <c r="J272" s="9">
        <f>(F272*1000)/I272</f>
        <v>9699.7120254212041</v>
      </c>
      <c r="K272" s="11">
        <v>1</v>
      </c>
      <c r="L272" s="11">
        <v>2</v>
      </c>
      <c r="M272" s="11">
        <v>2</v>
      </c>
    </row>
    <row r="273" spans="1:13" x14ac:dyDescent="0.25">
      <c r="A273" s="2">
        <f t="shared" si="22"/>
        <v>267</v>
      </c>
      <c r="B273" s="2">
        <v>214175</v>
      </c>
      <c r="C273" t="s">
        <v>493</v>
      </c>
      <c r="D273" t="s">
        <v>494</v>
      </c>
      <c r="E273" t="s">
        <v>22</v>
      </c>
      <c r="F273" s="9">
        <v>285350</v>
      </c>
      <c r="G273" s="9">
        <v>272865</v>
      </c>
      <c r="H273" s="1">
        <f t="shared" si="23"/>
        <v>4.5755226943726752</v>
      </c>
      <c r="I273" s="23">
        <v>2308</v>
      </c>
      <c r="J273" s="9">
        <f>(F273*1000)/I273</f>
        <v>123635.18197573657</v>
      </c>
      <c r="K273" s="11">
        <v>2</v>
      </c>
      <c r="L273" s="11">
        <v>2</v>
      </c>
      <c r="M273" s="11">
        <v>4</v>
      </c>
    </row>
    <row r="274" spans="1:13" x14ac:dyDescent="0.25">
      <c r="A274" s="2">
        <f t="shared" si="22"/>
        <v>268</v>
      </c>
      <c r="B274" s="2">
        <v>232265</v>
      </c>
      <c r="C274" t="s">
        <v>495</v>
      </c>
      <c r="D274" t="s">
        <v>496</v>
      </c>
      <c r="E274" t="s">
        <v>52</v>
      </c>
      <c r="F274" s="9">
        <v>285345</v>
      </c>
      <c r="G274" s="9">
        <v>279093</v>
      </c>
      <c r="H274" s="1">
        <f t="shared" si="23"/>
        <v>2.2401135105502465</v>
      </c>
      <c r="I274" s="23">
        <v>4413</v>
      </c>
      <c r="J274" s="9">
        <f>(F274*1000)/I274</f>
        <v>64660.095173351459</v>
      </c>
      <c r="K274" s="11">
        <v>2</v>
      </c>
      <c r="L274" s="11">
        <v>1</v>
      </c>
      <c r="M274" s="11">
        <v>3</v>
      </c>
    </row>
    <row r="275" spans="1:13" x14ac:dyDescent="0.25">
      <c r="A275" s="2">
        <f t="shared" si="22"/>
        <v>269</v>
      </c>
      <c r="B275" s="2">
        <v>228343</v>
      </c>
      <c r="C275" t="s">
        <v>497</v>
      </c>
      <c r="D275" t="s">
        <v>498</v>
      </c>
      <c r="E275" t="s">
        <v>8</v>
      </c>
      <c r="F275" s="9">
        <v>281476</v>
      </c>
      <c r="G275" s="9">
        <v>255546</v>
      </c>
      <c r="H275" s="1">
        <f t="shared" si="23"/>
        <v>10.146901144999335</v>
      </c>
      <c r="I275" s="23">
        <v>1378</v>
      </c>
      <c r="J275" s="9">
        <f>(F275*1000)/I275</f>
        <v>204264.15094339623</v>
      </c>
      <c r="K275" s="11">
        <v>2</v>
      </c>
      <c r="L275" s="11">
        <v>2</v>
      </c>
      <c r="M275" s="11">
        <v>4</v>
      </c>
    </row>
    <row r="276" spans="1:13" x14ac:dyDescent="0.25">
      <c r="A276" s="2">
        <f t="shared" si="22"/>
        <v>270</v>
      </c>
      <c r="B276" s="2">
        <v>142285</v>
      </c>
      <c r="C276" t="s">
        <v>499</v>
      </c>
      <c r="D276" t="s">
        <v>500</v>
      </c>
      <c r="E276" t="s">
        <v>501</v>
      </c>
      <c r="F276" s="9">
        <v>280997</v>
      </c>
      <c r="G276" s="9">
        <v>265087</v>
      </c>
      <c r="H276" s="1">
        <f t="shared" si="23"/>
        <v>6.0018031815969852</v>
      </c>
      <c r="I276" s="23">
        <v>9422</v>
      </c>
      <c r="J276" s="9">
        <v>29823.5</v>
      </c>
      <c r="K276" s="11">
        <v>1</v>
      </c>
      <c r="L276" s="11">
        <v>2</v>
      </c>
      <c r="M276" s="11">
        <v>2</v>
      </c>
    </row>
    <row r="277" spans="1:13" x14ac:dyDescent="0.25">
      <c r="A277" s="2">
        <f t="shared" si="22"/>
        <v>271</v>
      </c>
      <c r="B277" s="2">
        <v>215770</v>
      </c>
      <c r="C277" t="s">
        <v>502</v>
      </c>
      <c r="D277" t="s">
        <v>21</v>
      </c>
      <c r="E277" t="s">
        <v>22</v>
      </c>
      <c r="F277" s="9">
        <v>280331</v>
      </c>
      <c r="G277" s="9">
        <v>234094</v>
      </c>
      <c r="H277" s="1">
        <f t="shared" si="23"/>
        <v>19.751467359265938</v>
      </c>
      <c r="I277" s="23">
        <v>6139</v>
      </c>
      <c r="J277" s="9">
        <f>(F277*1000)/I277</f>
        <v>45663.951783678123</v>
      </c>
      <c r="K277" s="11">
        <v>2</v>
      </c>
      <c r="L277" s="11">
        <v>2</v>
      </c>
      <c r="M277" s="11">
        <v>3</v>
      </c>
    </row>
    <row r="278" spans="1:13" x14ac:dyDescent="0.25">
      <c r="A278" s="2">
        <f t="shared" si="22"/>
        <v>272</v>
      </c>
      <c r="B278" s="2">
        <v>164739</v>
      </c>
      <c r="C278" t="s">
        <v>503</v>
      </c>
      <c r="D278" t="s">
        <v>504</v>
      </c>
      <c r="E278" t="s">
        <v>5</v>
      </c>
      <c r="F278" s="9">
        <v>279725</v>
      </c>
      <c r="G278" s="9">
        <v>262996</v>
      </c>
      <c r="H278" s="1">
        <f t="shared" si="23"/>
        <v>6.3609332461330217</v>
      </c>
      <c r="I278" s="19">
        <v>5145</v>
      </c>
      <c r="J278" s="9">
        <f>(F278*1000)/I278</f>
        <v>54368.318756073859</v>
      </c>
      <c r="K278" s="11">
        <v>2</v>
      </c>
      <c r="L278" s="11">
        <v>2</v>
      </c>
      <c r="M278" s="11">
        <v>3</v>
      </c>
    </row>
    <row r="279" spans="1:13" x14ac:dyDescent="0.25">
      <c r="A279" s="2">
        <f t="shared" si="22"/>
        <v>273</v>
      </c>
      <c r="B279" s="2">
        <v>200280</v>
      </c>
      <c r="C279" t="s">
        <v>505</v>
      </c>
      <c r="D279" t="s">
        <v>506</v>
      </c>
      <c r="E279" t="s">
        <v>507</v>
      </c>
      <c r="F279" s="9">
        <v>278583</v>
      </c>
      <c r="G279" s="9">
        <v>265616</v>
      </c>
      <c r="H279" s="1">
        <f t="shared" si="23"/>
        <v>4.8818595265345461</v>
      </c>
      <c r="I279" s="23">
        <v>12090</v>
      </c>
      <c r="J279" s="9">
        <v>23042.43</v>
      </c>
      <c r="K279" s="11">
        <v>1</v>
      </c>
      <c r="L279" s="11">
        <v>2</v>
      </c>
      <c r="M279" s="11">
        <v>2</v>
      </c>
    </row>
    <row r="280" spans="1:13" x14ac:dyDescent="0.25">
      <c r="A280" s="2">
        <f t="shared" si="22"/>
        <v>274</v>
      </c>
      <c r="B280" s="2">
        <v>182281</v>
      </c>
      <c r="C280" t="s">
        <v>508</v>
      </c>
      <c r="D280" t="s">
        <v>509</v>
      </c>
      <c r="E280" t="s">
        <v>435</v>
      </c>
      <c r="F280" s="9">
        <v>278576</v>
      </c>
      <c r="G280" s="9">
        <v>235499</v>
      </c>
      <c r="H280" s="1">
        <f t="shared" si="23"/>
        <v>18.291797417398801</v>
      </c>
      <c r="I280" s="23">
        <v>24596.44</v>
      </c>
      <c r="J280" s="9">
        <v>11326.07</v>
      </c>
      <c r="K280" s="11">
        <v>1</v>
      </c>
      <c r="L280" s="11">
        <v>2</v>
      </c>
      <c r="M280" s="11">
        <v>2</v>
      </c>
    </row>
    <row r="281" spans="1:13" x14ac:dyDescent="0.25">
      <c r="A281" s="2">
        <f t="shared" si="22"/>
        <v>275</v>
      </c>
      <c r="B281" s="2">
        <v>235316</v>
      </c>
      <c r="C281" t="s">
        <v>510</v>
      </c>
      <c r="D281" t="s">
        <v>511</v>
      </c>
      <c r="E281" t="s">
        <v>87</v>
      </c>
      <c r="F281" s="9">
        <v>275958</v>
      </c>
      <c r="G281" s="9">
        <v>262799</v>
      </c>
      <c r="H281" s="1">
        <f t="shared" si="23"/>
        <v>5.0072488860307685</v>
      </c>
      <c r="I281" s="23">
        <v>7304</v>
      </c>
      <c r="J281" s="9">
        <f>(F281*1000)/I281</f>
        <v>37781.763417305585</v>
      </c>
      <c r="K281" s="11">
        <v>2</v>
      </c>
      <c r="L281" s="11">
        <v>2</v>
      </c>
      <c r="M281" s="11">
        <v>3</v>
      </c>
    </row>
    <row r="282" spans="1:13" x14ac:dyDescent="0.25">
      <c r="A282" s="2">
        <f t="shared" si="22"/>
        <v>276</v>
      </c>
      <c r="B282" s="10" t="s">
        <v>119</v>
      </c>
      <c r="C282" t="s">
        <v>512</v>
      </c>
      <c r="D282" t="s">
        <v>513</v>
      </c>
      <c r="E282" t="s">
        <v>14</v>
      </c>
      <c r="F282" s="9">
        <v>272762</v>
      </c>
      <c r="G282" s="9">
        <v>252854</v>
      </c>
      <c r="H282" s="1">
        <f t="shared" si="23"/>
        <v>7.8733181994352472</v>
      </c>
      <c r="I282" s="31" t="s">
        <v>119</v>
      </c>
      <c r="J282" s="25" t="s">
        <v>119</v>
      </c>
      <c r="K282" s="10" t="s">
        <v>119</v>
      </c>
      <c r="L282" s="10" t="s">
        <v>119</v>
      </c>
      <c r="M282" s="10" t="s">
        <v>119</v>
      </c>
    </row>
    <row r="283" spans="1:13" x14ac:dyDescent="0.25">
      <c r="A283" s="2">
        <f t="shared" si="22"/>
        <v>277</v>
      </c>
      <c r="B283" s="2">
        <v>186584</v>
      </c>
      <c r="C283" t="s">
        <v>514</v>
      </c>
      <c r="D283" t="s">
        <v>515</v>
      </c>
      <c r="E283" t="s">
        <v>17</v>
      </c>
      <c r="F283" s="9">
        <v>266857</v>
      </c>
      <c r="G283" s="9">
        <v>256560</v>
      </c>
      <c r="H283" s="1">
        <f t="shared" si="23"/>
        <v>4.0134861241035233</v>
      </c>
      <c r="I283" s="29">
        <v>8163</v>
      </c>
      <c r="J283" s="9">
        <f>(F283*1000)/I283</f>
        <v>32691.044958961167</v>
      </c>
      <c r="K283" s="11">
        <v>2</v>
      </c>
      <c r="L283" s="11">
        <v>2</v>
      </c>
      <c r="M283" s="11">
        <v>2</v>
      </c>
    </row>
    <row r="284" spans="1:13" x14ac:dyDescent="0.25">
      <c r="A284" s="2">
        <f t="shared" si="22"/>
        <v>278</v>
      </c>
      <c r="B284" s="2">
        <v>206695</v>
      </c>
      <c r="C284" t="s">
        <v>516</v>
      </c>
      <c r="D284" t="s">
        <v>517</v>
      </c>
      <c r="E284" t="s">
        <v>60</v>
      </c>
      <c r="F284" s="9">
        <v>265189</v>
      </c>
      <c r="G284" s="9">
        <v>244974</v>
      </c>
      <c r="H284" s="1">
        <f t="shared" si="23"/>
        <v>8.251896119588201</v>
      </c>
      <c r="I284" s="23">
        <v>10390</v>
      </c>
      <c r="J284" s="9">
        <v>25523.48</v>
      </c>
      <c r="K284" s="11">
        <v>1</v>
      </c>
      <c r="L284" s="11">
        <v>2</v>
      </c>
      <c r="M284" s="11">
        <v>3</v>
      </c>
    </row>
    <row r="285" spans="1:13" x14ac:dyDescent="0.25">
      <c r="A285" s="2">
        <f t="shared" si="22"/>
        <v>279</v>
      </c>
      <c r="B285" s="2">
        <v>156125</v>
      </c>
      <c r="C285" t="s">
        <v>518</v>
      </c>
      <c r="D285" t="s">
        <v>519</v>
      </c>
      <c r="E285" t="s">
        <v>132</v>
      </c>
      <c r="F285" s="9">
        <v>264339</v>
      </c>
      <c r="G285" s="9">
        <v>247725</v>
      </c>
      <c r="H285" s="1">
        <f t="shared" si="23"/>
        <v>6.7066303360581294</v>
      </c>
      <c r="I285" s="23">
        <v>13971</v>
      </c>
      <c r="J285" s="9">
        <v>18920.55</v>
      </c>
      <c r="K285" s="11">
        <v>1</v>
      </c>
      <c r="L285" s="11">
        <v>2</v>
      </c>
      <c r="M285" s="11">
        <v>2</v>
      </c>
    </row>
    <row r="286" spans="1:13" ht="17.25" x14ac:dyDescent="0.25">
      <c r="A286" s="2">
        <f t="shared" si="22"/>
        <v>280</v>
      </c>
      <c r="B286" s="2">
        <v>210401</v>
      </c>
      <c r="C286" t="s">
        <v>1458</v>
      </c>
      <c r="D286" t="s">
        <v>520</v>
      </c>
      <c r="E286" t="s">
        <v>254</v>
      </c>
      <c r="F286" s="9">
        <v>259403</v>
      </c>
      <c r="G286" s="9">
        <v>240580</v>
      </c>
      <c r="H286" s="1">
        <f t="shared" si="23"/>
        <v>7.8240086457727163</v>
      </c>
      <c r="I286" s="23">
        <v>2462</v>
      </c>
      <c r="J286" s="9">
        <f t="shared" ref="J286:J297" si="24">(F286*1000)/I286</f>
        <v>105362.71324126727</v>
      </c>
      <c r="K286" s="11">
        <v>2</v>
      </c>
      <c r="L286" s="11">
        <v>2</v>
      </c>
      <c r="M286" s="11">
        <v>4</v>
      </c>
    </row>
    <row r="287" spans="1:13" x14ac:dyDescent="0.25">
      <c r="A287" s="2">
        <f t="shared" si="22"/>
        <v>281</v>
      </c>
      <c r="B287" s="2">
        <v>211893</v>
      </c>
      <c r="C287" t="s">
        <v>521</v>
      </c>
      <c r="D287" t="s">
        <v>21</v>
      </c>
      <c r="E287" t="s">
        <v>22</v>
      </c>
      <c r="F287" s="9">
        <v>257269</v>
      </c>
      <c r="G287" s="9">
        <v>241066</v>
      </c>
      <c r="H287" s="1">
        <f t="shared" si="23"/>
        <v>6.7213958003202441</v>
      </c>
      <c r="I287" s="19">
        <v>176</v>
      </c>
      <c r="J287" s="9">
        <f t="shared" si="24"/>
        <v>1461755.6818181819</v>
      </c>
      <c r="K287" s="11">
        <v>2</v>
      </c>
      <c r="L287" s="11">
        <v>2</v>
      </c>
      <c r="M287" s="11">
        <v>5</v>
      </c>
    </row>
    <row r="288" spans="1:13" x14ac:dyDescent="0.25">
      <c r="A288" s="2">
        <f t="shared" si="22"/>
        <v>282</v>
      </c>
      <c r="B288" s="2">
        <v>198516</v>
      </c>
      <c r="C288" t="s">
        <v>522</v>
      </c>
      <c r="D288" t="s">
        <v>523</v>
      </c>
      <c r="E288" t="s">
        <v>40</v>
      </c>
      <c r="F288" s="9">
        <v>253735</v>
      </c>
      <c r="G288" s="9">
        <v>230556</v>
      </c>
      <c r="H288" s="1">
        <f t="shared" si="23"/>
        <v>10.053522788389806</v>
      </c>
      <c r="I288" s="23">
        <v>6692</v>
      </c>
      <c r="J288" s="9">
        <f t="shared" si="24"/>
        <v>37916.168559473997</v>
      </c>
      <c r="K288" s="11">
        <v>2</v>
      </c>
      <c r="L288" s="11">
        <v>2</v>
      </c>
      <c r="M288" s="11">
        <v>3</v>
      </c>
    </row>
    <row r="289" spans="1:13" x14ac:dyDescent="0.25">
      <c r="A289" s="2">
        <f t="shared" si="22"/>
        <v>283</v>
      </c>
      <c r="B289" s="2">
        <v>217235</v>
      </c>
      <c r="C289" t="s">
        <v>524</v>
      </c>
      <c r="D289" t="s">
        <v>74</v>
      </c>
      <c r="E289" t="s">
        <v>75</v>
      </c>
      <c r="F289" s="9">
        <v>251631</v>
      </c>
      <c r="G289" s="9">
        <v>255887</v>
      </c>
      <c r="H289" s="1">
        <f t="shared" si="23"/>
        <v>-1.6632341619543003</v>
      </c>
      <c r="I289" s="23">
        <v>13234</v>
      </c>
      <c r="J289" s="9">
        <f t="shared" si="24"/>
        <v>19013.979144627476</v>
      </c>
      <c r="K289" s="11">
        <v>2</v>
      </c>
      <c r="L289" s="11">
        <v>2</v>
      </c>
      <c r="M289" s="11">
        <v>3</v>
      </c>
    </row>
    <row r="290" spans="1:13" x14ac:dyDescent="0.25">
      <c r="A290" s="2">
        <f t="shared" si="22"/>
        <v>284</v>
      </c>
      <c r="B290" s="2">
        <v>152600</v>
      </c>
      <c r="C290" t="s">
        <v>525</v>
      </c>
      <c r="D290" t="s">
        <v>526</v>
      </c>
      <c r="E290" t="s">
        <v>37</v>
      </c>
      <c r="F290" s="9">
        <v>250417</v>
      </c>
      <c r="G290" s="9">
        <v>235218</v>
      </c>
      <c r="H290" s="1">
        <f t="shared" si="23"/>
        <v>6.4616653487403166</v>
      </c>
      <c r="I290" s="23">
        <v>3872</v>
      </c>
      <c r="J290" s="9">
        <f t="shared" si="24"/>
        <v>64673.811983471074</v>
      </c>
      <c r="K290" s="11">
        <v>2</v>
      </c>
      <c r="L290" s="11">
        <v>2</v>
      </c>
      <c r="M290" s="11">
        <v>3</v>
      </c>
    </row>
    <row r="291" spans="1:13" x14ac:dyDescent="0.25">
      <c r="A291" s="2">
        <f t="shared" si="22"/>
        <v>285</v>
      </c>
      <c r="B291" s="2">
        <v>168005</v>
      </c>
      <c r="C291" t="s">
        <v>527</v>
      </c>
      <c r="D291" t="s">
        <v>4</v>
      </c>
      <c r="E291" t="s">
        <v>5</v>
      </c>
      <c r="F291" s="9">
        <v>249137</v>
      </c>
      <c r="G291" s="9">
        <v>231721</v>
      </c>
      <c r="H291" s="1">
        <f t="shared" si="23"/>
        <v>7.515935111621304</v>
      </c>
      <c r="I291" s="23">
        <v>6758</v>
      </c>
      <c r="J291" s="9">
        <f t="shared" si="24"/>
        <v>36865.492749334124</v>
      </c>
      <c r="K291" s="11">
        <v>2</v>
      </c>
      <c r="L291" s="11">
        <v>2</v>
      </c>
      <c r="M291" s="11">
        <v>2</v>
      </c>
    </row>
    <row r="292" spans="1:13" ht="17.25" x14ac:dyDescent="0.25">
      <c r="A292" s="2">
        <f t="shared" si="22"/>
        <v>286</v>
      </c>
      <c r="B292" s="10" t="s">
        <v>119</v>
      </c>
      <c r="C292" t="s">
        <v>1392</v>
      </c>
      <c r="D292" t="s">
        <v>528</v>
      </c>
      <c r="E292" t="s">
        <v>529</v>
      </c>
      <c r="F292" s="9">
        <v>247657</v>
      </c>
      <c r="G292" s="9">
        <v>230694</v>
      </c>
      <c r="H292" s="1">
        <f t="shared" si="23"/>
        <v>7.3530304212506614</v>
      </c>
      <c r="I292" s="23">
        <v>8570</v>
      </c>
      <c r="J292" s="9">
        <f t="shared" si="24"/>
        <v>28898.133022170361</v>
      </c>
      <c r="K292" s="10" t="s">
        <v>119</v>
      </c>
      <c r="L292" s="10" t="s">
        <v>119</v>
      </c>
      <c r="M292" s="10" t="s">
        <v>119</v>
      </c>
    </row>
    <row r="293" spans="1:13" x14ac:dyDescent="0.25">
      <c r="A293" s="2">
        <f t="shared" si="22"/>
        <v>287</v>
      </c>
      <c r="B293" s="2">
        <v>193016</v>
      </c>
      <c r="C293" t="s">
        <v>530</v>
      </c>
      <c r="D293" t="s">
        <v>531</v>
      </c>
      <c r="E293" t="s">
        <v>34</v>
      </c>
      <c r="F293" s="9">
        <v>245534</v>
      </c>
      <c r="G293" s="9">
        <v>224444</v>
      </c>
      <c r="H293" s="1">
        <f t="shared" si="23"/>
        <v>9.3965532605015056</v>
      </c>
      <c r="I293" s="23">
        <v>7377</v>
      </c>
      <c r="J293" s="9">
        <f t="shared" si="24"/>
        <v>33283.719669242237</v>
      </c>
      <c r="K293" s="11">
        <v>2</v>
      </c>
      <c r="L293" s="11">
        <v>2</v>
      </c>
      <c r="M293" s="11">
        <v>3</v>
      </c>
    </row>
    <row r="294" spans="1:13" ht="17.25" x14ac:dyDescent="0.25">
      <c r="A294" s="2">
        <f t="shared" si="22"/>
        <v>288</v>
      </c>
      <c r="B294" s="2">
        <v>232982</v>
      </c>
      <c r="C294" t="s">
        <v>1459</v>
      </c>
      <c r="D294" t="s">
        <v>532</v>
      </c>
      <c r="E294" t="s">
        <v>52</v>
      </c>
      <c r="F294" s="9">
        <v>244784</v>
      </c>
      <c r="G294" s="9">
        <v>213543</v>
      </c>
      <c r="H294" s="1">
        <f t="shared" si="23"/>
        <v>14.629840360021168</v>
      </c>
      <c r="I294" s="23">
        <v>19237</v>
      </c>
      <c r="J294" s="9">
        <f t="shared" si="24"/>
        <v>12724.645214950357</v>
      </c>
      <c r="K294" s="11">
        <v>1</v>
      </c>
      <c r="L294" s="11">
        <v>2</v>
      </c>
      <c r="M294" s="11">
        <v>2</v>
      </c>
    </row>
    <row r="295" spans="1:13" x14ac:dyDescent="0.25">
      <c r="A295" s="2">
        <f t="shared" si="22"/>
        <v>289</v>
      </c>
      <c r="B295" s="2">
        <v>137546</v>
      </c>
      <c r="C295" t="s">
        <v>533</v>
      </c>
      <c r="D295" t="s">
        <v>534</v>
      </c>
      <c r="E295" t="s">
        <v>138</v>
      </c>
      <c r="F295" s="9">
        <v>242868</v>
      </c>
      <c r="G295" s="9">
        <v>228735</v>
      </c>
      <c r="H295" s="1">
        <f t="shared" si="23"/>
        <v>6.1787658207095548</v>
      </c>
      <c r="I295" s="23">
        <v>4145</v>
      </c>
      <c r="J295" s="9">
        <f t="shared" si="24"/>
        <v>58593.003618817849</v>
      </c>
      <c r="K295" s="11">
        <v>2</v>
      </c>
      <c r="L295" s="11">
        <v>2</v>
      </c>
      <c r="M295" s="11">
        <v>3</v>
      </c>
    </row>
    <row r="296" spans="1:13" x14ac:dyDescent="0.25">
      <c r="A296" s="2">
        <f t="shared" si="22"/>
        <v>290</v>
      </c>
      <c r="B296" s="2">
        <v>170532</v>
      </c>
      <c r="C296" t="s">
        <v>535</v>
      </c>
      <c r="D296" t="s">
        <v>409</v>
      </c>
      <c r="E296" t="s">
        <v>26</v>
      </c>
      <c r="F296" s="9">
        <v>240994</v>
      </c>
      <c r="G296" s="9">
        <v>226974</v>
      </c>
      <c r="H296" s="1">
        <f t="shared" si="23"/>
        <v>6.1769189422577035</v>
      </c>
      <c r="I296" s="23">
        <v>1434</v>
      </c>
      <c r="J296" s="9">
        <f t="shared" si="24"/>
        <v>168057.18270571827</v>
      </c>
      <c r="K296" s="11">
        <v>2</v>
      </c>
      <c r="L296" s="11">
        <v>2</v>
      </c>
      <c r="M296" s="11">
        <v>4</v>
      </c>
    </row>
    <row r="297" spans="1:13" x14ac:dyDescent="0.25">
      <c r="A297" s="2">
        <f t="shared" si="22"/>
        <v>291</v>
      </c>
      <c r="B297" s="2">
        <v>204909</v>
      </c>
      <c r="C297" t="s">
        <v>536</v>
      </c>
      <c r="D297" t="s">
        <v>537</v>
      </c>
      <c r="E297" t="s">
        <v>60</v>
      </c>
      <c r="F297" s="9">
        <v>239622</v>
      </c>
      <c r="G297" s="9">
        <v>222165</v>
      </c>
      <c r="H297" s="1">
        <f t="shared" si="23"/>
        <v>7.8576733508878531</v>
      </c>
      <c r="I297" s="23">
        <v>1550</v>
      </c>
      <c r="J297" s="9">
        <f t="shared" si="24"/>
        <v>154594.83870967742</v>
      </c>
      <c r="K297" s="11">
        <v>2</v>
      </c>
      <c r="L297" s="11">
        <v>2</v>
      </c>
      <c r="M297" s="11">
        <v>4</v>
      </c>
    </row>
    <row r="298" spans="1:13" x14ac:dyDescent="0.25">
      <c r="A298" s="2">
        <f t="shared" si="22"/>
        <v>292</v>
      </c>
      <c r="B298" s="2">
        <v>140401</v>
      </c>
      <c r="C298" t="s">
        <v>538</v>
      </c>
      <c r="D298" t="s">
        <v>539</v>
      </c>
      <c r="E298" t="s">
        <v>48</v>
      </c>
      <c r="F298" s="9">
        <v>239446</v>
      </c>
      <c r="G298" s="9">
        <v>227565</v>
      </c>
      <c r="H298" s="1">
        <f t="shared" si="23"/>
        <v>5.2209258893063524</v>
      </c>
      <c r="I298" s="23">
        <v>9186</v>
      </c>
      <c r="J298" s="9">
        <v>26066.41</v>
      </c>
      <c r="K298" s="10" t="s">
        <v>119</v>
      </c>
      <c r="L298" s="10" t="s">
        <v>119</v>
      </c>
      <c r="M298" s="10" t="s">
        <v>119</v>
      </c>
    </row>
    <row r="299" spans="1:13" x14ac:dyDescent="0.25">
      <c r="A299" s="2">
        <f t="shared" si="22"/>
        <v>293</v>
      </c>
      <c r="B299" s="2">
        <v>219471</v>
      </c>
      <c r="C299" t="s">
        <v>540</v>
      </c>
      <c r="D299" t="s">
        <v>541</v>
      </c>
      <c r="E299" t="s">
        <v>542</v>
      </c>
      <c r="F299" s="9">
        <v>239210</v>
      </c>
      <c r="G299" s="9">
        <v>234711</v>
      </c>
      <c r="H299" s="1">
        <f t="shared" si="23"/>
        <v>1.9168253724793467</v>
      </c>
      <c r="I299" s="23">
        <v>7400</v>
      </c>
      <c r="J299" s="9">
        <f>(F299*1000)/I299</f>
        <v>32325.675675675677</v>
      </c>
      <c r="K299" s="11">
        <v>1</v>
      </c>
      <c r="L299" s="11">
        <v>2</v>
      </c>
      <c r="M299" s="11">
        <v>2</v>
      </c>
    </row>
    <row r="300" spans="1:13" x14ac:dyDescent="0.25">
      <c r="A300" s="2">
        <f t="shared" si="22"/>
        <v>294</v>
      </c>
      <c r="B300" s="2">
        <v>209056</v>
      </c>
      <c r="C300" t="s">
        <v>543</v>
      </c>
      <c r="D300" t="s">
        <v>298</v>
      </c>
      <c r="E300" t="s">
        <v>254</v>
      </c>
      <c r="F300" s="9">
        <v>239105</v>
      </c>
      <c r="G300" s="9">
        <v>230947</v>
      </c>
      <c r="H300" s="1">
        <f t="shared" si="23"/>
        <v>3.5324121984697787</v>
      </c>
      <c r="I300" s="23">
        <v>3250</v>
      </c>
      <c r="J300" s="9">
        <v>73570.77</v>
      </c>
      <c r="K300" s="11">
        <v>2</v>
      </c>
      <c r="L300" s="11">
        <v>2</v>
      </c>
      <c r="M300" s="11">
        <v>4</v>
      </c>
    </row>
    <row r="301" spans="1:13" x14ac:dyDescent="0.25">
      <c r="A301" s="2">
        <f t="shared" si="22"/>
        <v>295</v>
      </c>
      <c r="B301" s="2">
        <v>242671</v>
      </c>
      <c r="C301" t="s">
        <v>544</v>
      </c>
      <c r="D301" t="s">
        <v>545</v>
      </c>
      <c r="E301" t="s">
        <v>546</v>
      </c>
      <c r="F301" s="9">
        <v>238875</v>
      </c>
      <c r="G301" s="9">
        <v>224055</v>
      </c>
      <c r="H301" s="1">
        <f t="shared" si="23"/>
        <v>6.6144473455178421</v>
      </c>
      <c r="I301" s="23">
        <v>36262</v>
      </c>
      <c r="J301" s="9">
        <f t="shared" ref="J301:J306" si="25">(F301*1000)/I301</f>
        <v>6587.4744912029118</v>
      </c>
      <c r="K301" s="11">
        <v>0</v>
      </c>
      <c r="L301" s="11">
        <v>2</v>
      </c>
      <c r="M301" s="11">
        <v>0</v>
      </c>
    </row>
    <row r="302" spans="1:13" x14ac:dyDescent="0.25">
      <c r="A302" s="2">
        <f t="shared" si="22"/>
        <v>296</v>
      </c>
      <c r="B302" s="2">
        <v>217402</v>
      </c>
      <c r="C302" t="s">
        <v>547</v>
      </c>
      <c r="D302" t="s">
        <v>74</v>
      </c>
      <c r="E302" t="s">
        <v>75</v>
      </c>
      <c r="F302" s="9">
        <v>238529</v>
      </c>
      <c r="G302" s="9">
        <v>221071</v>
      </c>
      <c r="H302" s="1">
        <f t="shared" si="23"/>
        <v>7.8970104627020286</v>
      </c>
      <c r="I302" s="23">
        <v>4482</v>
      </c>
      <c r="J302" s="9">
        <f t="shared" si="25"/>
        <v>53219.321731369921</v>
      </c>
      <c r="K302" s="11">
        <v>2</v>
      </c>
      <c r="L302" s="11">
        <v>2</v>
      </c>
      <c r="M302" s="11">
        <v>3</v>
      </c>
    </row>
    <row r="303" spans="1:13" x14ac:dyDescent="0.25">
      <c r="A303" s="2">
        <f t="shared" si="22"/>
        <v>297</v>
      </c>
      <c r="B303" s="2">
        <v>145725</v>
      </c>
      <c r="C303" t="s">
        <v>548</v>
      </c>
      <c r="D303" t="s">
        <v>42</v>
      </c>
      <c r="E303" t="s">
        <v>29</v>
      </c>
      <c r="F303" s="9">
        <v>235271</v>
      </c>
      <c r="G303" s="9">
        <v>229414</v>
      </c>
      <c r="H303" s="1">
        <f t="shared" si="23"/>
        <v>2.5530264064093733</v>
      </c>
      <c r="I303" s="23">
        <v>6745</v>
      </c>
      <c r="J303" s="9">
        <f t="shared" si="25"/>
        <v>34880.800593031876</v>
      </c>
      <c r="K303" s="11">
        <v>2</v>
      </c>
      <c r="L303" s="11">
        <v>2</v>
      </c>
      <c r="M303" s="11">
        <v>2</v>
      </c>
    </row>
    <row r="304" spans="1:13" x14ac:dyDescent="0.25">
      <c r="A304" s="2">
        <f t="shared" si="22"/>
        <v>298</v>
      </c>
      <c r="B304" s="2">
        <v>164216</v>
      </c>
      <c r="C304" t="s">
        <v>549</v>
      </c>
      <c r="D304" t="s">
        <v>550</v>
      </c>
      <c r="E304" t="s">
        <v>66</v>
      </c>
      <c r="F304" s="9">
        <v>230909</v>
      </c>
      <c r="G304" s="9">
        <v>214129</v>
      </c>
      <c r="H304" s="1">
        <f t="shared" si="23"/>
        <v>7.8363976855073343</v>
      </c>
      <c r="I304" s="23">
        <v>1465</v>
      </c>
      <c r="J304" s="9">
        <f t="shared" si="25"/>
        <v>157617.06484641638</v>
      </c>
      <c r="K304" s="11">
        <v>2</v>
      </c>
      <c r="L304" s="11">
        <v>2</v>
      </c>
      <c r="M304" s="11">
        <v>4</v>
      </c>
    </row>
    <row r="305" spans="1:13" x14ac:dyDescent="0.25">
      <c r="A305" s="2">
        <f t="shared" si="22"/>
        <v>299</v>
      </c>
      <c r="B305" s="2">
        <v>191630</v>
      </c>
      <c r="C305" t="s">
        <v>551</v>
      </c>
      <c r="D305" t="s">
        <v>552</v>
      </c>
      <c r="E305" t="s">
        <v>34</v>
      </c>
      <c r="F305" s="9">
        <v>230065</v>
      </c>
      <c r="G305" s="9">
        <v>211825</v>
      </c>
      <c r="H305" s="1">
        <f t="shared" si="23"/>
        <v>8.6108816239820616</v>
      </c>
      <c r="I305" s="23">
        <v>2233</v>
      </c>
      <c r="J305" s="9">
        <f t="shared" si="25"/>
        <v>103029.5566502463</v>
      </c>
      <c r="K305" s="11">
        <v>2</v>
      </c>
      <c r="L305" s="11">
        <v>2</v>
      </c>
      <c r="M305" s="11">
        <v>4</v>
      </c>
    </row>
    <row r="306" spans="1:13" x14ac:dyDescent="0.25">
      <c r="A306" s="2">
        <f t="shared" si="22"/>
        <v>300</v>
      </c>
      <c r="B306" s="2">
        <v>138600</v>
      </c>
      <c r="C306" t="s">
        <v>553</v>
      </c>
      <c r="D306" t="s">
        <v>554</v>
      </c>
      <c r="E306" t="s">
        <v>48</v>
      </c>
      <c r="F306" s="9">
        <v>229426</v>
      </c>
      <c r="G306" s="9">
        <v>229887</v>
      </c>
      <c r="H306" s="1">
        <f t="shared" si="23"/>
        <v>-0.2005333054935686</v>
      </c>
      <c r="I306" s="23">
        <v>916</v>
      </c>
      <c r="J306" s="9">
        <f t="shared" si="25"/>
        <v>250465.0655021834</v>
      </c>
      <c r="K306" s="11">
        <v>2</v>
      </c>
      <c r="L306" s="11">
        <v>2</v>
      </c>
      <c r="M306" s="11">
        <v>4</v>
      </c>
    </row>
    <row r="307" spans="1:13" x14ac:dyDescent="0.25">
      <c r="A307" s="2">
        <f t="shared" si="22"/>
        <v>301</v>
      </c>
      <c r="B307" s="2">
        <v>133669</v>
      </c>
      <c r="C307" t="s">
        <v>555</v>
      </c>
      <c r="D307" t="s">
        <v>556</v>
      </c>
      <c r="E307" t="s">
        <v>138</v>
      </c>
      <c r="F307" s="9">
        <v>228162</v>
      </c>
      <c r="G307" s="9">
        <v>215954</v>
      </c>
      <c r="H307" s="1">
        <f t="shared" si="23"/>
        <v>5.6530557433527511</v>
      </c>
      <c r="I307" s="23">
        <v>30284</v>
      </c>
      <c r="J307" s="9">
        <v>7534.08</v>
      </c>
      <c r="K307" s="11">
        <v>1</v>
      </c>
      <c r="L307" s="11">
        <v>2</v>
      </c>
      <c r="M307" s="11">
        <v>2</v>
      </c>
    </row>
    <row r="308" spans="1:13" x14ac:dyDescent="0.25">
      <c r="A308" s="2">
        <f t="shared" si="22"/>
        <v>302</v>
      </c>
      <c r="B308" s="2">
        <v>163046</v>
      </c>
      <c r="C308" t="s">
        <v>557</v>
      </c>
      <c r="D308" t="s">
        <v>65</v>
      </c>
      <c r="E308" t="s">
        <v>66</v>
      </c>
      <c r="F308" s="9">
        <v>228151</v>
      </c>
      <c r="G308" s="9">
        <v>214866</v>
      </c>
      <c r="H308" s="1">
        <f t="shared" si="23"/>
        <v>6.1829233103422601</v>
      </c>
      <c r="I308" s="23">
        <v>4820</v>
      </c>
      <c r="J308" s="9">
        <f t="shared" ref="J308:J314" si="26">(F308*1000)/I308</f>
        <v>47334.232365145232</v>
      </c>
      <c r="K308" s="11">
        <v>2</v>
      </c>
      <c r="L308" s="11">
        <v>2</v>
      </c>
      <c r="M308" s="11">
        <v>3</v>
      </c>
    </row>
    <row r="309" spans="1:13" x14ac:dyDescent="0.25">
      <c r="A309" s="2">
        <f t="shared" si="22"/>
        <v>303</v>
      </c>
      <c r="B309" s="2">
        <v>203368</v>
      </c>
      <c r="C309" t="s">
        <v>558</v>
      </c>
      <c r="D309" t="s">
        <v>559</v>
      </c>
      <c r="E309" t="s">
        <v>60</v>
      </c>
      <c r="F309" s="9">
        <v>225755</v>
      </c>
      <c r="G309" s="9">
        <v>209273</v>
      </c>
      <c r="H309" s="1">
        <f t="shared" si="23"/>
        <v>7.8758368255818958</v>
      </c>
      <c r="I309" s="23">
        <v>3506</v>
      </c>
      <c r="J309" s="9">
        <f t="shared" si="26"/>
        <v>64391.043924700512</v>
      </c>
      <c r="K309" s="11">
        <v>2</v>
      </c>
      <c r="L309" s="11">
        <v>2</v>
      </c>
      <c r="M309" s="11">
        <v>3</v>
      </c>
    </row>
    <row r="310" spans="1:13" x14ac:dyDescent="0.25">
      <c r="A310" s="2">
        <f t="shared" si="22"/>
        <v>304</v>
      </c>
      <c r="B310" s="2">
        <v>170301</v>
      </c>
      <c r="C310" t="s">
        <v>560</v>
      </c>
      <c r="D310" t="s">
        <v>561</v>
      </c>
      <c r="E310" t="s">
        <v>26</v>
      </c>
      <c r="F310" s="9">
        <v>225656</v>
      </c>
      <c r="G310" s="9">
        <v>210475</v>
      </c>
      <c r="H310" s="1">
        <f t="shared" si="23"/>
        <v>7.2127331036940259</v>
      </c>
      <c r="I310" s="23">
        <v>3033</v>
      </c>
      <c r="J310" s="9">
        <f t="shared" si="26"/>
        <v>74400.263765248936</v>
      </c>
      <c r="K310" s="11">
        <v>2</v>
      </c>
      <c r="L310" s="11">
        <v>2</v>
      </c>
      <c r="M310" s="11">
        <v>4</v>
      </c>
    </row>
    <row r="311" spans="1:13" x14ac:dyDescent="0.25">
      <c r="A311" s="2">
        <f t="shared" si="22"/>
        <v>305</v>
      </c>
      <c r="B311" s="2">
        <v>192457</v>
      </c>
      <c r="C311" t="s">
        <v>562</v>
      </c>
      <c r="D311" t="s">
        <v>563</v>
      </c>
      <c r="E311" t="s">
        <v>34</v>
      </c>
      <c r="F311" s="9">
        <v>225534</v>
      </c>
      <c r="G311" s="9">
        <v>192406</v>
      </c>
      <c r="H311" s="1">
        <f t="shared" si="23"/>
        <v>17.217758281966258</v>
      </c>
      <c r="I311" s="23">
        <v>11436</v>
      </c>
      <c r="J311" s="9">
        <f t="shared" si="26"/>
        <v>19721.406086044073</v>
      </c>
      <c r="K311" s="11">
        <v>0</v>
      </c>
      <c r="L311" s="11">
        <v>2</v>
      </c>
      <c r="M311" s="11">
        <v>0</v>
      </c>
    </row>
    <row r="312" spans="1:13" x14ac:dyDescent="0.25">
      <c r="A312" s="2">
        <f t="shared" si="22"/>
        <v>306</v>
      </c>
      <c r="B312" s="2">
        <v>139348</v>
      </c>
      <c r="C312" t="s">
        <v>564</v>
      </c>
      <c r="D312" t="s">
        <v>554</v>
      </c>
      <c r="E312" t="s">
        <v>48</v>
      </c>
      <c r="F312" s="9">
        <v>222489</v>
      </c>
      <c r="G312" s="9">
        <v>208777</v>
      </c>
      <c r="H312" s="1">
        <f t="shared" si="23"/>
        <v>6.567773270044114</v>
      </c>
      <c r="I312" s="23">
        <v>243</v>
      </c>
      <c r="J312" s="9">
        <f t="shared" si="26"/>
        <v>915592.59259259258</v>
      </c>
      <c r="K312" s="11">
        <v>2</v>
      </c>
      <c r="L312" s="11">
        <v>2</v>
      </c>
      <c r="M312" s="11">
        <v>5</v>
      </c>
    </row>
    <row r="313" spans="1:13" x14ac:dyDescent="0.25">
      <c r="A313" s="2">
        <f t="shared" si="22"/>
        <v>307</v>
      </c>
      <c r="B313" s="2">
        <v>210669</v>
      </c>
      <c r="C313" t="s">
        <v>565</v>
      </c>
      <c r="D313" t="s">
        <v>566</v>
      </c>
      <c r="E313" t="s">
        <v>22</v>
      </c>
      <c r="F313" s="9">
        <v>220836</v>
      </c>
      <c r="G313" s="9">
        <v>204513</v>
      </c>
      <c r="H313" s="1">
        <f t="shared" si="23"/>
        <v>7.9813997154215137</v>
      </c>
      <c r="I313" s="23">
        <v>1768.7</v>
      </c>
      <c r="J313" s="9">
        <f t="shared" si="26"/>
        <v>124857.80516763724</v>
      </c>
      <c r="K313" s="11">
        <v>2</v>
      </c>
      <c r="L313" s="11">
        <v>2</v>
      </c>
      <c r="M313" s="11">
        <v>4</v>
      </c>
    </row>
    <row r="314" spans="1:13" x14ac:dyDescent="0.25">
      <c r="A314" s="2">
        <f t="shared" si="22"/>
        <v>308</v>
      </c>
      <c r="B314" s="2">
        <v>200800</v>
      </c>
      <c r="C314" t="s">
        <v>567</v>
      </c>
      <c r="D314" t="s">
        <v>568</v>
      </c>
      <c r="E314" t="s">
        <v>60</v>
      </c>
      <c r="F314" s="9">
        <v>220789</v>
      </c>
      <c r="G314" s="9">
        <v>203209</v>
      </c>
      <c r="H314" s="1">
        <f t="shared" si="23"/>
        <v>8.6511916302919651</v>
      </c>
      <c r="I314" s="23">
        <v>17563</v>
      </c>
      <c r="J314" s="9">
        <f t="shared" si="26"/>
        <v>12571.257757786256</v>
      </c>
      <c r="K314" s="11">
        <v>1</v>
      </c>
      <c r="L314" s="11">
        <v>2</v>
      </c>
      <c r="M314" s="11">
        <v>2</v>
      </c>
    </row>
    <row r="315" spans="1:13" x14ac:dyDescent="0.25">
      <c r="A315" s="2">
        <f t="shared" si="22"/>
        <v>309</v>
      </c>
      <c r="B315" s="2">
        <v>161253</v>
      </c>
      <c r="C315" t="s">
        <v>569</v>
      </c>
      <c r="D315" t="s">
        <v>570</v>
      </c>
      <c r="E315" t="s">
        <v>150</v>
      </c>
      <c r="F315" s="9">
        <v>220679</v>
      </c>
      <c r="G315" s="9">
        <v>203012</v>
      </c>
      <c r="H315" s="1">
        <f t="shared" si="23"/>
        <v>8.7024412350008866</v>
      </c>
      <c r="I315" s="23">
        <v>9594</v>
      </c>
      <c r="J315" s="9">
        <v>23001.77</v>
      </c>
      <c r="K315" s="11">
        <v>1</v>
      </c>
      <c r="L315" s="11">
        <v>2</v>
      </c>
      <c r="M315" s="11">
        <v>2</v>
      </c>
    </row>
    <row r="316" spans="1:13" x14ac:dyDescent="0.25">
      <c r="A316" s="2">
        <f t="shared" si="22"/>
        <v>310</v>
      </c>
      <c r="B316" s="2">
        <v>110422</v>
      </c>
      <c r="C316" t="s">
        <v>571</v>
      </c>
      <c r="D316" t="s">
        <v>572</v>
      </c>
      <c r="E316" t="s">
        <v>14</v>
      </c>
      <c r="F316" s="9">
        <v>220535</v>
      </c>
      <c r="G316" s="9">
        <v>209754</v>
      </c>
      <c r="H316" s="1">
        <f t="shared" si="23"/>
        <v>5.1398304680721232</v>
      </c>
      <c r="I316" s="23">
        <v>21798</v>
      </c>
      <c r="J316" s="9">
        <f>(F316*1000)/I316</f>
        <v>10117.212588310855</v>
      </c>
      <c r="K316" s="11">
        <v>1</v>
      </c>
      <c r="L316" s="11">
        <v>2</v>
      </c>
      <c r="M316" s="11">
        <v>3</v>
      </c>
    </row>
    <row r="317" spans="1:13" x14ac:dyDescent="0.25">
      <c r="A317" s="2">
        <f t="shared" si="22"/>
        <v>311</v>
      </c>
      <c r="B317" s="2">
        <v>153269</v>
      </c>
      <c r="C317" t="s">
        <v>573</v>
      </c>
      <c r="D317" t="s">
        <v>574</v>
      </c>
      <c r="E317" t="s">
        <v>113</v>
      </c>
      <c r="F317" s="9">
        <v>219494</v>
      </c>
      <c r="G317" s="9">
        <v>210593</v>
      </c>
      <c r="H317" s="1">
        <f t="shared" si="23"/>
        <v>4.2266362129795381</v>
      </c>
      <c r="I317" s="23">
        <v>4191</v>
      </c>
      <c r="J317" s="9">
        <f>(F317*1000)/I317</f>
        <v>52372.70341207349</v>
      </c>
      <c r="K317" s="11">
        <v>2</v>
      </c>
      <c r="L317" s="11">
        <v>2</v>
      </c>
      <c r="M317" s="11">
        <v>3</v>
      </c>
    </row>
    <row r="318" spans="1:13" x14ac:dyDescent="0.25">
      <c r="A318" s="2">
        <f t="shared" si="22"/>
        <v>312</v>
      </c>
      <c r="B318" s="2">
        <v>199139</v>
      </c>
      <c r="C318" t="s">
        <v>575</v>
      </c>
      <c r="D318" t="s">
        <v>576</v>
      </c>
      <c r="E318" t="s">
        <v>40</v>
      </c>
      <c r="F318" s="9">
        <v>217594</v>
      </c>
      <c r="G318" s="9">
        <v>202793</v>
      </c>
      <c r="H318" s="1">
        <f t="shared" si="23"/>
        <v>7.298575394614212</v>
      </c>
      <c r="I318" s="23">
        <v>26783</v>
      </c>
      <c r="J318" s="9">
        <f>(F318*1000)/I318</f>
        <v>8124.332599036702</v>
      </c>
      <c r="K318" s="11">
        <v>1</v>
      </c>
      <c r="L318" s="11">
        <v>2</v>
      </c>
      <c r="M318" s="11">
        <v>2</v>
      </c>
    </row>
    <row r="319" spans="1:13" x14ac:dyDescent="0.25">
      <c r="A319" s="2">
        <f t="shared" si="22"/>
        <v>313</v>
      </c>
      <c r="B319" s="2">
        <v>220862</v>
      </c>
      <c r="C319" t="s">
        <v>577</v>
      </c>
      <c r="D319" t="s">
        <v>441</v>
      </c>
      <c r="E319" t="s">
        <v>63</v>
      </c>
      <c r="F319" s="9">
        <v>216221</v>
      </c>
      <c r="G319" s="9">
        <v>209133</v>
      </c>
      <c r="H319" s="1">
        <f t="shared" si="23"/>
        <v>3.3892307765871479</v>
      </c>
      <c r="I319" s="23">
        <v>16691</v>
      </c>
      <c r="J319" s="9">
        <f>(F319*1000)/I319</f>
        <v>12954.346653885328</v>
      </c>
      <c r="K319" s="11">
        <v>1</v>
      </c>
      <c r="L319" s="11">
        <v>2</v>
      </c>
      <c r="M319" s="11">
        <v>2</v>
      </c>
    </row>
    <row r="320" spans="1:13" ht="17.25" x14ac:dyDescent="0.25">
      <c r="A320" s="2">
        <f t="shared" si="22"/>
        <v>314</v>
      </c>
      <c r="B320" s="10" t="s">
        <v>119</v>
      </c>
      <c r="C320" t="s">
        <v>1393</v>
      </c>
      <c r="D320" t="s">
        <v>578</v>
      </c>
      <c r="E320" t="s">
        <v>118</v>
      </c>
      <c r="F320" s="9">
        <v>215866</v>
      </c>
      <c r="G320" s="9">
        <v>210755</v>
      </c>
      <c r="H320" s="1">
        <f t="shared" si="23"/>
        <v>2.4250907451780503</v>
      </c>
      <c r="I320" s="31" t="s">
        <v>119</v>
      </c>
      <c r="J320" s="25" t="s">
        <v>119</v>
      </c>
      <c r="K320" s="10" t="s">
        <v>119</v>
      </c>
      <c r="L320" s="10" t="s">
        <v>119</v>
      </c>
      <c r="M320" s="10" t="s">
        <v>119</v>
      </c>
    </row>
    <row r="321" spans="1:13" x14ac:dyDescent="0.25">
      <c r="A321" s="2">
        <f t="shared" si="22"/>
        <v>315</v>
      </c>
      <c r="B321" s="2">
        <v>162654</v>
      </c>
      <c r="C321" t="s">
        <v>579</v>
      </c>
      <c r="D321" t="s">
        <v>65</v>
      </c>
      <c r="E321" t="s">
        <v>66</v>
      </c>
      <c r="F321" s="9">
        <v>214921</v>
      </c>
      <c r="G321" s="9">
        <v>209577</v>
      </c>
      <c r="H321" s="1">
        <f t="shared" si="23"/>
        <v>2.5498981281342892</v>
      </c>
      <c r="I321" s="23">
        <v>1789</v>
      </c>
      <c r="J321" s="9">
        <f>(F321*1000)/I321</f>
        <v>120134.71212968139</v>
      </c>
      <c r="K321" s="11">
        <v>2</v>
      </c>
      <c r="L321" s="11">
        <v>2</v>
      </c>
      <c r="M321" s="11">
        <v>4</v>
      </c>
    </row>
    <row r="322" spans="1:13" x14ac:dyDescent="0.25">
      <c r="A322" s="2">
        <f t="shared" si="22"/>
        <v>316</v>
      </c>
      <c r="B322" s="2">
        <v>150163</v>
      </c>
      <c r="C322" t="s">
        <v>580</v>
      </c>
      <c r="D322" t="s">
        <v>581</v>
      </c>
      <c r="E322" t="s">
        <v>37</v>
      </c>
      <c r="F322" s="9">
        <v>213866</v>
      </c>
      <c r="G322" s="9">
        <v>207966</v>
      </c>
      <c r="H322" s="1">
        <f t="shared" si="23"/>
        <v>2.8370022022830654</v>
      </c>
      <c r="I322" s="23">
        <v>4945</v>
      </c>
      <c r="J322" s="9">
        <f>(F322*1000)/I322</f>
        <v>43248.938321536909</v>
      </c>
      <c r="K322" s="11">
        <v>2</v>
      </c>
      <c r="L322" s="11">
        <v>2</v>
      </c>
      <c r="M322" s="11">
        <v>3</v>
      </c>
    </row>
    <row r="323" spans="1:13" x14ac:dyDescent="0.25">
      <c r="A323" s="2">
        <f t="shared" si="22"/>
        <v>317</v>
      </c>
      <c r="B323" s="2">
        <v>150136</v>
      </c>
      <c r="C323" t="s">
        <v>582</v>
      </c>
      <c r="D323" t="s">
        <v>583</v>
      </c>
      <c r="E323" t="s">
        <v>37</v>
      </c>
      <c r="F323" s="9">
        <v>212885</v>
      </c>
      <c r="G323" s="9">
        <v>201568</v>
      </c>
      <c r="H323" s="1">
        <f t="shared" si="23"/>
        <v>5.614482457532942</v>
      </c>
      <c r="I323" s="23">
        <v>18771</v>
      </c>
      <c r="J323" s="9">
        <v>11341.16</v>
      </c>
      <c r="K323" s="11">
        <v>1</v>
      </c>
      <c r="L323" s="11">
        <v>2</v>
      </c>
      <c r="M323" s="11">
        <v>2</v>
      </c>
    </row>
    <row r="324" spans="1:13" x14ac:dyDescent="0.25">
      <c r="A324" s="2">
        <f t="shared" si="22"/>
        <v>318</v>
      </c>
      <c r="B324" s="2">
        <v>168281</v>
      </c>
      <c r="C324" t="s">
        <v>584</v>
      </c>
      <c r="D324" t="s">
        <v>585</v>
      </c>
      <c r="E324" t="s">
        <v>5</v>
      </c>
      <c r="F324" s="9">
        <v>211881</v>
      </c>
      <c r="G324" s="9">
        <v>205048</v>
      </c>
      <c r="H324" s="1">
        <f t="shared" si="23"/>
        <v>3.3323904646716871</v>
      </c>
      <c r="I324" s="23">
        <v>1679</v>
      </c>
      <c r="J324" s="9">
        <f>(F324*1000)/I324</f>
        <v>126194.75878499106</v>
      </c>
      <c r="K324" s="11">
        <v>2</v>
      </c>
      <c r="L324" s="11">
        <v>2</v>
      </c>
      <c r="M324" s="11">
        <v>4</v>
      </c>
    </row>
    <row r="325" spans="1:13" x14ac:dyDescent="0.25">
      <c r="A325" s="2">
        <f t="shared" si="22"/>
        <v>319</v>
      </c>
      <c r="B325" s="2">
        <v>167996</v>
      </c>
      <c r="C325" t="s">
        <v>586</v>
      </c>
      <c r="D325" t="s">
        <v>587</v>
      </c>
      <c r="E325" t="s">
        <v>5</v>
      </c>
      <c r="F325" s="9">
        <v>211414</v>
      </c>
      <c r="G325" s="9">
        <v>194142</v>
      </c>
      <c r="H325" s="1">
        <f t="shared" si="23"/>
        <v>8.8965808531899331</v>
      </c>
      <c r="I325" s="23">
        <v>2498</v>
      </c>
      <c r="J325" s="9">
        <f>(F325*1000)/I325</f>
        <v>84633.306645316246</v>
      </c>
      <c r="K325" s="11">
        <v>2</v>
      </c>
      <c r="L325" s="11">
        <v>2</v>
      </c>
      <c r="M325" s="11">
        <v>4</v>
      </c>
    </row>
    <row r="326" spans="1:13" x14ac:dyDescent="0.25">
      <c r="A326" s="2">
        <f t="shared" si="22"/>
        <v>320</v>
      </c>
      <c r="B326" s="2">
        <v>133951</v>
      </c>
      <c r="C326" t="s">
        <v>588</v>
      </c>
      <c r="D326" t="s">
        <v>375</v>
      </c>
      <c r="E326" t="s">
        <v>138</v>
      </c>
      <c r="F326" s="9">
        <v>209237</v>
      </c>
      <c r="G326" s="9">
        <v>196281</v>
      </c>
      <c r="H326" s="1">
        <f t="shared" si="23"/>
        <v>6.6007407747056517</v>
      </c>
      <c r="I326" s="23">
        <v>38146</v>
      </c>
      <c r="J326" s="9">
        <v>5485.16</v>
      </c>
      <c r="K326" s="11">
        <v>1</v>
      </c>
      <c r="L326" s="11">
        <v>2</v>
      </c>
      <c r="M326" s="11">
        <v>2</v>
      </c>
    </row>
    <row r="327" spans="1:13" x14ac:dyDescent="0.25">
      <c r="A327" s="2">
        <f t="shared" si="22"/>
        <v>321</v>
      </c>
      <c r="B327" s="2">
        <v>152318</v>
      </c>
      <c r="C327" t="s">
        <v>589</v>
      </c>
      <c r="D327" t="s">
        <v>590</v>
      </c>
      <c r="E327" t="s">
        <v>37</v>
      </c>
      <c r="F327" s="9">
        <v>208832</v>
      </c>
      <c r="G327" s="9">
        <v>200518</v>
      </c>
      <c r="H327" s="1">
        <f t="shared" si="23"/>
        <v>4.1462611835346452</v>
      </c>
      <c r="I327" s="23">
        <v>2370</v>
      </c>
      <c r="J327" s="9">
        <f>(F327*1000)/I327</f>
        <v>88114.767932489456</v>
      </c>
      <c r="K327" s="11">
        <v>2</v>
      </c>
      <c r="L327" s="11">
        <v>2</v>
      </c>
      <c r="M327" s="11">
        <v>5</v>
      </c>
    </row>
    <row r="328" spans="1:13" ht="17.25" x14ac:dyDescent="0.25">
      <c r="A328" s="2">
        <f t="shared" ref="A328:A391" si="27">RANK(F328,F$7:F$817,0)</f>
        <v>322</v>
      </c>
      <c r="B328" s="10" t="s">
        <v>119</v>
      </c>
      <c r="C328" t="s">
        <v>1394</v>
      </c>
      <c r="D328" t="s">
        <v>578</v>
      </c>
      <c r="E328" t="s">
        <v>118</v>
      </c>
      <c r="F328" s="9">
        <v>208421</v>
      </c>
      <c r="G328" s="9">
        <v>200117</v>
      </c>
      <c r="H328" s="1">
        <f t="shared" ref="H328:H391" si="28">((F328-G328)/G328)*100</f>
        <v>4.1495725000874488</v>
      </c>
      <c r="I328" s="23">
        <v>27608</v>
      </c>
      <c r="J328" s="9">
        <f>(F328*1000)/I328</f>
        <v>7549.2973051289482</v>
      </c>
      <c r="K328" s="10" t="s">
        <v>119</v>
      </c>
      <c r="L328" s="10" t="s">
        <v>119</v>
      </c>
      <c r="M328" s="10" t="s">
        <v>119</v>
      </c>
    </row>
    <row r="329" spans="1:13" x14ac:dyDescent="0.25">
      <c r="A329" s="2">
        <f t="shared" si="27"/>
        <v>323</v>
      </c>
      <c r="B329" s="2">
        <v>213668</v>
      </c>
      <c r="C329" t="s">
        <v>591</v>
      </c>
      <c r="D329" t="s">
        <v>592</v>
      </c>
      <c r="E329" t="s">
        <v>22</v>
      </c>
      <c r="F329" s="9">
        <v>207600</v>
      </c>
      <c r="G329" s="9">
        <v>200823</v>
      </c>
      <c r="H329" s="1">
        <f t="shared" si="28"/>
        <v>3.3746134655891007</v>
      </c>
      <c r="I329" s="23">
        <v>1206</v>
      </c>
      <c r="J329" s="9">
        <f>(F329*1000)/I329</f>
        <v>172139.30348258707</v>
      </c>
      <c r="K329" s="11">
        <v>2</v>
      </c>
      <c r="L329" s="11">
        <v>2</v>
      </c>
      <c r="M329" s="11">
        <v>4</v>
      </c>
    </row>
    <row r="330" spans="1:13" x14ac:dyDescent="0.25">
      <c r="A330" s="2">
        <f t="shared" si="27"/>
        <v>324</v>
      </c>
      <c r="B330" s="2">
        <v>184782</v>
      </c>
      <c r="C330" t="s">
        <v>593</v>
      </c>
      <c r="D330" t="s">
        <v>594</v>
      </c>
      <c r="E330" t="s">
        <v>17</v>
      </c>
      <c r="F330" s="9">
        <v>207198</v>
      </c>
      <c r="G330" s="9">
        <v>191835</v>
      </c>
      <c r="H330" s="1">
        <f t="shared" si="28"/>
        <v>8.0084447572132298</v>
      </c>
      <c r="I330" s="23">
        <v>15264</v>
      </c>
      <c r="J330" s="9">
        <v>13574.29</v>
      </c>
      <c r="K330" s="11">
        <v>1</v>
      </c>
      <c r="L330" s="11">
        <v>2</v>
      </c>
      <c r="M330" s="11">
        <v>2</v>
      </c>
    </row>
    <row r="331" spans="1:13" x14ac:dyDescent="0.25">
      <c r="A331" s="2">
        <f t="shared" si="27"/>
        <v>325</v>
      </c>
      <c r="B331" s="2">
        <v>200332</v>
      </c>
      <c r="C331" t="s">
        <v>595</v>
      </c>
      <c r="D331" t="s">
        <v>596</v>
      </c>
      <c r="E331" t="s">
        <v>507</v>
      </c>
      <c r="F331" s="9">
        <v>206650</v>
      </c>
      <c r="G331" s="9">
        <v>177636</v>
      </c>
      <c r="H331" s="1">
        <f t="shared" si="28"/>
        <v>16.333400887207546</v>
      </c>
      <c r="I331" s="23">
        <v>12783</v>
      </c>
      <c r="J331" s="9">
        <v>16166</v>
      </c>
      <c r="K331" s="11">
        <v>1</v>
      </c>
      <c r="L331" s="11">
        <v>2</v>
      </c>
      <c r="M331" s="11">
        <v>2</v>
      </c>
    </row>
    <row r="332" spans="1:13" x14ac:dyDescent="0.25">
      <c r="A332" s="2">
        <f t="shared" si="27"/>
        <v>326</v>
      </c>
      <c r="B332" s="2">
        <v>218973</v>
      </c>
      <c r="C332" t="s">
        <v>597</v>
      </c>
      <c r="D332" t="s">
        <v>598</v>
      </c>
      <c r="E332" t="s">
        <v>278</v>
      </c>
      <c r="F332" s="9">
        <v>205991</v>
      </c>
      <c r="G332" s="9">
        <v>194390</v>
      </c>
      <c r="H332" s="1">
        <f t="shared" si="28"/>
        <v>5.9678995833118993</v>
      </c>
      <c r="I332" s="23">
        <v>1669</v>
      </c>
      <c r="J332" s="9">
        <f t="shared" ref="J332:J339" si="29">(F332*1000)/I332</f>
        <v>123421.80946674655</v>
      </c>
      <c r="K332" s="11">
        <v>2</v>
      </c>
      <c r="L332" s="11">
        <v>2</v>
      </c>
      <c r="M332" s="11">
        <v>4</v>
      </c>
    </row>
    <row r="333" spans="1:13" x14ac:dyDescent="0.25">
      <c r="A333" s="2">
        <f t="shared" si="27"/>
        <v>327</v>
      </c>
      <c r="B333" s="2">
        <v>145646</v>
      </c>
      <c r="C333" t="s">
        <v>599</v>
      </c>
      <c r="D333" t="s">
        <v>97</v>
      </c>
      <c r="E333" t="s">
        <v>29</v>
      </c>
      <c r="F333" s="9">
        <v>205775</v>
      </c>
      <c r="G333" s="9">
        <v>212525</v>
      </c>
      <c r="H333" s="1">
        <f t="shared" si="28"/>
        <v>-3.1760969297729682</v>
      </c>
      <c r="I333" s="23">
        <v>1647</v>
      </c>
      <c r="J333" s="9">
        <f t="shared" si="29"/>
        <v>124939.28354584092</v>
      </c>
      <c r="K333" s="11">
        <v>2</v>
      </c>
      <c r="L333" s="11">
        <v>2</v>
      </c>
      <c r="M333" s="11">
        <v>4</v>
      </c>
    </row>
    <row r="334" spans="1:13" x14ac:dyDescent="0.25">
      <c r="A334" s="2">
        <f t="shared" si="27"/>
        <v>328</v>
      </c>
      <c r="B334" s="2">
        <v>243133</v>
      </c>
      <c r="C334" t="s">
        <v>600</v>
      </c>
      <c r="D334" t="s">
        <v>601</v>
      </c>
      <c r="E334" t="s">
        <v>22</v>
      </c>
      <c r="F334" s="9">
        <v>205604</v>
      </c>
      <c r="G334" s="9">
        <v>187209</v>
      </c>
      <c r="H334" s="1">
        <f t="shared" si="28"/>
        <v>9.8259164890576844</v>
      </c>
      <c r="I334" s="23">
        <v>5016</v>
      </c>
      <c r="J334" s="9">
        <f t="shared" si="29"/>
        <v>40989.6331738437</v>
      </c>
      <c r="K334" s="11">
        <v>1</v>
      </c>
      <c r="L334" s="11">
        <v>2</v>
      </c>
      <c r="M334" s="11">
        <v>4</v>
      </c>
    </row>
    <row r="335" spans="1:13" x14ac:dyDescent="0.25">
      <c r="A335" s="2">
        <f t="shared" si="27"/>
        <v>329</v>
      </c>
      <c r="B335" s="2">
        <v>107080</v>
      </c>
      <c r="C335" t="s">
        <v>602</v>
      </c>
      <c r="D335" t="s">
        <v>603</v>
      </c>
      <c r="E335" t="s">
        <v>201</v>
      </c>
      <c r="F335" s="9">
        <v>204964</v>
      </c>
      <c r="G335" s="9">
        <v>202674</v>
      </c>
      <c r="H335" s="1">
        <f t="shared" si="28"/>
        <v>1.1298933262283273</v>
      </c>
      <c r="I335" s="19">
        <v>1242</v>
      </c>
      <c r="J335" s="9">
        <f t="shared" si="29"/>
        <v>165027.37520128823</v>
      </c>
      <c r="K335" s="11">
        <v>2</v>
      </c>
      <c r="L335" s="11">
        <v>2</v>
      </c>
      <c r="M335" s="11">
        <v>4</v>
      </c>
    </row>
    <row r="336" spans="1:13" x14ac:dyDescent="0.25">
      <c r="A336" s="2">
        <f t="shared" si="27"/>
        <v>330</v>
      </c>
      <c r="B336" s="2">
        <v>228459</v>
      </c>
      <c r="C336" t="s">
        <v>604</v>
      </c>
      <c r="D336" t="s">
        <v>605</v>
      </c>
      <c r="E336" t="s">
        <v>8</v>
      </c>
      <c r="F336" s="9">
        <v>204939</v>
      </c>
      <c r="G336" s="9">
        <v>186676</v>
      </c>
      <c r="H336" s="1">
        <f t="shared" si="28"/>
        <v>9.7832608369581529</v>
      </c>
      <c r="I336" s="23">
        <v>33288</v>
      </c>
      <c r="J336" s="9">
        <f t="shared" si="29"/>
        <v>6156.5428983417451</v>
      </c>
      <c r="K336" s="11">
        <v>1</v>
      </c>
      <c r="L336" s="11">
        <v>2</v>
      </c>
      <c r="M336" s="11">
        <v>2</v>
      </c>
    </row>
    <row r="337" spans="1:13" x14ac:dyDescent="0.25">
      <c r="A337" s="2">
        <f t="shared" si="27"/>
        <v>331</v>
      </c>
      <c r="B337" s="2">
        <v>167783</v>
      </c>
      <c r="C337" t="s">
        <v>606</v>
      </c>
      <c r="D337" t="s">
        <v>4</v>
      </c>
      <c r="E337" t="s">
        <v>5</v>
      </c>
      <c r="F337" s="9">
        <v>202590</v>
      </c>
      <c r="G337" s="9">
        <v>195342</v>
      </c>
      <c r="H337" s="1">
        <f t="shared" si="28"/>
        <v>3.7104155788309736</v>
      </c>
      <c r="I337" s="23">
        <v>5674</v>
      </c>
      <c r="J337" s="9">
        <f t="shared" si="29"/>
        <v>35704.970038773354</v>
      </c>
      <c r="K337" s="11">
        <v>2</v>
      </c>
      <c r="L337" s="11">
        <v>2</v>
      </c>
      <c r="M337" s="11">
        <v>3</v>
      </c>
    </row>
    <row r="338" spans="1:13" x14ac:dyDescent="0.25">
      <c r="A338" s="2">
        <f t="shared" si="27"/>
        <v>332</v>
      </c>
      <c r="B338" s="2">
        <v>198464</v>
      </c>
      <c r="C338" t="s">
        <v>607</v>
      </c>
      <c r="D338" t="s">
        <v>320</v>
      </c>
      <c r="E338" t="s">
        <v>40</v>
      </c>
      <c r="F338" s="9">
        <v>200770</v>
      </c>
      <c r="G338" s="9">
        <v>185811</v>
      </c>
      <c r="H338" s="1">
        <f t="shared" si="28"/>
        <v>8.0506536211526765</v>
      </c>
      <c r="I338" s="23">
        <v>26230</v>
      </c>
      <c r="J338" s="9">
        <f t="shared" si="29"/>
        <v>7654.2127335112464</v>
      </c>
      <c r="K338" s="11">
        <v>1</v>
      </c>
      <c r="L338" s="11">
        <v>2</v>
      </c>
      <c r="M338" s="11">
        <v>2</v>
      </c>
    </row>
    <row r="339" spans="1:13" x14ac:dyDescent="0.25">
      <c r="A339" s="2">
        <f t="shared" si="27"/>
        <v>333</v>
      </c>
      <c r="B339" s="2">
        <v>190044</v>
      </c>
      <c r="C339" t="s">
        <v>608</v>
      </c>
      <c r="D339" t="s">
        <v>609</v>
      </c>
      <c r="E339" t="s">
        <v>34</v>
      </c>
      <c r="F339" s="9">
        <v>198326</v>
      </c>
      <c r="G339" s="9">
        <v>191141</v>
      </c>
      <c r="H339" s="1">
        <f t="shared" si="28"/>
        <v>3.7590051323368616</v>
      </c>
      <c r="I339" s="23">
        <v>3856</v>
      </c>
      <c r="J339" s="9">
        <f t="shared" si="29"/>
        <v>51433.091286307055</v>
      </c>
      <c r="K339" s="11">
        <v>2</v>
      </c>
      <c r="L339" s="11">
        <v>2</v>
      </c>
      <c r="M339" s="11">
        <v>2</v>
      </c>
    </row>
    <row r="340" spans="1:13" x14ac:dyDescent="0.25">
      <c r="A340" s="2">
        <f t="shared" si="27"/>
        <v>334</v>
      </c>
      <c r="B340" s="2">
        <v>180489</v>
      </c>
      <c r="C340" t="s">
        <v>610</v>
      </c>
      <c r="D340" t="s">
        <v>611</v>
      </c>
      <c r="E340" t="s">
        <v>612</v>
      </c>
      <c r="F340" s="9">
        <v>197695</v>
      </c>
      <c r="G340" s="9">
        <v>186285</v>
      </c>
      <c r="H340" s="1">
        <f t="shared" si="28"/>
        <v>6.1250234855194998</v>
      </c>
      <c r="I340" s="23">
        <v>10223</v>
      </c>
      <c r="J340" s="9">
        <v>19338.259999999998</v>
      </c>
      <c r="K340" s="11">
        <v>1</v>
      </c>
      <c r="L340" s="11">
        <v>2</v>
      </c>
      <c r="M340" s="11">
        <v>2</v>
      </c>
    </row>
    <row r="341" spans="1:13" x14ac:dyDescent="0.25">
      <c r="A341" s="2">
        <f t="shared" si="27"/>
        <v>335</v>
      </c>
      <c r="B341" s="2">
        <v>174792</v>
      </c>
      <c r="C341" t="s">
        <v>613</v>
      </c>
      <c r="D341" t="s">
        <v>614</v>
      </c>
      <c r="E341" t="s">
        <v>72</v>
      </c>
      <c r="F341" s="9">
        <v>196766</v>
      </c>
      <c r="G341" s="9">
        <v>179747</v>
      </c>
      <c r="H341" s="1">
        <f t="shared" si="28"/>
        <v>9.4683082332389414</v>
      </c>
      <c r="I341" s="23">
        <v>1779</v>
      </c>
      <c r="J341" s="9">
        <f t="shared" ref="J341:J352" si="30">(F341*1000)/I341</f>
        <v>110604.83417650366</v>
      </c>
      <c r="K341" s="11">
        <v>2</v>
      </c>
      <c r="L341" s="11">
        <v>2</v>
      </c>
      <c r="M341" s="11">
        <v>4</v>
      </c>
    </row>
    <row r="342" spans="1:13" x14ac:dyDescent="0.25">
      <c r="A342" s="2">
        <f t="shared" si="27"/>
        <v>336</v>
      </c>
      <c r="B342" s="2">
        <v>228149</v>
      </c>
      <c r="C342" t="s">
        <v>615</v>
      </c>
      <c r="D342" t="s">
        <v>193</v>
      </c>
      <c r="E342" t="s">
        <v>8</v>
      </c>
      <c r="F342" s="9">
        <v>196013</v>
      </c>
      <c r="G342" s="9">
        <v>183017</v>
      </c>
      <c r="H342" s="1">
        <f t="shared" si="28"/>
        <v>7.1009796904112727</v>
      </c>
      <c r="I342" s="23">
        <v>3340</v>
      </c>
      <c r="J342" s="9">
        <f t="shared" si="30"/>
        <v>58686.526946107784</v>
      </c>
      <c r="K342" s="11">
        <v>2</v>
      </c>
      <c r="L342" s="11">
        <v>2</v>
      </c>
      <c r="M342" s="11">
        <v>3</v>
      </c>
    </row>
    <row r="343" spans="1:13" x14ac:dyDescent="0.25">
      <c r="A343" s="2">
        <f t="shared" si="27"/>
        <v>337</v>
      </c>
      <c r="B343" s="2">
        <v>219709</v>
      </c>
      <c r="C343" t="s">
        <v>616</v>
      </c>
      <c r="D343" t="s">
        <v>62</v>
      </c>
      <c r="E343" t="s">
        <v>63</v>
      </c>
      <c r="F343" s="9">
        <v>194161</v>
      </c>
      <c r="G343" s="9">
        <v>171744</v>
      </c>
      <c r="H343" s="1">
        <f t="shared" si="28"/>
        <v>13.052566610769517</v>
      </c>
      <c r="I343" s="23">
        <v>7729</v>
      </c>
      <c r="J343" s="9">
        <f t="shared" si="30"/>
        <v>25121.102341829472</v>
      </c>
      <c r="K343" s="11">
        <v>2</v>
      </c>
      <c r="L343" s="11">
        <v>2</v>
      </c>
      <c r="M343" s="11">
        <v>3</v>
      </c>
    </row>
    <row r="344" spans="1:13" x14ac:dyDescent="0.25">
      <c r="A344" s="2">
        <f t="shared" si="27"/>
        <v>338</v>
      </c>
      <c r="B344" s="2">
        <v>194578</v>
      </c>
      <c r="C344" t="s">
        <v>617</v>
      </c>
      <c r="D344" t="s">
        <v>618</v>
      </c>
      <c r="E344" t="s">
        <v>34</v>
      </c>
      <c r="F344" s="9">
        <v>193639</v>
      </c>
      <c r="G344" s="9">
        <v>173082</v>
      </c>
      <c r="H344" s="1">
        <f t="shared" si="28"/>
        <v>11.87702938491582</v>
      </c>
      <c r="I344" s="23">
        <v>4619</v>
      </c>
      <c r="J344" s="9">
        <f t="shared" si="30"/>
        <v>41922.277549253085</v>
      </c>
      <c r="K344" s="11">
        <v>2</v>
      </c>
      <c r="L344" s="11">
        <v>2</v>
      </c>
      <c r="M344" s="11">
        <v>5</v>
      </c>
    </row>
    <row r="345" spans="1:13" x14ac:dyDescent="0.25">
      <c r="A345" s="2">
        <f t="shared" si="27"/>
        <v>339</v>
      </c>
      <c r="B345" s="2">
        <v>152390</v>
      </c>
      <c r="C345" t="s">
        <v>619</v>
      </c>
      <c r="D345" t="s">
        <v>620</v>
      </c>
      <c r="E345" t="s">
        <v>37</v>
      </c>
      <c r="F345" s="9">
        <v>192618</v>
      </c>
      <c r="G345" s="9">
        <v>177090</v>
      </c>
      <c r="H345" s="1">
        <f t="shared" si="28"/>
        <v>8.7684228358461809</v>
      </c>
      <c r="I345" s="23">
        <v>1563</v>
      </c>
      <c r="J345" s="9">
        <f t="shared" si="30"/>
        <v>123236.08445297505</v>
      </c>
      <c r="K345" s="11">
        <v>2</v>
      </c>
      <c r="L345" s="11">
        <v>2</v>
      </c>
      <c r="M345" s="11">
        <v>4</v>
      </c>
    </row>
    <row r="346" spans="1:13" x14ac:dyDescent="0.25">
      <c r="A346" s="2">
        <f t="shared" si="27"/>
        <v>340</v>
      </c>
      <c r="B346" s="2">
        <v>227216</v>
      </c>
      <c r="C346" t="s">
        <v>621</v>
      </c>
      <c r="D346" t="s">
        <v>622</v>
      </c>
      <c r="E346" t="s">
        <v>8</v>
      </c>
      <c r="F346" s="9">
        <v>192230</v>
      </c>
      <c r="G346" s="9">
        <v>165221</v>
      </c>
      <c r="H346" s="1">
        <f t="shared" si="28"/>
        <v>16.347195574412453</v>
      </c>
      <c r="I346" s="23">
        <v>30491</v>
      </c>
      <c r="J346" s="9">
        <f t="shared" si="30"/>
        <v>6304.4832901511918</v>
      </c>
      <c r="K346" s="11">
        <v>1</v>
      </c>
      <c r="L346" s="11">
        <v>2</v>
      </c>
      <c r="M346" s="11">
        <v>2</v>
      </c>
    </row>
    <row r="347" spans="1:13" x14ac:dyDescent="0.25">
      <c r="A347" s="2">
        <f t="shared" si="27"/>
        <v>341</v>
      </c>
      <c r="B347" s="2">
        <v>118888</v>
      </c>
      <c r="C347" t="s">
        <v>623</v>
      </c>
      <c r="D347" t="s">
        <v>31</v>
      </c>
      <c r="E347" t="s">
        <v>14</v>
      </c>
      <c r="F347" s="9">
        <v>191279</v>
      </c>
      <c r="G347" s="9">
        <v>183275</v>
      </c>
      <c r="H347" s="1">
        <f t="shared" si="28"/>
        <v>4.3672077479197924</v>
      </c>
      <c r="I347" s="23">
        <v>1155</v>
      </c>
      <c r="J347" s="9">
        <f t="shared" si="30"/>
        <v>165609.52380952382</v>
      </c>
      <c r="K347" s="11">
        <v>2</v>
      </c>
      <c r="L347" s="11">
        <v>2</v>
      </c>
      <c r="M347" s="11">
        <v>3</v>
      </c>
    </row>
    <row r="348" spans="1:13" x14ac:dyDescent="0.25">
      <c r="A348" s="2">
        <f t="shared" si="27"/>
        <v>342</v>
      </c>
      <c r="B348" s="2">
        <v>151801</v>
      </c>
      <c r="C348" t="s">
        <v>624</v>
      </c>
      <c r="D348" t="s">
        <v>625</v>
      </c>
      <c r="E348" t="s">
        <v>37</v>
      </c>
      <c r="F348" s="9">
        <v>190811</v>
      </c>
      <c r="G348" s="9">
        <v>166786</v>
      </c>
      <c r="H348" s="1">
        <f t="shared" si="28"/>
        <v>14.404686244648831</v>
      </c>
      <c r="I348" s="23">
        <v>11838</v>
      </c>
      <c r="J348" s="9">
        <f t="shared" si="30"/>
        <v>16118.516641324548</v>
      </c>
      <c r="K348" s="11">
        <v>2</v>
      </c>
      <c r="L348" s="11">
        <v>2</v>
      </c>
      <c r="M348" s="11">
        <v>3</v>
      </c>
    </row>
    <row r="349" spans="1:13" x14ac:dyDescent="0.25">
      <c r="A349" s="2">
        <f t="shared" si="27"/>
        <v>343</v>
      </c>
      <c r="B349" s="2">
        <v>166452</v>
      </c>
      <c r="C349" t="s">
        <v>626</v>
      </c>
      <c r="D349" t="s">
        <v>19</v>
      </c>
      <c r="E349" t="s">
        <v>5</v>
      </c>
      <c r="F349" s="9">
        <v>188812</v>
      </c>
      <c r="G349" s="9">
        <v>185686</v>
      </c>
      <c r="H349" s="1">
        <f t="shared" si="28"/>
        <v>1.68348717727777</v>
      </c>
      <c r="I349" s="23">
        <v>3612</v>
      </c>
      <c r="J349" s="9">
        <f t="shared" si="30"/>
        <v>52273.532668881504</v>
      </c>
      <c r="K349" s="11">
        <v>2</v>
      </c>
      <c r="L349" s="11">
        <v>2</v>
      </c>
      <c r="M349" s="11">
        <v>2</v>
      </c>
    </row>
    <row r="350" spans="1:13" x14ac:dyDescent="0.25">
      <c r="A350" s="2">
        <f t="shared" si="27"/>
        <v>344</v>
      </c>
      <c r="B350" s="2">
        <v>192323</v>
      </c>
      <c r="C350" t="s">
        <v>627</v>
      </c>
      <c r="D350" t="s">
        <v>178</v>
      </c>
      <c r="E350" t="s">
        <v>34</v>
      </c>
      <c r="F350" s="9">
        <v>187186</v>
      </c>
      <c r="G350" s="9">
        <v>180396</v>
      </c>
      <c r="H350" s="1">
        <f t="shared" si="28"/>
        <v>3.7639415508104395</v>
      </c>
      <c r="I350" s="23">
        <v>3137</v>
      </c>
      <c r="J350" s="9">
        <f t="shared" si="30"/>
        <v>59670.385718839658</v>
      </c>
      <c r="K350" s="11">
        <v>2</v>
      </c>
      <c r="L350" s="11">
        <v>2</v>
      </c>
      <c r="M350" s="11">
        <v>3</v>
      </c>
    </row>
    <row r="351" spans="1:13" x14ac:dyDescent="0.25">
      <c r="A351" s="2">
        <f t="shared" si="27"/>
        <v>345</v>
      </c>
      <c r="B351" s="2">
        <v>112251</v>
      </c>
      <c r="C351" t="s">
        <v>628</v>
      </c>
      <c r="D351" t="s">
        <v>101</v>
      </c>
      <c r="E351" t="s">
        <v>14</v>
      </c>
      <c r="F351" s="9">
        <v>186500</v>
      </c>
      <c r="G351" s="9">
        <v>181661</v>
      </c>
      <c r="H351" s="1">
        <f t="shared" si="28"/>
        <v>2.6637528143079692</v>
      </c>
      <c r="I351" s="23">
        <v>1541</v>
      </c>
      <c r="J351" s="9">
        <f t="shared" si="30"/>
        <v>121025.30824140168</v>
      </c>
      <c r="K351" s="11">
        <v>2</v>
      </c>
      <c r="L351" s="11">
        <v>2</v>
      </c>
      <c r="M351" s="11">
        <v>2</v>
      </c>
    </row>
    <row r="352" spans="1:13" x14ac:dyDescent="0.25">
      <c r="A352" s="2">
        <f t="shared" si="27"/>
        <v>346</v>
      </c>
      <c r="B352" s="2">
        <v>232308</v>
      </c>
      <c r="C352" t="s">
        <v>629</v>
      </c>
      <c r="D352" t="s">
        <v>630</v>
      </c>
      <c r="E352" t="s">
        <v>52</v>
      </c>
      <c r="F352" s="9">
        <v>186335</v>
      </c>
      <c r="G352" s="9">
        <v>182202</v>
      </c>
      <c r="H352" s="1">
        <f t="shared" si="28"/>
        <v>2.2683614888969386</v>
      </c>
      <c r="I352" s="23">
        <v>782</v>
      </c>
      <c r="J352" s="9">
        <f t="shared" si="30"/>
        <v>238280.05115089513</v>
      </c>
      <c r="K352" s="11">
        <v>2</v>
      </c>
      <c r="L352" s="11">
        <v>2</v>
      </c>
      <c r="M352" s="11">
        <v>4</v>
      </c>
    </row>
    <row r="353" spans="1:13" x14ac:dyDescent="0.25">
      <c r="A353" s="2">
        <f t="shared" si="27"/>
        <v>347</v>
      </c>
      <c r="B353" s="2">
        <v>105330</v>
      </c>
      <c r="C353" t="s">
        <v>631</v>
      </c>
      <c r="D353" t="s">
        <v>632</v>
      </c>
      <c r="E353" t="s">
        <v>240</v>
      </c>
      <c r="F353" s="9">
        <v>186219</v>
      </c>
      <c r="G353" s="9">
        <v>170870</v>
      </c>
      <c r="H353" s="1">
        <f t="shared" si="28"/>
        <v>8.9828524609352147</v>
      </c>
      <c r="I353" s="23">
        <v>28710</v>
      </c>
      <c r="J353" s="9">
        <v>6486.21</v>
      </c>
      <c r="K353" s="11">
        <v>1</v>
      </c>
      <c r="L353" s="11">
        <v>2</v>
      </c>
      <c r="M353" s="11">
        <v>2</v>
      </c>
    </row>
    <row r="354" spans="1:13" x14ac:dyDescent="0.25">
      <c r="A354" s="2">
        <f t="shared" si="27"/>
        <v>348</v>
      </c>
      <c r="B354" s="2">
        <v>173647</v>
      </c>
      <c r="C354" t="s">
        <v>633</v>
      </c>
      <c r="D354" t="s">
        <v>634</v>
      </c>
      <c r="E354" t="s">
        <v>72</v>
      </c>
      <c r="F354" s="9">
        <v>185271</v>
      </c>
      <c r="G354" s="9">
        <v>168679</v>
      </c>
      <c r="H354" s="1">
        <f t="shared" si="28"/>
        <v>9.8364348851961427</v>
      </c>
      <c r="I354" s="23">
        <v>2182</v>
      </c>
      <c r="J354" s="9">
        <f t="shared" ref="J354:J364" si="31">(F354*1000)/I354</f>
        <v>84908.799266727772</v>
      </c>
      <c r="K354" s="11">
        <v>2</v>
      </c>
      <c r="L354" s="11">
        <v>2</v>
      </c>
      <c r="M354" s="11">
        <v>4</v>
      </c>
    </row>
    <row r="355" spans="1:13" x14ac:dyDescent="0.25">
      <c r="A355" s="2">
        <f t="shared" si="27"/>
        <v>349</v>
      </c>
      <c r="B355" s="2">
        <v>217165</v>
      </c>
      <c r="C355" t="s">
        <v>635</v>
      </c>
      <c r="D355" t="s">
        <v>636</v>
      </c>
      <c r="E355" t="s">
        <v>75</v>
      </c>
      <c r="F355" s="9">
        <v>184624</v>
      </c>
      <c r="G355" s="9">
        <v>174207</v>
      </c>
      <c r="H355" s="1">
        <f t="shared" si="28"/>
        <v>5.9796678663888363</v>
      </c>
      <c r="I355" s="23">
        <v>3619</v>
      </c>
      <c r="J355" s="9">
        <f t="shared" si="31"/>
        <v>51015.197568389056</v>
      </c>
      <c r="K355" s="11">
        <v>2</v>
      </c>
      <c r="L355" s="11">
        <v>2</v>
      </c>
      <c r="M355" s="11">
        <v>3</v>
      </c>
    </row>
    <row r="356" spans="1:13" x14ac:dyDescent="0.25">
      <c r="A356" s="2">
        <f t="shared" si="27"/>
        <v>350</v>
      </c>
      <c r="B356" s="2">
        <v>186867</v>
      </c>
      <c r="C356" t="s">
        <v>637</v>
      </c>
      <c r="D356" t="s">
        <v>638</v>
      </c>
      <c r="E356" t="s">
        <v>17</v>
      </c>
      <c r="F356" s="9">
        <v>184438</v>
      </c>
      <c r="G356" s="9">
        <v>173023</v>
      </c>
      <c r="H356" s="1">
        <f t="shared" si="28"/>
        <v>6.5973887864619147</v>
      </c>
      <c r="I356" s="19">
        <v>6106</v>
      </c>
      <c r="J356" s="9">
        <f t="shared" si="31"/>
        <v>30206.026858827383</v>
      </c>
      <c r="K356" s="11">
        <v>2</v>
      </c>
      <c r="L356" s="11">
        <v>2</v>
      </c>
      <c r="M356" s="11">
        <v>2</v>
      </c>
    </row>
    <row r="357" spans="1:13" x14ac:dyDescent="0.25">
      <c r="A357" s="2">
        <f t="shared" si="27"/>
        <v>351</v>
      </c>
      <c r="B357" s="2">
        <v>188429</v>
      </c>
      <c r="C357" t="s">
        <v>639</v>
      </c>
      <c r="D357" t="s">
        <v>640</v>
      </c>
      <c r="E357" t="s">
        <v>34</v>
      </c>
      <c r="F357" s="9">
        <v>183404</v>
      </c>
      <c r="G357" s="9">
        <v>175802</v>
      </c>
      <c r="H357" s="1">
        <f t="shared" si="28"/>
        <v>4.3241828875666943</v>
      </c>
      <c r="I357" s="23">
        <v>7068</v>
      </c>
      <c r="J357" s="9">
        <f t="shared" si="31"/>
        <v>25948.500282965477</v>
      </c>
      <c r="K357" s="11">
        <v>2</v>
      </c>
      <c r="L357" s="11">
        <v>2</v>
      </c>
      <c r="M357" s="11">
        <v>2</v>
      </c>
    </row>
    <row r="358" spans="1:13" x14ac:dyDescent="0.25">
      <c r="A358" s="2">
        <f t="shared" si="27"/>
        <v>352</v>
      </c>
      <c r="B358" s="2">
        <v>131450</v>
      </c>
      <c r="C358" t="s">
        <v>641</v>
      </c>
      <c r="D358" t="s">
        <v>128</v>
      </c>
      <c r="E358" t="s">
        <v>129</v>
      </c>
      <c r="F358" s="9">
        <v>182003</v>
      </c>
      <c r="G358" s="9">
        <v>173830</v>
      </c>
      <c r="H358" s="1">
        <f t="shared" si="28"/>
        <v>4.7017200713340621</v>
      </c>
      <c r="I358" s="23">
        <v>1434</v>
      </c>
      <c r="J358" s="9">
        <f t="shared" si="31"/>
        <v>126919.80474198048</v>
      </c>
      <c r="K358" s="11">
        <v>2</v>
      </c>
      <c r="L358" s="11">
        <v>2</v>
      </c>
      <c r="M358" s="11">
        <v>3</v>
      </c>
    </row>
    <row r="359" spans="1:13" x14ac:dyDescent="0.25">
      <c r="A359" s="2">
        <f t="shared" si="27"/>
        <v>353</v>
      </c>
      <c r="B359" s="2">
        <v>169248</v>
      </c>
      <c r="C359" t="s">
        <v>642</v>
      </c>
      <c r="D359" t="s">
        <v>643</v>
      </c>
      <c r="E359" t="s">
        <v>26</v>
      </c>
      <c r="F359" s="9">
        <v>181973</v>
      </c>
      <c r="G359" s="9">
        <v>156288</v>
      </c>
      <c r="H359" s="1">
        <f t="shared" si="28"/>
        <v>16.434403153153156</v>
      </c>
      <c r="I359" s="23">
        <v>26251</v>
      </c>
      <c r="J359" s="9">
        <f t="shared" si="31"/>
        <v>6932.0406841644126</v>
      </c>
      <c r="K359" s="11">
        <v>1</v>
      </c>
      <c r="L359" s="11">
        <v>2</v>
      </c>
      <c r="M359" s="11">
        <v>2</v>
      </c>
    </row>
    <row r="360" spans="1:13" x14ac:dyDescent="0.25">
      <c r="A360" s="2">
        <f t="shared" si="27"/>
        <v>354</v>
      </c>
      <c r="B360" s="2">
        <v>194310</v>
      </c>
      <c r="C360" t="s">
        <v>644</v>
      </c>
      <c r="D360" t="s">
        <v>645</v>
      </c>
      <c r="E360" t="s">
        <v>34</v>
      </c>
      <c r="F360" s="9">
        <v>181854</v>
      </c>
      <c r="G360" s="9">
        <v>169880</v>
      </c>
      <c r="H360" s="1">
        <f t="shared" si="28"/>
        <v>7.0485048269366608</v>
      </c>
      <c r="I360" s="23">
        <v>11125</v>
      </c>
      <c r="J360" s="9">
        <f t="shared" si="31"/>
        <v>16346.426966292134</v>
      </c>
      <c r="K360" s="11">
        <v>2</v>
      </c>
      <c r="L360" s="11">
        <v>2</v>
      </c>
      <c r="M360" s="11">
        <v>2</v>
      </c>
    </row>
    <row r="361" spans="1:13" x14ac:dyDescent="0.25">
      <c r="A361" s="2">
        <f t="shared" si="27"/>
        <v>355</v>
      </c>
      <c r="B361" s="2">
        <v>198136</v>
      </c>
      <c r="C361" t="s">
        <v>646</v>
      </c>
      <c r="D361" t="s">
        <v>647</v>
      </c>
      <c r="E361" t="s">
        <v>40</v>
      </c>
      <c r="F361" s="9">
        <v>181019</v>
      </c>
      <c r="G361" s="9">
        <v>151136</v>
      </c>
      <c r="H361" s="1">
        <f t="shared" si="28"/>
        <v>19.7722580986661</v>
      </c>
      <c r="I361" s="23">
        <v>5987</v>
      </c>
      <c r="J361" s="9">
        <f t="shared" si="31"/>
        <v>30235.343243694671</v>
      </c>
      <c r="K361" s="11">
        <v>2</v>
      </c>
      <c r="L361" s="11">
        <v>2</v>
      </c>
      <c r="M361" s="11">
        <v>3</v>
      </c>
    </row>
    <row r="362" spans="1:13" x14ac:dyDescent="0.25">
      <c r="A362" s="2">
        <f t="shared" si="27"/>
        <v>356</v>
      </c>
      <c r="B362" s="2">
        <v>123554</v>
      </c>
      <c r="C362" t="s">
        <v>648</v>
      </c>
      <c r="D362" t="s">
        <v>649</v>
      </c>
      <c r="E362" t="s">
        <v>14</v>
      </c>
      <c r="F362" s="9">
        <v>180474</v>
      </c>
      <c r="G362" s="9">
        <v>177831</v>
      </c>
      <c r="H362" s="1">
        <f t="shared" si="28"/>
        <v>1.4862425561347572</v>
      </c>
      <c r="I362" s="23">
        <v>3464</v>
      </c>
      <c r="J362" s="9">
        <f t="shared" si="31"/>
        <v>52099.88452655889</v>
      </c>
      <c r="K362" s="11">
        <v>2</v>
      </c>
      <c r="L362" s="11">
        <v>2</v>
      </c>
      <c r="M362" s="11">
        <v>3</v>
      </c>
    </row>
    <row r="363" spans="1:13" x14ac:dyDescent="0.25">
      <c r="A363" s="2">
        <f t="shared" si="27"/>
        <v>357</v>
      </c>
      <c r="B363" s="2">
        <v>206622</v>
      </c>
      <c r="C363" t="s">
        <v>650</v>
      </c>
      <c r="D363" t="s">
        <v>171</v>
      </c>
      <c r="E363" t="s">
        <v>60</v>
      </c>
      <c r="F363" s="9">
        <v>179577</v>
      </c>
      <c r="G363" s="9">
        <v>169383</v>
      </c>
      <c r="H363" s="1">
        <f t="shared" si="28"/>
        <v>6.018313526150795</v>
      </c>
      <c r="I363" s="23">
        <v>5972</v>
      </c>
      <c r="J363" s="9">
        <f t="shared" si="31"/>
        <v>30069.825853985265</v>
      </c>
      <c r="K363" s="11">
        <v>2</v>
      </c>
      <c r="L363" s="11">
        <v>2</v>
      </c>
      <c r="M363" s="11">
        <v>3</v>
      </c>
    </row>
    <row r="364" spans="1:13" x14ac:dyDescent="0.25">
      <c r="A364" s="2">
        <f t="shared" si="27"/>
        <v>358</v>
      </c>
      <c r="B364" s="2">
        <v>129525</v>
      </c>
      <c r="C364" t="s">
        <v>651</v>
      </c>
      <c r="D364" t="s">
        <v>652</v>
      </c>
      <c r="E364" t="s">
        <v>11</v>
      </c>
      <c r="F364" s="9">
        <v>178755</v>
      </c>
      <c r="G364" s="9">
        <v>164456</v>
      </c>
      <c r="H364" s="1">
        <f t="shared" si="28"/>
        <v>8.694726857031668</v>
      </c>
      <c r="I364" s="23">
        <v>5688</v>
      </c>
      <c r="J364" s="9">
        <f t="shared" si="31"/>
        <v>31426.687763713082</v>
      </c>
      <c r="K364" s="11">
        <v>2</v>
      </c>
      <c r="L364" s="11">
        <v>2</v>
      </c>
      <c r="M364" s="11">
        <v>2</v>
      </c>
    </row>
    <row r="365" spans="1:13" x14ac:dyDescent="0.25">
      <c r="A365" s="2">
        <f t="shared" si="27"/>
        <v>359</v>
      </c>
      <c r="B365" s="2">
        <v>180461</v>
      </c>
      <c r="C365" t="s">
        <v>653</v>
      </c>
      <c r="D365" t="s">
        <v>654</v>
      </c>
      <c r="E365" t="s">
        <v>612</v>
      </c>
      <c r="F365" s="9">
        <v>178156</v>
      </c>
      <c r="G365" s="9">
        <v>165708</v>
      </c>
      <c r="H365" s="1">
        <f t="shared" si="28"/>
        <v>7.5120090762063381</v>
      </c>
      <c r="I365" s="23">
        <v>14798</v>
      </c>
      <c r="J365" s="9">
        <v>12039.19</v>
      </c>
      <c r="K365" s="11">
        <v>1</v>
      </c>
      <c r="L365" s="11">
        <v>2</v>
      </c>
      <c r="M365" s="11">
        <v>2</v>
      </c>
    </row>
    <row r="366" spans="1:13" x14ac:dyDescent="0.25">
      <c r="A366" s="2">
        <f t="shared" si="27"/>
        <v>360</v>
      </c>
      <c r="B366" s="2">
        <v>102094</v>
      </c>
      <c r="C366" t="s">
        <v>655</v>
      </c>
      <c r="D366" t="s">
        <v>425</v>
      </c>
      <c r="E366" t="s">
        <v>161</v>
      </c>
      <c r="F366" s="9">
        <v>177817</v>
      </c>
      <c r="G366" s="9">
        <v>190493</v>
      </c>
      <c r="H366" s="1">
        <f t="shared" si="28"/>
        <v>-6.6543127568992038</v>
      </c>
      <c r="I366" s="23">
        <v>13662</v>
      </c>
      <c r="J366" s="9">
        <f>(F366*1000)/I366</f>
        <v>13015.444298052993</v>
      </c>
      <c r="K366" s="11">
        <v>1</v>
      </c>
      <c r="L366" s="11">
        <v>2</v>
      </c>
      <c r="M366" s="11">
        <v>2</v>
      </c>
    </row>
    <row r="367" spans="1:13" x14ac:dyDescent="0.25">
      <c r="A367" s="2">
        <f t="shared" si="27"/>
        <v>361</v>
      </c>
      <c r="B367" s="2">
        <v>121691</v>
      </c>
      <c r="C367" t="s">
        <v>656</v>
      </c>
      <c r="D367" t="s">
        <v>657</v>
      </c>
      <c r="E367" t="s">
        <v>14</v>
      </c>
      <c r="F367" s="9">
        <v>175943</v>
      </c>
      <c r="G367" s="9">
        <v>167166</v>
      </c>
      <c r="H367" s="1">
        <f t="shared" si="28"/>
        <v>5.2504695930990755</v>
      </c>
      <c r="I367" s="23">
        <v>4550</v>
      </c>
      <c r="J367" s="9">
        <f>(F367*1000)/I367</f>
        <v>38668.791208791212</v>
      </c>
      <c r="K367" s="11">
        <v>2</v>
      </c>
      <c r="L367" s="11">
        <v>2</v>
      </c>
      <c r="M367" s="11">
        <v>3</v>
      </c>
    </row>
    <row r="368" spans="1:13" x14ac:dyDescent="0.25">
      <c r="A368" s="2">
        <f t="shared" si="27"/>
        <v>362</v>
      </c>
      <c r="B368" s="2">
        <v>184348</v>
      </c>
      <c r="C368" t="s">
        <v>658</v>
      </c>
      <c r="D368" t="s">
        <v>79</v>
      </c>
      <c r="E368" t="s">
        <v>17</v>
      </c>
      <c r="F368" s="9">
        <v>175655</v>
      </c>
      <c r="G368" s="9">
        <v>177779</v>
      </c>
      <c r="H368" s="1">
        <f t="shared" si="28"/>
        <v>-1.1947417861502203</v>
      </c>
      <c r="I368" s="23">
        <v>1929</v>
      </c>
      <c r="J368" s="9">
        <v>91060.13</v>
      </c>
      <c r="K368" s="11">
        <v>2</v>
      </c>
      <c r="L368" s="11">
        <v>2</v>
      </c>
      <c r="M368" s="11">
        <v>4</v>
      </c>
    </row>
    <row r="369" spans="1:13" x14ac:dyDescent="0.25">
      <c r="A369" s="2">
        <f t="shared" si="27"/>
        <v>363</v>
      </c>
      <c r="B369" s="2">
        <v>188030</v>
      </c>
      <c r="C369" t="s">
        <v>659</v>
      </c>
      <c r="D369" t="s">
        <v>660</v>
      </c>
      <c r="E369" t="s">
        <v>388</v>
      </c>
      <c r="F369" s="9">
        <v>175633</v>
      </c>
      <c r="G369" s="9">
        <v>167496</v>
      </c>
      <c r="H369" s="1">
        <f t="shared" si="28"/>
        <v>4.8580264603333809</v>
      </c>
      <c r="I369" s="23">
        <v>19273</v>
      </c>
      <c r="J369" s="9">
        <f>(F369*1000)/I369</f>
        <v>9112.904062678359</v>
      </c>
      <c r="K369" s="11">
        <v>1</v>
      </c>
      <c r="L369" s="11">
        <v>2</v>
      </c>
      <c r="M369" s="11">
        <v>2</v>
      </c>
    </row>
    <row r="370" spans="1:13" x14ac:dyDescent="0.25">
      <c r="A370" s="2">
        <f t="shared" si="27"/>
        <v>364</v>
      </c>
      <c r="B370" s="2">
        <v>201195</v>
      </c>
      <c r="C370" t="s">
        <v>661</v>
      </c>
      <c r="D370" t="s">
        <v>203</v>
      </c>
      <c r="E370" t="s">
        <v>60</v>
      </c>
      <c r="F370" s="9">
        <v>174763</v>
      </c>
      <c r="G370" s="9">
        <v>164541</v>
      </c>
      <c r="H370" s="1">
        <f t="shared" si="28"/>
        <v>6.2124333752681702</v>
      </c>
      <c r="I370" s="23">
        <v>3471</v>
      </c>
      <c r="J370" s="9">
        <f>(F370*1000)/I370</f>
        <v>50349.467012388362</v>
      </c>
      <c r="K370" s="11">
        <v>2</v>
      </c>
      <c r="L370" s="11">
        <v>2</v>
      </c>
      <c r="M370" s="11">
        <v>3</v>
      </c>
    </row>
    <row r="371" spans="1:13" x14ac:dyDescent="0.25">
      <c r="A371" s="2">
        <f t="shared" si="27"/>
        <v>365</v>
      </c>
      <c r="B371" s="2">
        <v>157818</v>
      </c>
      <c r="C371" t="s">
        <v>662</v>
      </c>
      <c r="D371" t="s">
        <v>154</v>
      </c>
      <c r="E371" t="s">
        <v>173</v>
      </c>
      <c r="F371" s="9">
        <v>174647</v>
      </c>
      <c r="G371" s="9">
        <v>179228</v>
      </c>
      <c r="H371" s="1">
        <f t="shared" si="28"/>
        <v>-2.5559622380431626</v>
      </c>
      <c r="I371" s="19">
        <v>966</v>
      </c>
      <c r="J371" s="9">
        <f>(F371*1000)/I371</f>
        <v>180793.99585921326</v>
      </c>
      <c r="K371" s="11">
        <v>2</v>
      </c>
      <c r="L371" s="11">
        <v>2</v>
      </c>
      <c r="M371" s="11">
        <v>4</v>
      </c>
    </row>
    <row r="372" spans="1:13" x14ac:dyDescent="0.25">
      <c r="A372" s="2">
        <f t="shared" si="27"/>
        <v>366</v>
      </c>
      <c r="B372" s="2">
        <v>111081</v>
      </c>
      <c r="C372" t="s">
        <v>663</v>
      </c>
      <c r="D372" t="s">
        <v>664</v>
      </c>
      <c r="E372" t="s">
        <v>14</v>
      </c>
      <c r="F372" s="9">
        <v>173336</v>
      </c>
      <c r="G372" s="9">
        <v>158497</v>
      </c>
      <c r="H372" s="1">
        <f t="shared" si="28"/>
        <v>9.3623223152488695</v>
      </c>
      <c r="I372" s="23">
        <v>1483.25</v>
      </c>
      <c r="J372" s="9">
        <f>(F372*1000)/I372</f>
        <v>116862.29563458622</v>
      </c>
      <c r="K372" s="11">
        <v>2</v>
      </c>
      <c r="L372" s="11">
        <v>2</v>
      </c>
      <c r="M372" s="11">
        <v>5</v>
      </c>
    </row>
    <row r="373" spans="1:13" x14ac:dyDescent="0.25">
      <c r="A373" s="2">
        <f t="shared" si="27"/>
        <v>367</v>
      </c>
      <c r="B373" s="2">
        <v>215132</v>
      </c>
      <c r="C373" t="s">
        <v>665</v>
      </c>
      <c r="D373" t="s">
        <v>21</v>
      </c>
      <c r="E373" t="s">
        <v>22</v>
      </c>
      <c r="F373" s="9">
        <v>172140</v>
      </c>
      <c r="G373" s="9">
        <v>168141</v>
      </c>
      <c r="H373" s="1">
        <f t="shared" si="28"/>
        <v>2.3783610184309598</v>
      </c>
      <c r="I373" s="23">
        <v>2231</v>
      </c>
      <c r="J373" s="9">
        <f>(F373*1000)/I373</f>
        <v>77158.225011205737</v>
      </c>
      <c r="K373" s="11">
        <v>2</v>
      </c>
      <c r="L373" s="11">
        <v>2</v>
      </c>
      <c r="M373" s="11">
        <v>5</v>
      </c>
    </row>
    <row r="374" spans="1:13" x14ac:dyDescent="0.25">
      <c r="A374" s="2">
        <f t="shared" si="27"/>
        <v>368</v>
      </c>
      <c r="B374" s="2">
        <v>177065</v>
      </c>
      <c r="C374" t="s">
        <v>666</v>
      </c>
      <c r="D374" t="s">
        <v>143</v>
      </c>
      <c r="E374" t="s">
        <v>45</v>
      </c>
      <c r="F374" s="9">
        <v>171661</v>
      </c>
      <c r="G374" s="9">
        <v>163323</v>
      </c>
      <c r="H374" s="1">
        <f t="shared" si="28"/>
        <v>5.1052209425494262</v>
      </c>
      <c r="I374" s="23">
        <v>8001</v>
      </c>
      <c r="J374" s="9">
        <v>17496.79</v>
      </c>
      <c r="K374" s="11">
        <v>2</v>
      </c>
      <c r="L374" s="11">
        <v>2</v>
      </c>
      <c r="M374" s="11">
        <v>3</v>
      </c>
    </row>
    <row r="375" spans="1:13" x14ac:dyDescent="0.25">
      <c r="A375" s="2">
        <f t="shared" si="27"/>
        <v>369</v>
      </c>
      <c r="B375" s="2">
        <v>232256</v>
      </c>
      <c r="C375" t="s">
        <v>667</v>
      </c>
      <c r="D375" t="s">
        <v>668</v>
      </c>
      <c r="E375" t="s">
        <v>52</v>
      </c>
      <c r="F375" s="9">
        <v>170668</v>
      </c>
      <c r="G375" s="9">
        <v>158476</v>
      </c>
      <c r="H375" s="1">
        <f t="shared" si="28"/>
        <v>7.6932784774981693</v>
      </c>
      <c r="I375" s="23">
        <v>1046</v>
      </c>
      <c r="J375" s="9">
        <f t="shared" ref="J375:J380" si="32">(F375*1000)/I375</f>
        <v>163162.52390057361</v>
      </c>
      <c r="K375" s="11">
        <v>2</v>
      </c>
      <c r="L375" s="11">
        <v>2</v>
      </c>
      <c r="M375" s="11">
        <v>4</v>
      </c>
    </row>
    <row r="376" spans="1:13" x14ac:dyDescent="0.25">
      <c r="A376" s="2">
        <f t="shared" si="27"/>
        <v>370</v>
      </c>
      <c r="B376" s="2">
        <v>143084</v>
      </c>
      <c r="C376" t="s">
        <v>669</v>
      </c>
      <c r="D376" t="s">
        <v>670</v>
      </c>
      <c r="E376" t="s">
        <v>29</v>
      </c>
      <c r="F376" s="9">
        <v>168134</v>
      </c>
      <c r="G376" s="9">
        <v>159525</v>
      </c>
      <c r="H376" s="1">
        <f t="shared" si="28"/>
        <v>5.3966462936843751</v>
      </c>
      <c r="I376" s="23">
        <v>2640</v>
      </c>
      <c r="J376" s="9">
        <f t="shared" si="32"/>
        <v>63687.121212121216</v>
      </c>
      <c r="K376" s="11">
        <v>2</v>
      </c>
      <c r="L376" s="11">
        <v>2</v>
      </c>
      <c r="M376" s="11">
        <v>4</v>
      </c>
    </row>
    <row r="377" spans="1:13" x14ac:dyDescent="0.25">
      <c r="A377" s="2">
        <f t="shared" si="27"/>
        <v>371</v>
      </c>
      <c r="B377" s="2">
        <v>153834</v>
      </c>
      <c r="C377" t="s">
        <v>671</v>
      </c>
      <c r="D377" t="s">
        <v>672</v>
      </c>
      <c r="E377" t="s">
        <v>113</v>
      </c>
      <c r="F377" s="9">
        <v>168035</v>
      </c>
      <c r="G377" s="9">
        <v>161826</v>
      </c>
      <c r="H377" s="1">
        <f t="shared" si="28"/>
        <v>3.8368370966346572</v>
      </c>
      <c r="I377" s="23">
        <v>2031</v>
      </c>
      <c r="J377" s="9">
        <f t="shared" si="32"/>
        <v>82735.105859182673</v>
      </c>
      <c r="K377" s="11">
        <v>2</v>
      </c>
      <c r="L377" s="11">
        <v>2</v>
      </c>
      <c r="M377" s="11">
        <v>4</v>
      </c>
    </row>
    <row r="378" spans="1:13" x14ac:dyDescent="0.25">
      <c r="A378" s="2">
        <f t="shared" si="27"/>
        <v>372</v>
      </c>
      <c r="B378" s="2">
        <v>168546</v>
      </c>
      <c r="C378" t="s">
        <v>673</v>
      </c>
      <c r="D378" t="s">
        <v>674</v>
      </c>
      <c r="E378" t="s">
        <v>26</v>
      </c>
      <c r="F378" s="9">
        <v>167983</v>
      </c>
      <c r="G378" s="9">
        <v>175619</v>
      </c>
      <c r="H378" s="1">
        <f t="shared" si="28"/>
        <v>-4.3480489013147778</v>
      </c>
      <c r="I378" s="23">
        <v>1560</v>
      </c>
      <c r="J378" s="9">
        <f t="shared" si="32"/>
        <v>107681.41025641025</v>
      </c>
      <c r="K378" s="11">
        <v>2</v>
      </c>
      <c r="L378" s="11">
        <v>2</v>
      </c>
      <c r="M378" s="11">
        <v>4</v>
      </c>
    </row>
    <row r="379" spans="1:13" x14ac:dyDescent="0.25">
      <c r="A379" s="2">
        <f t="shared" si="27"/>
        <v>373</v>
      </c>
      <c r="B379" s="2">
        <v>216278</v>
      </c>
      <c r="C379" t="s">
        <v>675</v>
      </c>
      <c r="D379" t="s">
        <v>676</v>
      </c>
      <c r="E379" t="s">
        <v>22</v>
      </c>
      <c r="F379" s="9">
        <v>167878</v>
      </c>
      <c r="G379" s="9">
        <v>159398</v>
      </c>
      <c r="H379" s="1">
        <f t="shared" si="28"/>
        <v>5.320016562315713</v>
      </c>
      <c r="I379" s="23">
        <v>2221</v>
      </c>
      <c r="J379" s="9">
        <f t="shared" si="32"/>
        <v>75586.67266996848</v>
      </c>
      <c r="K379" s="11">
        <v>2</v>
      </c>
      <c r="L379" s="11">
        <v>2</v>
      </c>
      <c r="M379" s="11">
        <v>4</v>
      </c>
    </row>
    <row r="380" spans="1:13" x14ac:dyDescent="0.25">
      <c r="A380" s="2">
        <f t="shared" si="27"/>
        <v>374</v>
      </c>
      <c r="B380" s="2">
        <v>130253</v>
      </c>
      <c r="C380" t="s">
        <v>677</v>
      </c>
      <c r="D380" t="s">
        <v>438</v>
      </c>
      <c r="E380" t="s">
        <v>11</v>
      </c>
      <c r="F380" s="9">
        <v>167404</v>
      </c>
      <c r="G380" s="9">
        <v>157505</v>
      </c>
      <c r="H380" s="1">
        <f t="shared" si="28"/>
        <v>6.2848798450842835</v>
      </c>
      <c r="I380" s="23">
        <v>6893</v>
      </c>
      <c r="J380" s="9">
        <f t="shared" si="32"/>
        <v>24286.087334977514</v>
      </c>
      <c r="K380" s="11">
        <v>2</v>
      </c>
      <c r="L380" s="11">
        <v>2</v>
      </c>
      <c r="M380" s="11">
        <v>3</v>
      </c>
    </row>
    <row r="381" spans="1:13" x14ac:dyDescent="0.25">
      <c r="A381" s="2">
        <f t="shared" si="27"/>
        <v>375</v>
      </c>
      <c r="B381" s="2">
        <v>139940</v>
      </c>
      <c r="C381" t="s">
        <v>678</v>
      </c>
      <c r="D381" t="s">
        <v>47</v>
      </c>
      <c r="E381" t="s">
        <v>48</v>
      </c>
      <c r="F381" s="9">
        <v>167114</v>
      </c>
      <c r="G381" s="9">
        <v>155303</v>
      </c>
      <c r="H381" s="1">
        <f t="shared" si="28"/>
        <v>7.6051331912455016</v>
      </c>
      <c r="I381" s="23">
        <v>42851</v>
      </c>
      <c r="J381" s="9">
        <v>3899.89</v>
      </c>
      <c r="K381" s="11">
        <v>1</v>
      </c>
      <c r="L381" s="11">
        <v>2</v>
      </c>
      <c r="M381" s="11">
        <v>2</v>
      </c>
    </row>
    <row r="382" spans="1:13" x14ac:dyDescent="0.25">
      <c r="A382" s="2">
        <f t="shared" si="27"/>
        <v>376</v>
      </c>
      <c r="B382" s="2">
        <v>132903</v>
      </c>
      <c r="C382" t="s">
        <v>679</v>
      </c>
      <c r="D382" t="s">
        <v>680</v>
      </c>
      <c r="E382" t="s">
        <v>138</v>
      </c>
      <c r="F382" s="9">
        <v>163462</v>
      </c>
      <c r="G382" s="9">
        <v>156863</v>
      </c>
      <c r="H382" s="1">
        <f t="shared" si="28"/>
        <v>4.206855663859546</v>
      </c>
      <c r="I382" s="23">
        <v>56820.1</v>
      </c>
      <c r="J382" s="9">
        <f>(F382*1000)/I382</f>
        <v>2876.8340780815242</v>
      </c>
      <c r="K382" s="11">
        <v>1</v>
      </c>
      <c r="L382" s="11">
        <v>2</v>
      </c>
      <c r="M382" s="11">
        <v>2</v>
      </c>
    </row>
    <row r="383" spans="1:13" x14ac:dyDescent="0.25">
      <c r="A383" s="2">
        <f t="shared" si="27"/>
        <v>377</v>
      </c>
      <c r="B383" s="2">
        <v>157951</v>
      </c>
      <c r="C383" t="s">
        <v>681</v>
      </c>
      <c r="D383" t="s">
        <v>682</v>
      </c>
      <c r="E383" t="s">
        <v>173</v>
      </c>
      <c r="F383" s="9">
        <v>163151</v>
      </c>
      <c r="G383" s="9">
        <v>152539</v>
      </c>
      <c r="H383" s="1">
        <f t="shared" si="28"/>
        <v>6.9569093805518598</v>
      </c>
      <c r="I383" s="23">
        <v>16140</v>
      </c>
      <c r="J383" s="9">
        <v>10108.49</v>
      </c>
      <c r="K383" s="11">
        <v>1</v>
      </c>
      <c r="L383" s="11">
        <v>2</v>
      </c>
      <c r="M383" s="11">
        <v>3</v>
      </c>
    </row>
    <row r="384" spans="1:13" x14ac:dyDescent="0.25">
      <c r="A384" s="2">
        <f t="shared" si="27"/>
        <v>378</v>
      </c>
      <c r="B384" s="12" t="s">
        <v>119</v>
      </c>
      <c r="C384" t="s">
        <v>683</v>
      </c>
      <c r="D384" t="s">
        <v>684</v>
      </c>
      <c r="E384" t="s">
        <v>37</v>
      </c>
      <c r="F384" s="9">
        <v>162806</v>
      </c>
      <c r="G384" s="9">
        <v>151719</v>
      </c>
      <c r="H384" s="1">
        <f t="shared" si="28"/>
        <v>7.3075883706061866</v>
      </c>
      <c r="I384" s="28" t="s">
        <v>119</v>
      </c>
      <c r="J384" s="25" t="s">
        <v>119</v>
      </c>
      <c r="K384" s="10" t="s">
        <v>119</v>
      </c>
      <c r="L384" s="10" t="s">
        <v>119</v>
      </c>
      <c r="M384" s="10" t="s">
        <v>119</v>
      </c>
    </row>
    <row r="385" spans="1:13" x14ac:dyDescent="0.25">
      <c r="A385" s="2">
        <f t="shared" si="27"/>
        <v>379</v>
      </c>
      <c r="B385" s="2">
        <v>110556</v>
      </c>
      <c r="C385" t="s">
        <v>685</v>
      </c>
      <c r="D385" t="s">
        <v>686</v>
      </c>
      <c r="E385" t="s">
        <v>14</v>
      </c>
      <c r="F385" s="9">
        <v>161564</v>
      </c>
      <c r="G385" s="9">
        <v>154415</v>
      </c>
      <c r="H385" s="1">
        <f t="shared" si="28"/>
        <v>4.6297315675290616</v>
      </c>
      <c r="I385" s="23">
        <v>23289</v>
      </c>
      <c r="J385" s="9">
        <f>(F385*1000)/I385</f>
        <v>6937.3523981278713</v>
      </c>
      <c r="K385" s="11">
        <v>1</v>
      </c>
      <c r="L385" s="11">
        <v>2</v>
      </c>
      <c r="M385" s="11">
        <v>2</v>
      </c>
    </row>
    <row r="386" spans="1:13" x14ac:dyDescent="0.25">
      <c r="A386" s="2">
        <f t="shared" si="27"/>
        <v>380</v>
      </c>
      <c r="B386" s="2">
        <v>169080</v>
      </c>
      <c r="C386" t="s">
        <v>687</v>
      </c>
      <c r="D386" t="s">
        <v>688</v>
      </c>
      <c r="E386" t="s">
        <v>26</v>
      </c>
      <c r="F386" s="9">
        <v>160769</v>
      </c>
      <c r="G386" s="9">
        <v>145672</v>
      </c>
      <c r="H386" s="1">
        <f t="shared" si="28"/>
        <v>10.363693777802185</v>
      </c>
      <c r="I386" s="23">
        <v>3661</v>
      </c>
      <c r="J386" s="9">
        <f>(F386*1000)/I386</f>
        <v>43913.957934990438</v>
      </c>
      <c r="K386" s="11">
        <v>2</v>
      </c>
      <c r="L386" s="11">
        <v>2</v>
      </c>
      <c r="M386" s="11">
        <v>4</v>
      </c>
    </row>
    <row r="387" spans="1:13" x14ac:dyDescent="0.25">
      <c r="A387" s="2">
        <f t="shared" si="27"/>
        <v>381</v>
      </c>
      <c r="B387" s="2">
        <v>146427</v>
      </c>
      <c r="C387" t="s">
        <v>689</v>
      </c>
      <c r="D387" t="s">
        <v>690</v>
      </c>
      <c r="E387" t="s">
        <v>29</v>
      </c>
      <c r="F387" s="9">
        <v>160084</v>
      </c>
      <c r="G387" s="9">
        <v>143246</v>
      </c>
      <c r="H387" s="1">
        <f t="shared" si="28"/>
        <v>11.754603967999106</v>
      </c>
      <c r="I387" s="23">
        <v>1341</v>
      </c>
      <c r="J387" s="9">
        <f>(F387*1000)/I387</f>
        <v>119376.5846383296</v>
      </c>
      <c r="K387" s="11">
        <v>2</v>
      </c>
      <c r="L387" s="11">
        <v>2</v>
      </c>
      <c r="M387" s="11">
        <v>4</v>
      </c>
    </row>
    <row r="388" spans="1:13" x14ac:dyDescent="0.25">
      <c r="A388" s="2">
        <f t="shared" si="27"/>
        <v>382</v>
      </c>
      <c r="B388" s="2">
        <v>220792</v>
      </c>
      <c r="C388" t="s">
        <v>691</v>
      </c>
      <c r="D388" t="s">
        <v>62</v>
      </c>
      <c r="E388" t="s">
        <v>63</v>
      </c>
      <c r="F388" s="9">
        <v>159908</v>
      </c>
      <c r="G388" s="9">
        <v>153653</v>
      </c>
      <c r="H388" s="1">
        <f t="shared" si="28"/>
        <v>4.0708609659427406</v>
      </c>
      <c r="I388" s="23">
        <v>826</v>
      </c>
      <c r="J388" s="9">
        <f>(F388*1000)/I388</f>
        <v>193593.22033898305</v>
      </c>
      <c r="K388" s="11">
        <v>2</v>
      </c>
      <c r="L388" s="11">
        <v>1</v>
      </c>
      <c r="M388" s="11">
        <v>5</v>
      </c>
    </row>
    <row r="389" spans="1:13" ht="17.25" x14ac:dyDescent="0.25">
      <c r="A389" s="2">
        <f t="shared" si="27"/>
        <v>383</v>
      </c>
      <c r="B389" s="2">
        <v>204635</v>
      </c>
      <c r="C389" t="s">
        <v>1460</v>
      </c>
      <c r="D389" t="s">
        <v>692</v>
      </c>
      <c r="E389" t="s">
        <v>60</v>
      </c>
      <c r="F389" s="9">
        <v>159600</v>
      </c>
      <c r="G389" s="9">
        <v>157200</v>
      </c>
      <c r="H389" s="1">
        <f t="shared" si="28"/>
        <v>1.5267175572519083</v>
      </c>
      <c r="I389" s="23">
        <v>2961</v>
      </c>
      <c r="J389" s="9">
        <v>53900.71</v>
      </c>
      <c r="K389" s="11">
        <v>2</v>
      </c>
      <c r="L389" s="11">
        <v>2</v>
      </c>
      <c r="M389" s="11">
        <v>4</v>
      </c>
    </row>
    <row r="390" spans="1:13" x14ac:dyDescent="0.25">
      <c r="A390" s="2">
        <f t="shared" si="27"/>
        <v>384</v>
      </c>
      <c r="B390" s="2">
        <v>156082</v>
      </c>
      <c r="C390" t="s">
        <v>693</v>
      </c>
      <c r="D390" t="s">
        <v>694</v>
      </c>
      <c r="E390" t="s">
        <v>132</v>
      </c>
      <c r="F390" s="9">
        <v>159487</v>
      </c>
      <c r="G390" s="9">
        <v>158020</v>
      </c>
      <c r="H390" s="1">
        <f t="shared" si="28"/>
        <v>0.92836349829135556</v>
      </c>
      <c r="I390" s="23">
        <v>5076</v>
      </c>
      <c r="J390" s="9">
        <v>31419.82</v>
      </c>
      <c r="K390" s="11">
        <v>1</v>
      </c>
      <c r="L390" s="11">
        <v>2</v>
      </c>
      <c r="M390" s="11">
        <v>3</v>
      </c>
    </row>
    <row r="391" spans="1:13" x14ac:dyDescent="0.25">
      <c r="A391" s="2">
        <f t="shared" si="27"/>
        <v>385</v>
      </c>
      <c r="B391" s="2">
        <v>154235</v>
      </c>
      <c r="C391" t="s">
        <v>695</v>
      </c>
      <c r="D391" t="s">
        <v>696</v>
      </c>
      <c r="E391" t="s">
        <v>113</v>
      </c>
      <c r="F391" s="9">
        <v>158227</v>
      </c>
      <c r="G391" s="9">
        <v>139838</v>
      </c>
      <c r="H391" s="1">
        <f t="shared" si="28"/>
        <v>13.150216679300334</v>
      </c>
      <c r="I391" s="23">
        <v>2850</v>
      </c>
      <c r="J391" s="9">
        <f t="shared" ref="J391:J396" si="33">(F391*1000)/I391</f>
        <v>55518.245614035084</v>
      </c>
      <c r="K391" s="11">
        <v>2</v>
      </c>
      <c r="L391" s="11">
        <v>2</v>
      </c>
      <c r="M391" s="11">
        <v>3</v>
      </c>
    </row>
    <row r="392" spans="1:13" x14ac:dyDescent="0.25">
      <c r="A392" s="2">
        <f t="shared" ref="A392:A455" si="34">RANK(F392,F$7:F$817,0)</f>
        <v>386</v>
      </c>
      <c r="B392" s="2">
        <v>183239</v>
      </c>
      <c r="C392" t="s">
        <v>697</v>
      </c>
      <c r="D392" t="s">
        <v>698</v>
      </c>
      <c r="E392" t="s">
        <v>287</v>
      </c>
      <c r="F392" s="9">
        <v>157951</v>
      </c>
      <c r="G392" s="9">
        <v>134655</v>
      </c>
      <c r="H392" s="1">
        <f t="shared" ref="H392:H455" si="35">((F392-G392)/G392)*100</f>
        <v>17.300508707437526</v>
      </c>
      <c r="I392" s="23">
        <v>1943</v>
      </c>
      <c r="J392" s="9">
        <f t="shared" si="33"/>
        <v>81292.331446217184</v>
      </c>
      <c r="K392" s="11">
        <v>2</v>
      </c>
      <c r="L392" s="11">
        <v>2</v>
      </c>
      <c r="M392" s="11">
        <v>4</v>
      </c>
    </row>
    <row r="393" spans="1:13" x14ac:dyDescent="0.25">
      <c r="A393" s="2">
        <f t="shared" si="34"/>
        <v>387</v>
      </c>
      <c r="B393" s="2">
        <v>225247</v>
      </c>
      <c r="C393" t="s">
        <v>699</v>
      </c>
      <c r="D393" t="s">
        <v>400</v>
      </c>
      <c r="E393" t="s">
        <v>8</v>
      </c>
      <c r="F393" s="9">
        <v>154625</v>
      </c>
      <c r="G393" s="9">
        <v>140858</v>
      </c>
      <c r="H393" s="1">
        <f t="shared" si="35"/>
        <v>9.7736727768390868</v>
      </c>
      <c r="I393" s="23">
        <v>2060</v>
      </c>
      <c r="J393" s="9">
        <f t="shared" si="33"/>
        <v>75060.679611650485</v>
      </c>
      <c r="K393" s="11">
        <v>2</v>
      </c>
      <c r="L393" s="11">
        <v>2</v>
      </c>
      <c r="M393" s="11">
        <v>3</v>
      </c>
    </row>
    <row r="394" spans="1:13" x14ac:dyDescent="0.25">
      <c r="A394" s="2">
        <f t="shared" si="34"/>
        <v>388</v>
      </c>
      <c r="B394" s="2">
        <v>110097</v>
      </c>
      <c r="C394" t="s">
        <v>700</v>
      </c>
      <c r="D394" t="s">
        <v>701</v>
      </c>
      <c r="E394" t="s">
        <v>14</v>
      </c>
      <c r="F394" s="9">
        <v>154555</v>
      </c>
      <c r="G394" s="9">
        <v>146411</v>
      </c>
      <c r="H394" s="1">
        <f t="shared" si="35"/>
        <v>5.5624235883915825</v>
      </c>
      <c r="I394" s="23">
        <v>5137.67</v>
      </c>
      <c r="J394" s="9">
        <f t="shared" si="33"/>
        <v>30082.702859467423</v>
      </c>
      <c r="K394" s="11">
        <v>2</v>
      </c>
      <c r="L394" s="11">
        <v>2</v>
      </c>
      <c r="M394" s="11">
        <v>2</v>
      </c>
    </row>
    <row r="395" spans="1:13" x14ac:dyDescent="0.25">
      <c r="A395" s="2">
        <f t="shared" si="34"/>
        <v>389</v>
      </c>
      <c r="B395" s="2">
        <v>233295</v>
      </c>
      <c r="C395" t="s">
        <v>702</v>
      </c>
      <c r="D395" t="s">
        <v>703</v>
      </c>
      <c r="E395" t="s">
        <v>52</v>
      </c>
      <c r="F395" s="9">
        <v>153927</v>
      </c>
      <c r="G395" s="9">
        <v>149139</v>
      </c>
      <c r="H395" s="1">
        <f t="shared" si="35"/>
        <v>3.2104278558928252</v>
      </c>
      <c r="I395" s="23">
        <v>1430</v>
      </c>
      <c r="J395" s="9">
        <f t="shared" si="33"/>
        <v>107641.25874125875</v>
      </c>
      <c r="K395" s="11">
        <v>2</v>
      </c>
      <c r="L395" s="11">
        <v>2</v>
      </c>
      <c r="M395" s="11">
        <v>4</v>
      </c>
    </row>
    <row r="396" spans="1:13" x14ac:dyDescent="0.25">
      <c r="A396" s="2">
        <f t="shared" si="34"/>
        <v>390</v>
      </c>
      <c r="B396" s="2">
        <v>237066</v>
      </c>
      <c r="C396" t="s">
        <v>704</v>
      </c>
      <c r="D396" t="s">
        <v>511</v>
      </c>
      <c r="E396" t="s">
        <v>87</v>
      </c>
      <c r="F396" s="9">
        <v>151179</v>
      </c>
      <c r="G396" s="9">
        <v>141885</v>
      </c>
      <c r="H396" s="1">
        <f t="shared" si="35"/>
        <v>6.5503753039433343</v>
      </c>
      <c r="I396" s="23">
        <v>2697</v>
      </c>
      <c r="J396" s="9">
        <f t="shared" si="33"/>
        <v>56054.505005561732</v>
      </c>
      <c r="K396" s="11">
        <v>2</v>
      </c>
      <c r="L396" s="11">
        <v>2</v>
      </c>
      <c r="M396" s="11">
        <v>3</v>
      </c>
    </row>
    <row r="397" spans="1:13" x14ac:dyDescent="0.25">
      <c r="A397" s="2">
        <f t="shared" si="34"/>
        <v>391</v>
      </c>
      <c r="B397" s="2">
        <v>177092</v>
      </c>
      <c r="C397" t="s">
        <v>705</v>
      </c>
      <c r="D397" t="s">
        <v>706</v>
      </c>
      <c r="E397" t="s">
        <v>45</v>
      </c>
      <c r="F397" s="9">
        <v>150615</v>
      </c>
      <c r="G397" s="9">
        <v>137842</v>
      </c>
      <c r="H397" s="1">
        <f t="shared" si="35"/>
        <v>9.2664064653733984</v>
      </c>
      <c r="I397" s="23">
        <v>350</v>
      </c>
      <c r="J397" s="9">
        <v>335445.43</v>
      </c>
      <c r="K397" s="11">
        <v>2</v>
      </c>
      <c r="L397" s="11">
        <v>2</v>
      </c>
      <c r="M397" s="11">
        <v>5</v>
      </c>
    </row>
    <row r="398" spans="1:13" x14ac:dyDescent="0.25">
      <c r="A398" s="2">
        <f t="shared" si="34"/>
        <v>392</v>
      </c>
      <c r="B398" s="2">
        <v>122755</v>
      </c>
      <c r="C398" t="s">
        <v>707</v>
      </c>
      <c r="D398" t="s">
        <v>708</v>
      </c>
      <c r="E398" t="s">
        <v>14</v>
      </c>
      <c r="F398" s="9">
        <v>150056</v>
      </c>
      <c r="G398" s="9">
        <v>142940</v>
      </c>
      <c r="H398" s="1">
        <f t="shared" si="35"/>
        <v>4.9783125787043518</v>
      </c>
      <c r="I398" s="23">
        <v>29934</v>
      </c>
      <c r="J398" s="9">
        <f>(F398*1000)/I398</f>
        <v>5012.8950357453059</v>
      </c>
      <c r="K398" s="11">
        <v>1</v>
      </c>
      <c r="L398" s="11">
        <v>2</v>
      </c>
      <c r="M398" s="11">
        <v>3</v>
      </c>
    </row>
    <row r="399" spans="1:13" x14ac:dyDescent="0.25">
      <c r="A399" s="2">
        <f t="shared" si="34"/>
        <v>393</v>
      </c>
      <c r="B399" s="2">
        <v>199412</v>
      </c>
      <c r="C399" t="s">
        <v>709</v>
      </c>
      <c r="D399" t="s">
        <v>576</v>
      </c>
      <c r="E399" t="s">
        <v>40</v>
      </c>
      <c r="F399" s="9">
        <v>149744</v>
      </c>
      <c r="G399" s="9">
        <v>142503</v>
      </c>
      <c r="H399" s="1">
        <f t="shared" si="35"/>
        <v>5.0812965341080538</v>
      </c>
      <c r="I399" s="23">
        <v>1920</v>
      </c>
      <c r="J399" s="9">
        <f>(F399*1000)/I399</f>
        <v>77991.666666666672</v>
      </c>
      <c r="K399" s="11">
        <v>2</v>
      </c>
      <c r="L399" s="11">
        <v>2</v>
      </c>
      <c r="M399" s="11">
        <v>3</v>
      </c>
    </row>
    <row r="400" spans="1:13" x14ac:dyDescent="0.25">
      <c r="A400" s="2">
        <f t="shared" si="34"/>
        <v>394</v>
      </c>
      <c r="B400" s="2">
        <v>156222</v>
      </c>
      <c r="C400" t="s">
        <v>710</v>
      </c>
      <c r="D400" t="s">
        <v>711</v>
      </c>
      <c r="E400" t="s">
        <v>173</v>
      </c>
      <c r="F400" s="9">
        <v>148291</v>
      </c>
      <c r="G400" s="9">
        <v>147683</v>
      </c>
      <c r="H400" s="1">
        <f t="shared" si="35"/>
        <v>0.41169261187814438</v>
      </c>
      <c r="I400" s="23">
        <v>1187</v>
      </c>
      <c r="J400" s="9">
        <f>(F400*1000)/I400</f>
        <v>124929.23336141533</v>
      </c>
      <c r="K400" s="11">
        <v>2</v>
      </c>
      <c r="L400" s="11">
        <v>2</v>
      </c>
      <c r="M400" s="11">
        <v>5</v>
      </c>
    </row>
    <row r="401" spans="1:13" x14ac:dyDescent="0.25">
      <c r="A401" s="2">
        <f t="shared" si="34"/>
        <v>395</v>
      </c>
      <c r="B401" s="2">
        <v>149222</v>
      </c>
      <c r="C401" t="s">
        <v>712</v>
      </c>
      <c r="D401" t="s">
        <v>713</v>
      </c>
      <c r="E401" t="s">
        <v>29</v>
      </c>
      <c r="F401" s="9">
        <v>145875</v>
      </c>
      <c r="G401" s="9">
        <v>129964</v>
      </c>
      <c r="H401" s="1">
        <f t="shared" si="35"/>
        <v>12.242621033516974</v>
      </c>
      <c r="I401" s="28" t="s">
        <v>119</v>
      </c>
      <c r="J401" s="13" t="s">
        <v>119</v>
      </c>
      <c r="K401" s="11">
        <v>1</v>
      </c>
      <c r="L401" s="11">
        <v>2</v>
      </c>
      <c r="M401" s="11">
        <v>2</v>
      </c>
    </row>
    <row r="402" spans="1:13" x14ac:dyDescent="0.25">
      <c r="A402" s="2">
        <f t="shared" si="34"/>
        <v>396</v>
      </c>
      <c r="B402" s="2">
        <v>239716</v>
      </c>
      <c r="C402" t="s">
        <v>714</v>
      </c>
      <c r="D402" t="s">
        <v>715</v>
      </c>
      <c r="E402" t="s">
        <v>80</v>
      </c>
      <c r="F402" s="9">
        <v>145808</v>
      </c>
      <c r="G402" s="9">
        <v>109171</v>
      </c>
      <c r="H402" s="1">
        <f t="shared" si="35"/>
        <v>33.559278562988339</v>
      </c>
      <c r="I402" s="23">
        <v>2087</v>
      </c>
      <c r="J402" s="9">
        <f t="shared" ref="J402:J415" si="36">(F402*1000)/I402</f>
        <v>69864.877815045518</v>
      </c>
      <c r="K402" s="11">
        <v>2</v>
      </c>
      <c r="L402" s="11">
        <v>2</v>
      </c>
      <c r="M402" s="11">
        <v>4</v>
      </c>
    </row>
    <row r="403" spans="1:13" x14ac:dyDescent="0.25">
      <c r="A403" s="2">
        <f t="shared" si="34"/>
        <v>397</v>
      </c>
      <c r="B403" s="2">
        <v>233426</v>
      </c>
      <c r="C403" t="s">
        <v>716</v>
      </c>
      <c r="D403" t="s">
        <v>520</v>
      </c>
      <c r="E403" t="s">
        <v>52</v>
      </c>
      <c r="F403" s="9">
        <v>145446</v>
      </c>
      <c r="G403" s="9">
        <v>135858</v>
      </c>
      <c r="H403" s="1">
        <f t="shared" si="35"/>
        <v>7.0573687232257214</v>
      </c>
      <c r="I403" s="23">
        <v>1994</v>
      </c>
      <c r="J403" s="9">
        <f t="shared" si="36"/>
        <v>72941.825476429294</v>
      </c>
      <c r="K403" s="11">
        <v>2</v>
      </c>
      <c r="L403" s="11">
        <v>2</v>
      </c>
      <c r="M403" s="11">
        <v>4</v>
      </c>
    </row>
    <row r="404" spans="1:13" x14ac:dyDescent="0.25">
      <c r="A404" s="2">
        <f t="shared" si="34"/>
        <v>398</v>
      </c>
      <c r="B404" s="2">
        <v>238333</v>
      </c>
      <c r="C404" t="s">
        <v>717</v>
      </c>
      <c r="D404" t="s">
        <v>718</v>
      </c>
      <c r="E404" t="s">
        <v>80</v>
      </c>
      <c r="F404" s="9">
        <v>145407</v>
      </c>
      <c r="G404" s="9">
        <v>155163</v>
      </c>
      <c r="H404" s="1">
        <f t="shared" si="35"/>
        <v>-6.2875814466077609</v>
      </c>
      <c r="I404" s="23">
        <v>1364.67</v>
      </c>
      <c r="J404" s="9">
        <f t="shared" si="36"/>
        <v>106551.03431598848</v>
      </c>
      <c r="K404" s="11">
        <v>2</v>
      </c>
      <c r="L404" s="11">
        <v>2</v>
      </c>
      <c r="M404" s="11">
        <v>4</v>
      </c>
    </row>
    <row r="405" spans="1:13" x14ac:dyDescent="0.25">
      <c r="A405" s="2">
        <f t="shared" si="34"/>
        <v>399</v>
      </c>
      <c r="B405" s="2">
        <v>140553</v>
      </c>
      <c r="C405" t="s">
        <v>719</v>
      </c>
      <c r="D405" t="s">
        <v>47</v>
      </c>
      <c r="E405" t="s">
        <v>48</v>
      </c>
      <c r="F405" s="9">
        <v>145139</v>
      </c>
      <c r="G405" s="9">
        <v>141429</v>
      </c>
      <c r="H405" s="1">
        <f t="shared" si="35"/>
        <v>2.6232243740675534</v>
      </c>
      <c r="I405" s="23">
        <v>2237</v>
      </c>
      <c r="J405" s="9">
        <f t="shared" si="36"/>
        <v>64881.090746535541</v>
      </c>
      <c r="K405" s="11">
        <v>2</v>
      </c>
      <c r="L405" s="11">
        <v>1</v>
      </c>
      <c r="M405" s="11">
        <v>4</v>
      </c>
    </row>
    <row r="406" spans="1:13" x14ac:dyDescent="0.25">
      <c r="A406" s="2">
        <f t="shared" si="34"/>
        <v>400</v>
      </c>
      <c r="B406" s="2">
        <v>119173</v>
      </c>
      <c r="C406" t="s">
        <v>720</v>
      </c>
      <c r="D406" t="s">
        <v>56</v>
      </c>
      <c r="E406" t="s">
        <v>14</v>
      </c>
      <c r="F406" s="9">
        <v>144875</v>
      </c>
      <c r="G406" s="9">
        <v>138522</v>
      </c>
      <c r="H406" s="1">
        <f t="shared" si="35"/>
        <v>4.5862751043155594</v>
      </c>
      <c r="I406" s="23">
        <v>3129</v>
      </c>
      <c r="J406" s="9">
        <f t="shared" si="36"/>
        <v>46300.735059124323</v>
      </c>
      <c r="K406" s="11">
        <v>2</v>
      </c>
      <c r="L406" s="11">
        <v>2</v>
      </c>
      <c r="M406" s="11">
        <v>3</v>
      </c>
    </row>
    <row r="407" spans="1:13" x14ac:dyDescent="0.25">
      <c r="A407" s="2">
        <f t="shared" si="34"/>
        <v>401</v>
      </c>
      <c r="B407" s="2">
        <v>179265</v>
      </c>
      <c r="C407" t="s">
        <v>721</v>
      </c>
      <c r="D407" t="s">
        <v>706</v>
      </c>
      <c r="E407" t="s">
        <v>45</v>
      </c>
      <c r="F407" s="9">
        <v>144532</v>
      </c>
      <c r="G407" s="9">
        <v>141241</v>
      </c>
      <c r="H407" s="1">
        <f t="shared" si="35"/>
        <v>2.3300599684227667</v>
      </c>
      <c r="I407" s="23">
        <v>1297</v>
      </c>
      <c r="J407" s="9">
        <f t="shared" si="36"/>
        <v>111435.62066306862</v>
      </c>
      <c r="K407" s="11">
        <v>2</v>
      </c>
      <c r="L407" s="11">
        <v>2</v>
      </c>
      <c r="M407" s="11">
        <v>5</v>
      </c>
    </row>
    <row r="408" spans="1:13" ht="17.25" x14ac:dyDescent="0.25">
      <c r="A408" s="2">
        <f t="shared" si="34"/>
        <v>402</v>
      </c>
      <c r="B408" s="12" t="s">
        <v>119</v>
      </c>
      <c r="C408" t="s">
        <v>1395</v>
      </c>
      <c r="D408" t="s">
        <v>722</v>
      </c>
      <c r="E408" t="s">
        <v>529</v>
      </c>
      <c r="F408" s="9">
        <v>144422</v>
      </c>
      <c r="G408" s="9">
        <v>133949</v>
      </c>
      <c r="H408" s="1">
        <f t="shared" si="35"/>
        <v>7.8186473956505838</v>
      </c>
      <c r="I408" s="23">
        <v>2119</v>
      </c>
      <c r="J408" s="9">
        <f t="shared" si="36"/>
        <v>68155.73383671543</v>
      </c>
      <c r="K408" s="10" t="s">
        <v>119</v>
      </c>
      <c r="L408" s="10" t="s">
        <v>119</v>
      </c>
      <c r="M408" s="10" t="s">
        <v>119</v>
      </c>
    </row>
    <row r="409" spans="1:13" x14ac:dyDescent="0.25">
      <c r="A409" s="2">
        <f t="shared" si="34"/>
        <v>403</v>
      </c>
      <c r="B409" s="2">
        <v>191931</v>
      </c>
      <c r="C409" t="s">
        <v>723</v>
      </c>
      <c r="D409" t="s">
        <v>724</v>
      </c>
      <c r="E409" t="s">
        <v>34</v>
      </c>
      <c r="F409" s="9">
        <v>143741</v>
      </c>
      <c r="G409" s="9">
        <v>130846</v>
      </c>
      <c r="H409" s="1">
        <f t="shared" si="35"/>
        <v>9.8550968313895737</v>
      </c>
      <c r="I409" s="23">
        <v>3457</v>
      </c>
      <c r="J409" s="9">
        <f t="shared" si="36"/>
        <v>41579.693375759329</v>
      </c>
      <c r="K409" s="11">
        <v>2</v>
      </c>
      <c r="L409" s="11">
        <v>2</v>
      </c>
      <c r="M409" s="11">
        <v>3</v>
      </c>
    </row>
    <row r="410" spans="1:13" x14ac:dyDescent="0.25">
      <c r="A410" s="2">
        <f t="shared" si="34"/>
        <v>404</v>
      </c>
      <c r="B410" s="2">
        <v>150756</v>
      </c>
      <c r="C410" t="s">
        <v>725</v>
      </c>
      <c r="D410" t="s">
        <v>726</v>
      </c>
      <c r="E410" t="s">
        <v>37</v>
      </c>
      <c r="F410" s="9">
        <v>143607</v>
      </c>
      <c r="G410" s="9">
        <v>142055</v>
      </c>
      <c r="H410" s="1">
        <f t="shared" si="35"/>
        <v>1.0925345816761114</v>
      </c>
      <c r="I410" s="23">
        <v>1084</v>
      </c>
      <c r="J410" s="9">
        <f t="shared" si="36"/>
        <v>132478.78228782289</v>
      </c>
      <c r="K410" s="11">
        <v>2</v>
      </c>
      <c r="L410" s="11">
        <v>2</v>
      </c>
      <c r="M410" s="11">
        <v>4</v>
      </c>
    </row>
    <row r="411" spans="1:13" x14ac:dyDescent="0.25">
      <c r="A411" s="2">
        <f t="shared" si="34"/>
        <v>405</v>
      </c>
      <c r="B411" s="2">
        <v>213996</v>
      </c>
      <c r="C411" t="s">
        <v>727</v>
      </c>
      <c r="D411" t="s">
        <v>728</v>
      </c>
      <c r="E411" t="s">
        <v>22</v>
      </c>
      <c r="F411" s="9">
        <v>142173</v>
      </c>
      <c r="G411" s="9">
        <v>138313</v>
      </c>
      <c r="H411" s="1">
        <f t="shared" si="35"/>
        <v>2.7907716555927498</v>
      </c>
      <c r="I411" s="23">
        <v>3286</v>
      </c>
      <c r="J411" s="9">
        <f t="shared" si="36"/>
        <v>43266.281192939743</v>
      </c>
      <c r="K411" s="11">
        <v>2</v>
      </c>
      <c r="L411" s="11">
        <v>2</v>
      </c>
      <c r="M411" s="11">
        <v>4</v>
      </c>
    </row>
    <row r="412" spans="1:13" x14ac:dyDescent="0.25">
      <c r="A412" s="2">
        <f t="shared" si="34"/>
        <v>406</v>
      </c>
      <c r="B412" s="2">
        <v>225627</v>
      </c>
      <c r="C412" t="s">
        <v>729</v>
      </c>
      <c r="D412" t="s">
        <v>193</v>
      </c>
      <c r="E412" t="s">
        <v>8</v>
      </c>
      <c r="F412" s="9">
        <v>142015</v>
      </c>
      <c r="G412" s="9">
        <v>132021</v>
      </c>
      <c r="H412" s="1">
        <f t="shared" si="35"/>
        <v>7.5700078017891093</v>
      </c>
      <c r="I412" s="23">
        <v>7463</v>
      </c>
      <c r="J412" s="9">
        <f t="shared" si="36"/>
        <v>19029.210773147526</v>
      </c>
      <c r="K412" s="11">
        <v>2</v>
      </c>
      <c r="L412" s="11">
        <v>2</v>
      </c>
      <c r="M412" s="11">
        <v>3</v>
      </c>
    </row>
    <row r="413" spans="1:13" x14ac:dyDescent="0.25">
      <c r="A413" s="2">
        <f t="shared" si="34"/>
        <v>407</v>
      </c>
      <c r="B413" s="2">
        <v>222983</v>
      </c>
      <c r="C413" t="s">
        <v>730</v>
      </c>
      <c r="D413" t="s">
        <v>731</v>
      </c>
      <c r="E413" t="s">
        <v>8</v>
      </c>
      <c r="F413" s="9">
        <v>141755</v>
      </c>
      <c r="G413" s="9">
        <v>131978</v>
      </c>
      <c r="H413" s="1">
        <f t="shared" si="35"/>
        <v>7.4080528572943978</v>
      </c>
      <c r="I413" s="23">
        <v>1223</v>
      </c>
      <c r="J413" s="9">
        <f t="shared" si="36"/>
        <v>115907.60425183974</v>
      </c>
      <c r="K413" s="11">
        <v>2</v>
      </c>
      <c r="L413" s="11">
        <v>2</v>
      </c>
      <c r="M413" s="11">
        <v>4</v>
      </c>
    </row>
    <row r="414" spans="1:13" x14ac:dyDescent="0.25">
      <c r="A414" s="2">
        <f t="shared" si="34"/>
        <v>408</v>
      </c>
      <c r="B414" s="2">
        <v>107044</v>
      </c>
      <c r="C414" t="s">
        <v>732</v>
      </c>
      <c r="D414" t="s">
        <v>733</v>
      </c>
      <c r="E414" t="s">
        <v>201</v>
      </c>
      <c r="F414" s="9">
        <v>141605</v>
      </c>
      <c r="G414" s="9">
        <v>128174</v>
      </c>
      <c r="H414" s="1">
        <f t="shared" si="35"/>
        <v>10.478724234244075</v>
      </c>
      <c r="I414" s="19">
        <v>4923</v>
      </c>
      <c r="J414" s="9">
        <f t="shared" si="36"/>
        <v>28763.965061954092</v>
      </c>
      <c r="K414" s="11">
        <v>2</v>
      </c>
      <c r="L414" s="11">
        <v>2</v>
      </c>
      <c r="M414" s="11">
        <v>3</v>
      </c>
    </row>
    <row r="415" spans="1:13" x14ac:dyDescent="0.25">
      <c r="A415" s="2">
        <f t="shared" si="34"/>
        <v>409</v>
      </c>
      <c r="B415" s="2">
        <v>121257</v>
      </c>
      <c r="C415" t="s">
        <v>734</v>
      </c>
      <c r="D415" t="s">
        <v>101</v>
      </c>
      <c r="E415" t="s">
        <v>14</v>
      </c>
      <c r="F415" s="9">
        <v>141465</v>
      </c>
      <c r="G415" s="9">
        <v>136599</v>
      </c>
      <c r="H415" s="1">
        <f t="shared" si="35"/>
        <v>3.5622515538181099</v>
      </c>
      <c r="I415" s="23">
        <v>1074</v>
      </c>
      <c r="J415" s="9">
        <f t="shared" si="36"/>
        <v>131717.87709497206</v>
      </c>
      <c r="K415" s="11">
        <v>2</v>
      </c>
      <c r="L415" s="11">
        <v>2</v>
      </c>
      <c r="M415" s="11">
        <v>4</v>
      </c>
    </row>
    <row r="416" spans="1:13" x14ac:dyDescent="0.25">
      <c r="A416" s="2">
        <f t="shared" si="34"/>
        <v>410</v>
      </c>
      <c r="B416" s="2">
        <v>230782</v>
      </c>
      <c r="C416" t="s">
        <v>735</v>
      </c>
      <c r="D416" t="s">
        <v>736</v>
      </c>
      <c r="E416" t="s">
        <v>206</v>
      </c>
      <c r="F416" s="9">
        <v>140781</v>
      </c>
      <c r="G416" s="9">
        <v>124283</v>
      </c>
      <c r="H416" s="1">
        <f t="shared" si="35"/>
        <v>13.274542777371002</v>
      </c>
      <c r="I416" s="31" t="s">
        <v>119</v>
      </c>
      <c r="J416" s="10" t="s">
        <v>119</v>
      </c>
      <c r="K416" s="11">
        <v>1</v>
      </c>
      <c r="L416" s="11">
        <v>2</v>
      </c>
      <c r="M416" s="11">
        <v>3</v>
      </c>
    </row>
    <row r="417" spans="1:13" x14ac:dyDescent="0.25">
      <c r="A417" s="2">
        <f t="shared" si="34"/>
        <v>411</v>
      </c>
      <c r="B417" s="2">
        <v>217484</v>
      </c>
      <c r="C417" t="s">
        <v>737</v>
      </c>
      <c r="D417" t="s">
        <v>274</v>
      </c>
      <c r="E417" t="s">
        <v>75</v>
      </c>
      <c r="F417" s="9">
        <v>139578</v>
      </c>
      <c r="G417" s="9">
        <v>128520</v>
      </c>
      <c r="H417" s="1">
        <f t="shared" si="35"/>
        <v>8.6041083099906626</v>
      </c>
      <c r="I417" s="31" t="s">
        <v>119</v>
      </c>
      <c r="J417" s="10" t="s">
        <v>119</v>
      </c>
      <c r="K417" s="11">
        <v>1</v>
      </c>
      <c r="L417" s="11">
        <v>2</v>
      </c>
      <c r="M417" s="11">
        <v>2</v>
      </c>
    </row>
    <row r="418" spans="1:13" x14ac:dyDescent="0.25">
      <c r="A418" s="2">
        <f t="shared" si="34"/>
        <v>412</v>
      </c>
      <c r="B418" s="2">
        <v>203517</v>
      </c>
      <c r="C418" t="s">
        <v>738</v>
      </c>
      <c r="D418" t="s">
        <v>739</v>
      </c>
      <c r="E418" t="s">
        <v>60</v>
      </c>
      <c r="F418" s="9">
        <v>138118</v>
      </c>
      <c r="G418" s="9">
        <v>129069</v>
      </c>
      <c r="H418" s="1">
        <f t="shared" si="35"/>
        <v>7.0109786238368628</v>
      </c>
      <c r="I418" s="31" t="s">
        <v>119</v>
      </c>
      <c r="J418" s="10" t="s">
        <v>119</v>
      </c>
      <c r="K418" s="11">
        <v>1</v>
      </c>
      <c r="L418" s="11">
        <v>2</v>
      </c>
      <c r="M418" s="11">
        <v>2</v>
      </c>
    </row>
    <row r="419" spans="1:13" x14ac:dyDescent="0.25">
      <c r="A419" s="2">
        <f t="shared" si="34"/>
        <v>413</v>
      </c>
      <c r="B419" s="2">
        <v>201441</v>
      </c>
      <c r="C419" t="s">
        <v>740</v>
      </c>
      <c r="D419" t="s">
        <v>682</v>
      </c>
      <c r="E419" t="s">
        <v>60</v>
      </c>
      <c r="F419" s="9">
        <v>138038</v>
      </c>
      <c r="G419" s="9">
        <v>131464</v>
      </c>
      <c r="H419" s="1">
        <f t="shared" si="35"/>
        <v>5.0006085316132172</v>
      </c>
      <c r="I419" s="23">
        <v>15395.91</v>
      </c>
      <c r="J419" s="9">
        <f t="shared" ref="J419:J429" si="37">(F419*1000)/I419</f>
        <v>8965.887693549781</v>
      </c>
      <c r="K419" s="11">
        <v>1</v>
      </c>
      <c r="L419" s="11">
        <v>2</v>
      </c>
      <c r="M419" s="11">
        <v>2</v>
      </c>
    </row>
    <row r="420" spans="1:13" x14ac:dyDescent="0.25">
      <c r="A420" s="2">
        <f t="shared" si="34"/>
        <v>414</v>
      </c>
      <c r="B420" s="2">
        <v>145691</v>
      </c>
      <c r="C420" t="s">
        <v>741</v>
      </c>
      <c r="D420" t="s">
        <v>742</v>
      </c>
      <c r="E420" t="s">
        <v>29</v>
      </c>
      <c r="F420" s="9">
        <v>137754</v>
      </c>
      <c r="G420" s="9">
        <v>137538</v>
      </c>
      <c r="H420" s="1">
        <f t="shared" si="35"/>
        <v>0.15704750687082844</v>
      </c>
      <c r="I420" s="23">
        <v>956</v>
      </c>
      <c r="J420" s="9">
        <f t="shared" si="37"/>
        <v>144094.14225941422</v>
      </c>
      <c r="K420" s="11">
        <v>2</v>
      </c>
      <c r="L420" s="11">
        <v>2</v>
      </c>
      <c r="M420" s="11">
        <v>4</v>
      </c>
    </row>
    <row r="421" spans="1:13" x14ac:dyDescent="0.25">
      <c r="A421" s="2">
        <f t="shared" si="34"/>
        <v>415</v>
      </c>
      <c r="B421" s="2">
        <v>165671</v>
      </c>
      <c r="C421" t="s">
        <v>743</v>
      </c>
      <c r="D421" t="s">
        <v>4</v>
      </c>
      <c r="E421" t="s">
        <v>5</v>
      </c>
      <c r="F421" s="9">
        <v>137310</v>
      </c>
      <c r="G421" s="9">
        <v>136563</v>
      </c>
      <c r="H421" s="1">
        <f t="shared" si="35"/>
        <v>0.54700028558247837</v>
      </c>
      <c r="I421" s="23">
        <v>2083</v>
      </c>
      <c r="J421" s="9">
        <f t="shared" si="37"/>
        <v>65919.347095535282</v>
      </c>
      <c r="K421" s="11">
        <v>2</v>
      </c>
      <c r="L421" s="11">
        <v>2</v>
      </c>
      <c r="M421" s="11">
        <v>4</v>
      </c>
    </row>
    <row r="422" spans="1:13" x14ac:dyDescent="0.25">
      <c r="A422" s="2">
        <f t="shared" si="34"/>
        <v>416</v>
      </c>
      <c r="B422" s="2">
        <v>204185</v>
      </c>
      <c r="C422" t="s">
        <v>744</v>
      </c>
      <c r="D422" t="s">
        <v>745</v>
      </c>
      <c r="E422" t="s">
        <v>60</v>
      </c>
      <c r="F422" s="9">
        <v>137060</v>
      </c>
      <c r="G422" s="9">
        <v>133651</v>
      </c>
      <c r="H422" s="1">
        <f t="shared" si="35"/>
        <v>2.5506730215262134</v>
      </c>
      <c r="I422" s="23">
        <v>2224</v>
      </c>
      <c r="J422" s="9">
        <f t="shared" si="37"/>
        <v>61627.697841726622</v>
      </c>
      <c r="K422" s="11">
        <v>2</v>
      </c>
      <c r="L422" s="11">
        <v>2</v>
      </c>
      <c r="M422" s="11">
        <v>4</v>
      </c>
    </row>
    <row r="423" spans="1:13" x14ac:dyDescent="0.25">
      <c r="A423" s="2">
        <f t="shared" si="34"/>
        <v>417</v>
      </c>
      <c r="B423" s="2">
        <v>179894</v>
      </c>
      <c r="C423" t="s">
        <v>746</v>
      </c>
      <c r="D423" t="s">
        <v>706</v>
      </c>
      <c r="E423" t="s">
        <v>45</v>
      </c>
      <c r="F423" s="9">
        <v>136792</v>
      </c>
      <c r="G423" s="9">
        <v>132311</v>
      </c>
      <c r="H423" s="1">
        <f t="shared" si="35"/>
        <v>3.3867176576399545</v>
      </c>
      <c r="I423" s="23">
        <v>8571</v>
      </c>
      <c r="J423" s="9">
        <f t="shared" si="37"/>
        <v>15959.864659899662</v>
      </c>
      <c r="K423" s="11">
        <v>2</v>
      </c>
      <c r="L423" s="11">
        <v>2</v>
      </c>
      <c r="M423" s="11">
        <v>3</v>
      </c>
    </row>
    <row r="424" spans="1:13" x14ac:dyDescent="0.25">
      <c r="A424" s="2">
        <f t="shared" si="34"/>
        <v>418</v>
      </c>
      <c r="B424" s="2">
        <v>190503</v>
      </c>
      <c r="C424" t="s">
        <v>747</v>
      </c>
      <c r="D424" t="s">
        <v>748</v>
      </c>
      <c r="E424" t="s">
        <v>34</v>
      </c>
      <c r="F424" s="9">
        <v>136379</v>
      </c>
      <c r="G424" s="9">
        <v>128640</v>
      </c>
      <c r="H424" s="1">
        <f t="shared" si="35"/>
        <v>6.0160136815920398</v>
      </c>
      <c r="I424" s="23">
        <v>4139</v>
      </c>
      <c r="J424" s="9">
        <f t="shared" si="37"/>
        <v>32949.746315535151</v>
      </c>
      <c r="K424" s="11">
        <v>2</v>
      </c>
      <c r="L424" s="11">
        <v>2</v>
      </c>
      <c r="M424" s="11">
        <v>5</v>
      </c>
    </row>
    <row r="425" spans="1:13" x14ac:dyDescent="0.25">
      <c r="A425" s="2">
        <f t="shared" si="34"/>
        <v>419</v>
      </c>
      <c r="B425" s="2">
        <v>216667</v>
      </c>
      <c r="C425" t="s">
        <v>749</v>
      </c>
      <c r="D425" t="s">
        <v>128</v>
      </c>
      <c r="E425" t="s">
        <v>22</v>
      </c>
      <c r="F425" s="9">
        <v>136362</v>
      </c>
      <c r="G425" s="9">
        <v>131026</v>
      </c>
      <c r="H425" s="1">
        <f t="shared" si="35"/>
        <v>4.0724741654328147</v>
      </c>
      <c r="I425" s="23">
        <v>1401</v>
      </c>
      <c r="J425" s="9">
        <f t="shared" si="37"/>
        <v>97331.905781584588</v>
      </c>
      <c r="K425" s="11">
        <v>2</v>
      </c>
      <c r="L425" s="11">
        <v>2</v>
      </c>
      <c r="M425" s="11">
        <v>4</v>
      </c>
    </row>
    <row r="426" spans="1:13" x14ac:dyDescent="0.25">
      <c r="A426" s="2">
        <f t="shared" si="34"/>
        <v>420</v>
      </c>
      <c r="B426" s="2">
        <v>173300</v>
      </c>
      <c r="C426" t="s">
        <v>750</v>
      </c>
      <c r="D426" t="s">
        <v>751</v>
      </c>
      <c r="E426" t="s">
        <v>72</v>
      </c>
      <c r="F426" s="9">
        <v>134703</v>
      </c>
      <c r="G426" s="9">
        <v>127789</v>
      </c>
      <c r="H426" s="1">
        <f t="shared" si="35"/>
        <v>5.4104813403344574</v>
      </c>
      <c r="I426" s="23">
        <v>2018</v>
      </c>
      <c r="J426" s="9">
        <f t="shared" si="37"/>
        <v>66750.743310208127</v>
      </c>
      <c r="K426" s="11">
        <v>2</v>
      </c>
      <c r="L426" s="11">
        <v>2</v>
      </c>
      <c r="M426" s="11">
        <v>4</v>
      </c>
    </row>
    <row r="427" spans="1:13" x14ac:dyDescent="0.25">
      <c r="A427" s="2">
        <f t="shared" si="34"/>
        <v>421</v>
      </c>
      <c r="B427" s="2">
        <v>133553</v>
      </c>
      <c r="C427" t="s">
        <v>752</v>
      </c>
      <c r="D427" t="s">
        <v>753</v>
      </c>
      <c r="E427" t="s">
        <v>138</v>
      </c>
      <c r="F427" s="9">
        <v>134498</v>
      </c>
      <c r="G427" s="9">
        <v>124599</v>
      </c>
      <c r="H427" s="1">
        <f t="shared" si="35"/>
        <v>7.9446865544667293</v>
      </c>
      <c r="I427" s="23">
        <v>16505</v>
      </c>
      <c r="J427" s="9">
        <f t="shared" si="37"/>
        <v>8148.9245683126328</v>
      </c>
      <c r="K427" s="11">
        <v>2</v>
      </c>
      <c r="L427" s="11">
        <v>2</v>
      </c>
      <c r="M427" s="11">
        <v>3</v>
      </c>
    </row>
    <row r="428" spans="1:13" x14ac:dyDescent="0.25">
      <c r="A428" s="2">
        <f t="shared" si="34"/>
        <v>422</v>
      </c>
      <c r="B428" s="2">
        <v>207403</v>
      </c>
      <c r="C428" t="s">
        <v>754</v>
      </c>
      <c r="D428" t="s">
        <v>755</v>
      </c>
      <c r="E428" t="s">
        <v>135</v>
      </c>
      <c r="F428" s="9">
        <v>134477</v>
      </c>
      <c r="G428" s="9">
        <v>126574</v>
      </c>
      <c r="H428" s="1">
        <f t="shared" si="35"/>
        <v>6.2437783431036387</v>
      </c>
      <c r="I428" s="23">
        <v>1959</v>
      </c>
      <c r="J428" s="9">
        <f t="shared" si="37"/>
        <v>68645.737621235327</v>
      </c>
      <c r="K428" s="11">
        <v>2</v>
      </c>
      <c r="L428" s="11">
        <v>2</v>
      </c>
      <c r="M428" s="11">
        <v>4</v>
      </c>
    </row>
    <row r="429" spans="1:13" x14ac:dyDescent="0.25">
      <c r="A429" s="2">
        <f t="shared" si="34"/>
        <v>423</v>
      </c>
      <c r="B429" s="2">
        <v>189705</v>
      </c>
      <c r="C429" t="s">
        <v>756</v>
      </c>
      <c r="D429" t="s">
        <v>309</v>
      </c>
      <c r="E429" t="s">
        <v>34</v>
      </c>
      <c r="F429" s="9">
        <v>132831</v>
      </c>
      <c r="G429" s="9">
        <v>124462</v>
      </c>
      <c r="H429" s="1">
        <f t="shared" si="35"/>
        <v>6.7241407015795991</v>
      </c>
      <c r="I429" s="23">
        <v>2336</v>
      </c>
      <c r="J429" s="9">
        <f t="shared" si="37"/>
        <v>56862.585616438359</v>
      </c>
      <c r="K429" s="11">
        <v>2</v>
      </c>
      <c r="L429" s="11">
        <v>2</v>
      </c>
      <c r="M429" s="11">
        <v>3</v>
      </c>
    </row>
    <row r="430" spans="1:13" x14ac:dyDescent="0.25">
      <c r="A430" s="2">
        <f t="shared" si="34"/>
        <v>424</v>
      </c>
      <c r="B430" s="2">
        <v>221740</v>
      </c>
      <c r="C430" t="s">
        <v>757</v>
      </c>
      <c r="D430" t="s">
        <v>758</v>
      </c>
      <c r="E430" t="s">
        <v>63</v>
      </c>
      <c r="F430" s="9">
        <v>131752</v>
      </c>
      <c r="G430" s="9">
        <v>123956</v>
      </c>
      <c r="H430" s="1">
        <f t="shared" si="35"/>
        <v>6.2893284713930759</v>
      </c>
      <c r="I430" s="31" t="s">
        <v>119</v>
      </c>
      <c r="J430" s="10" t="s">
        <v>119</v>
      </c>
      <c r="K430" s="11">
        <v>1</v>
      </c>
      <c r="L430" s="11">
        <v>2</v>
      </c>
      <c r="M430" s="11">
        <v>3</v>
      </c>
    </row>
    <row r="431" spans="1:13" x14ac:dyDescent="0.25">
      <c r="A431" s="2">
        <f t="shared" si="34"/>
        <v>425</v>
      </c>
      <c r="B431" s="2">
        <v>164270</v>
      </c>
      <c r="C431" t="s">
        <v>759</v>
      </c>
      <c r="D431" t="s">
        <v>760</v>
      </c>
      <c r="E431" t="s">
        <v>66</v>
      </c>
      <c r="F431" s="9">
        <v>131738</v>
      </c>
      <c r="G431" s="9">
        <v>120462</v>
      </c>
      <c r="H431" s="1">
        <f t="shared" si="35"/>
        <v>9.3606282479122047</v>
      </c>
      <c r="I431" s="23">
        <v>2074</v>
      </c>
      <c r="J431" s="9">
        <f>(F431*1000)/I431</f>
        <v>63518.804243008679</v>
      </c>
      <c r="K431" s="11">
        <v>2</v>
      </c>
      <c r="L431" s="11">
        <v>2</v>
      </c>
      <c r="M431" s="11">
        <v>4</v>
      </c>
    </row>
    <row r="432" spans="1:13" x14ac:dyDescent="0.25">
      <c r="A432" s="2">
        <f t="shared" si="34"/>
        <v>426</v>
      </c>
      <c r="B432" s="2">
        <v>151290</v>
      </c>
      <c r="C432" t="s">
        <v>761</v>
      </c>
      <c r="D432" t="s">
        <v>762</v>
      </c>
      <c r="E432" t="s">
        <v>37</v>
      </c>
      <c r="F432" s="9">
        <v>131111</v>
      </c>
      <c r="G432" s="9">
        <v>123182</v>
      </c>
      <c r="H432" s="1">
        <f t="shared" si="35"/>
        <v>6.4368170674286826</v>
      </c>
      <c r="I432" s="23">
        <v>5828</v>
      </c>
      <c r="J432" s="9">
        <f>(F432*1000)/I432</f>
        <v>22496.739876458476</v>
      </c>
      <c r="K432" s="11">
        <v>2</v>
      </c>
      <c r="L432" s="11">
        <v>2</v>
      </c>
      <c r="M432" s="11">
        <v>5</v>
      </c>
    </row>
    <row r="433" spans="1:13" x14ac:dyDescent="0.25">
      <c r="A433" s="2">
        <f t="shared" si="34"/>
        <v>427</v>
      </c>
      <c r="B433" s="2">
        <v>188641</v>
      </c>
      <c r="C433" t="s">
        <v>763</v>
      </c>
      <c r="D433" t="s">
        <v>764</v>
      </c>
      <c r="E433" t="s">
        <v>34</v>
      </c>
      <c r="F433" s="9">
        <v>129318</v>
      </c>
      <c r="G433" s="9">
        <v>118619</v>
      </c>
      <c r="H433" s="1">
        <f t="shared" si="35"/>
        <v>9.0196342913024061</v>
      </c>
      <c r="I433" s="23">
        <v>2059</v>
      </c>
      <c r="J433" s="9">
        <f>(F433*1000)/I433</f>
        <v>62806.216610004856</v>
      </c>
      <c r="K433" s="11">
        <v>2</v>
      </c>
      <c r="L433" s="11">
        <v>2</v>
      </c>
      <c r="M433" s="11">
        <v>3</v>
      </c>
    </row>
    <row r="434" spans="1:13" x14ac:dyDescent="0.25">
      <c r="A434" s="2">
        <f t="shared" si="34"/>
        <v>428</v>
      </c>
      <c r="B434" s="2">
        <v>145813</v>
      </c>
      <c r="C434" t="s">
        <v>765</v>
      </c>
      <c r="D434" t="s">
        <v>766</v>
      </c>
      <c r="E434" t="s">
        <v>29</v>
      </c>
      <c r="F434" s="9">
        <v>128825</v>
      </c>
      <c r="G434" s="9">
        <v>113044</v>
      </c>
      <c r="H434" s="1">
        <f t="shared" si="35"/>
        <v>13.960050953610983</v>
      </c>
      <c r="I434" s="23">
        <v>20784</v>
      </c>
      <c r="J434" s="9">
        <f>(F434*1000)/I434</f>
        <v>6198.277521170131</v>
      </c>
      <c r="K434" s="11">
        <v>1</v>
      </c>
      <c r="L434" s="11">
        <v>2</v>
      </c>
      <c r="M434" s="11">
        <v>2</v>
      </c>
    </row>
    <row r="435" spans="1:13" x14ac:dyDescent="0.25">
      <c r="A435" s="2">
        <f t="shared" si="34"/>
        <v>429</v>
      </c>
      <c r="B435" s="2">
        <v>154095</v>
      </c>
      <c r="C435" t="s">
        <v>767</v>
      </c>
      <c r="D435" t="s">
        <v>768</v>
      </c>
      <c r="E435" t="s">
        <v>113</v>
      </c>
      <c r="F435" s="9">
        <v>128458</v>
      </c>
      <c r="G435" s="9">
        <v>118393</v>
      </c>
      <c r="H435" s="1">
        <f t="shared" si="35"/>
        <v>8.5013472080275019</v>
      </c>
      <c r="I435" s="31" t="s">
        <v>119</v>
      </c>
      <c r="J435" s="10" t="s">
        <v>119</v>
      </c>
      <c r="K435" s="11">
        <v>1</v>
      </c>
      <c r="L435" s="11">
        <v>2</v>
      </c>
      <c r="M435" s="11">
        <v>3</v>
      </c>
    </row>
    <row r="436" spans="1:13" x14ac:dyDescent="0.25">
      <c r="A436" s="2">
        <f t="shared" si="34"/>
        <v>430</v>
      </c>
      <c r="B436" s="2">
        <v>237525</v>
      </c>
      <c r="C436" t="s">
        <v>769</v>
      </c>
      <c r="D436" t="s">
        <v>770</v>
      </c>
      <c r="E436" t="s">
        <v>335</v>
      </c>
      <c r="F436" s="9">
        <v>127891</v>
      </c>
      <c r="G436" s="9">
        <v>123206</v>
      </c>
      <c r="H436" s="1">
        <f t="shared" si="35"/>
        <v>3.8025745499407493</v>
      </c>
      <c r="I436" s="31" t="s">
        <v>119</v>
      </c>
      <c r="J436" s="10" t="s">
        <v>119</v>
      </c>
      <c r="K436" s="11">
        <v>1</v>
      </c>
      <c r="L436" s="11">
        <v>2</v>
      </c>
      <c r="M436" s="11">
        <v>3</v>
      </c>
    </row>
    <row r="437" spans="1:13" x14ac:dyDescent="0.25">
      <c r="A437" s="2">
        <f t="shared" si="34"/>
        <v>431</v>
      </c>
      <c r="B437" s="2">
        <v>170082</v>
      </c>
      <c r="C437" t="s">
        <v>771</v>
      </c>
      <c r="D437" t="s">
        <v>772</v>
      </c>
      <c r="E437" t="s">
        <v>26</v>
      </c>
      <c r="F437" s="9">
        <v>127801</v>
      </c>
      <c r="G437" s="9">
        <v>116994</v>
      </c>
      <c r="H437" s="1">
        <f t="shared" si="35"/>
        <v>9.2372258406414005</v>
      </c>
      <c r="I437" s="23">
        <v>22201</v>
      </c>
      <c r="J437" s="9">
        <f>(F437*1000)/I437</f>
        <v>5756.5424980856715</v>
      </c>
      <c r="K437" s="11">
        <v>1</v>
      </c>
      <c r="L437" s="11">
        <v>2</v>
      </c>
      <c r="M437" s="11">
        <v>3</v>
      </c>
    </row>
    <row r="438" spans="1:13" x14ac:dyDescent="0.25">
      <c r="A438" s="2">
        <f t="shared" si="34"/>
        <v>432</v>
      </c>
      <c r="B438" s="2">
        <v>223001</v>
      </c>
      <c r="C438" t="s">
        <v>1475</v>
      </c>
      <c r="D438" t="s">
        <v>7</v>
      </c>
      <c r="E438" t="s">
        <v>8</v>
      </c>
      <c r="F438" s="9">
        <v>125838</v>
      </c>
      <c r="G438" s="9">
        <v>123190</v>
      </c>
      <c r="H438" s="1">
        <f t="shared" si="35"/>
        <v>2.1495251237925155</v>
      </c>
      <c r="I438" s="19">
        <v>107</v>
      </c>
      <c r="J438" s="9">
        <f>(F438*1000)/I438</f>
        <v>1176056.0747663551</v>
      </c>
      <c r="K438" s="11">
        <v>2</v>
      </c>
      <c r="L438" s="11">
        <v>2</v>
      </c>
      <c r="M438" s="11">
        <v>5</v>
      </c>
    </row>
    <row r="439" spans="1:13" x14ac:dyDescent="0.25">
      <c r="A439" s="2">
        <f t="shared" si="34"/>
        <v>433</v>
      </c>
      <c r="B439" s="2">
        <v>209065</v>
      </c>
      <c r="C439" t="s">
        <v>773</v>
      </c>
      <c r="D439" t="s">
        <v>774</v>
      </c>
      <c r="E439" t="s">
        <v>254</v>
      </c>
      <c r="F439" s="9">
        <v>124538</v>
      </c>
      <c r="G439" s="9">
        <v>113841</v>
      </c>
      <c r="H439" s="1">
        <f t="shared" si="35"/>
        <v>9.3964388928417701</v>
      </c>
      <c r="I439" s="23">
        <v>1954</v>
      </c>
      <c r="J439" s="9">
        <f>(F439*1000)/I439</f>
        <v>63734.902763561928</v>
      </c>
      <c r="K439" s="11">
        <v>2</v>
      </c>
      <c r="L439" s="11">
        <v>2</v>
      </c>
      <c r="M439" s="11">
        <v>4</v>
      </c>
    </row>
    <row r="440" spans="1:13" x14ac:dyDescent="0.25">
      <c r="A440" s="2">
        <f t="shared" si="34"/>
        <v>434</v>
      </c>
      <c r="B440" s="2">
        <v>219356</v>
      </c>
      <c r="C440" t="s">
        <v>775</v>
      </c>
      <c r="D440" t="s">
        <v>776</v>
      </c>
      <c r="E440" t="s">
        <v>542</v>
      </c>
      <c r="F440" s="9">
        <v>124098</v>
      </c>
      <c r="G440" s="9">
        <v>113294</v>
      </c>
      <c r="H440" s="1">
        <f t="shared" si="35"/>
        <v>9.5362508164598303</v>
      </c>
      <c r="I440" s="31" t="s">
        <v>119</v>
      </c>
      <c r="J440" s="10" t="s">
        <v>119</v>
      </c>
      <c r="K440" s="11">
        <v>1</v>
      </c>
      <c r="L440" s="11">
        <v>2</v>
      </c>
      <c r="M440" s="11">
        <v>2</v>
      </c>
    </row>
    <row r="441" spans="1:13" x14ac:dyDescent="0.25">
      <c r="A441" s="2">
        <f t="shared" si="34"/>
        <v>435</v>
      </c>
      <c r="B441" s="2">
        <v>168591</v>
      </c>
      <c r="C441" t="s">
        <v>777</v>
      </c>
      <c r="D441" t="s">
        <v>778</v>
      </c>
      <c r="E441" t="s">
        <v>26</v>
      </c>
      <c r="F441" s="9">
        <v>124002</v>
      </c>
      <c r="G441" s="9">
        <v>120713</v>
      </c>
      <c r="H441" s="1">
        <f t="shared" si="35"/>
        <v>2.7246444044966163</v>
      </c>
      <c r="I441" s="23">
        <v>1404</v>
      </c>
      <c r="J441" s="9">
        <f t="shared" ref="J441:J447" si="38">(F441*1000)/I441</f>
        <v>88320.512820512828</v>
      </c>
      <c r="K441" s="11">
        <v>2</v>
      </c>
      <c r="L441" s="11">
        <v>2</v>
      </c>
      <c r="M441" s="11">
        <v>4</v>
      </c>
    </row>
    <row r="442" spans="1:13" x14ac:dyDescent="0.25">
      <c r="A442" s="2">
        <f t="shared" si="34"/>
        <v>436</v>
      </c>
      <c r="B442" s="2">
        <v>213251</v>
      </c>
      <c r="C442" t="s">
        <v>779</v>
      </c>
      <c r="D442" t="s">
        <v>780</v>
      </c>
      <c r="E442" t="s">
        <v>22</v>
      </c>
      <c r="F442" s="9">
        <v>123067</v>
      </c>
      <c r="G442" s="9">
        <v>119798</v>
      </c>
      <c r="H442" s="1">
        <f t="shared" si="35"/>
        <v>2.728760079467103</v>
      </c>
      <c r="I442" s="23">
        <v>1442.2</v>
      </c>
      <c r="J442" s="9">
        <f t="shared" si="38"/>
        <v>85332.824850922203</v>
      </c>
      <c r="K442" s="11">
        <v>2</v>
      </c>
      <c r="L442" s="11">
        <v>2</v>
      </c>
      <c r="M442" s="11">
        <v>4</v>
      </c>
    </row>
    <row r="443" spans="1:13" x14ac:dyDescent="0.25">
      <c r="A443" s="2">
        <f t="shared" si="34"/>
        <v>437</v>
      </c>
      <c r="B443" s="2">
        <v>220075</v>
      </c>
      <c r="C443" t="s">
        <v>781</v>
      </c>
      <c r="D443" t="s">
        <v>782</v>
      </c>
      <c r="E443" t="s">
        <v>63</v>
      </c>
      <c r="F443" s="9">
        <v>122862</v>
      </c>
      <c r="G443" s="9">
        <v>114302</v>
      </c>
      <c r="H443" s="1">
        <f t="shared" si="35"/>
        <v>7.4889328270721425</v>
      </c>
      <c r="I443" s="23">
        <v>11935</v>
      </c>
      <c r="J443" s="9">
        <f t="shared" si="38"/>
        <v>10294.260578131545</v>
      </c>
      <c r="K443" s="11">
        <v>1</v>
      </c>
      <c r="L443" s="11">
        <v>2</v>
      </c>
      <c r="M443" s="11">
        <v>2</v>
      </c>
    </row>
    <row r="444" spans="1:13" x14ac:dyDescent="0.25">
      <c r="A444" s="2">
        <f t="shared" si="34"/>
        <v>438</v>
      </c>
      <c r="B444" s="2">
        <v>216807</v>
      </c>
      <c r="C444" t="s">
        <v>783</v>
      </c>
      <c r="D444" t="s">
        <v>784</v>
      </c>
      <c r="E444" t="s">
        <v>22</v>
      </c>
      <c r="F444" s="9">
        <v>122798</v>
      </c>
      <c r="G444" s="9">
        <v>118107</v>
      </c>
      <c r="H444" s="1">
        <f t="shared" si="35"/>
        <v>3.971822161260552</v>
      </c>
      <c r="I444" s="23">
        <v>1258</v>
      </c>
      <c r="J444" s="9">
        <f t="shared" si="38"/>
        <v>97613.672496025436</v>
      </c>
      <c r="K444" s="11">
        <v>2</v>
      </c>
      <c r="L444" s="11">
        <v>2</v>
      </c>
      <c r="M444" s="11">
        <v>4</v>
      </c>
    </row>
    <row r="445" spans="1:13" x14ac:dyDescent="0.25">
      <c r="A445" s="2">
        <f t="shared" si="34"/>
        <v>439</v>
      </c>
      <c r="B445" s="2">
        <v>153001</v>
      </c>
      <c r="C445" t="s">
        <v>785</v>
      </c>
      <c r="D445" t="s">
        <v>786</v>
      </c>
      <c r="E445" t="s">
        <v>113</v>
      </c>
      <c r="F445" s="9">
        <v>122555</v>
      </c>
      <c r="G445" s="9">
        <v>125528</v>
      </c>
      <c r="H445" s="1">
        <f t="shared" si="35"/>
        <v>-2.3683958957364095</v>
      </c>
      <c r="I445" s="23">
        <v>1697</v>
      </c>
      <c r="J445" s="9">
        <f t="shared" si="38"/>
        <v>72218.621096051851</v>
      </c>
      <c r="K445" s="11">
        <v>2</v>
      </c>
      <c r="L445" s="11">
        <v>2</v>
      </c>
      <c r="M445" s="11">
        <v>4</v>
      </c>
    </row>
    <row r="446" spans="1:13" x14ac:dyDescent="0.25">
      <c r="A446" s="2">
        <f t="shared" si="34"/>
        <v>440</v>
      </c>
      <c r="B446" s="2">
        <v>148487</v>
      </c>
      <c r="C446" t="s">
        <v>787</v>
      </c>
      <c r="D446" t="s">
        <v>42</v>
      </c>
      <c r="E446" t="s">
        <v>29</v>
      </c>
      <c r="F446" s="9">
        <v>122246</v>
      </c>
      <c r="G446" s="9">
        <v>109643</v>
      </c>
      <c r="H446" s="1">
        <f t="shared" si="35"/>
        <v>11.494577857227547</v>
      </c>
      <c r="I446" s="23">
        <v>2579</v>
      </c>
      <c r="J446" s="9">
        <f t="shared" si="38"/>
        <v>47400.542846064367</v>
      </c>
      <c r="K446" s="11">
        <v>2</v>
      </c>
      <c r="L446" s="11">
        <v>2</v>
      </c>
      <c r="M446" s="11">
        <v>3</v>
      </c>
    </row>
    <row r="447" spans="1:13" x14ac:dyDescent="0.25">
      <c r="A447" s="2">
        <f t="shared" si="34"/>
        <v>441</v>
      </c>
      <c r="B447" s="2">
        <v>185828</v>
      </c>
      <c r="C447" t="s">
        <v>788</v>
      </c>
      <c r="D447" t="s">
        <v>165</v>
      </c>
      <c r="E447" t="s">
        <v>17</v>
      </c>
      <c r="F447" s="9">
        <v>120068</v>
      </c>
      <c r="G447" s="9">
        <v>111434</v>
      </c>
      <c r="H447" s="1">
        <f t="shared" si="35"/>
        <v>7.7480840676992662</v>
      </c>
      <c r="I447" s="23">
        <v>9291</v>
      </c>
      <c r="J447" s="9">
        <f t="shared" si="38"/>
        <v>12923.043805833602</v>
      </c>
      <c r="K447" s="11">
        <v>1</v>
      </c>
      <c r="L447" s="11">
        <v>2</v>
      </c>
      <c r="M447" s="11">
        <v>2</v>
      </c>
    </row>
    <row r="448" spans="1:13" x14ac:dyDescent="0.25">
      <c r="A448" s="2">
        <f t="shared" si="34"/>
        <v>442</v>
      </c>
      <c r="B448" s="2">
        <v>107141</v>
      </c>
      <c r="C448" t="s">
        <v>789</v>
      </c>
      <c r="D448" t="s">
        <v>790</v>
      </c>
      <c r="E448" t="s">
        <v>201</v>
      </c>
      <c r="F448" s="9">
        <v>120037</v>
      </c>
      <c r="G448" s="9">
        <v>113297</v>
      </c>
      <c r="H448" s="1">
        <f t="shared" si="35"/>
        <v>5.948965992038624</v>
      </c>
      <c r="I448" s="31" t="s">
        <v>119</v>
      </c>
      <c r="J448" s="10" t="s">
        <v>119</v>
      </c>
      <c r="K448" s="11">
        <v>2</v>
      </c>
      <c r="L448" s="11">
        <v>2</v>
      </c>
      <c r="M448" s="11">
        <v>3</v>
      </c>
    </row>
    <row r="449" spans="1:13" x14ac:dyDescent="0.25">
      <c r="A449" s="2">
        <f t="shared" si="34"/>
        <v>443</v>
      </c>
      <c r="B449" s="2">
        <v>102368</v>
      </c>
      <c r="C449" t="s">
        <v>791</v>
      </c>
      <c r="D449" t="s">
        <v>792</v>
      </c>
      <c r="E449" t="s">
        <v>161</v>
      </c>
      <c r="F449" s="9">
        <v>120007</v>
      </c>
      <c r="G449" s="9">
        <v>104409</v>
      </c>
      <c r="H449" s="1">
        <f t="shared" si="35"/>
        <v>14.939325153961825</v>
      </c>
      <c r="I449" s="31" t="s">
        <v>119</v>
      </c>
      <c r="J449" s="10" t="s">
        <v>119</v>
      </c>
      <c r="K449" s="11">
        <v>1</v>
      </c>
      <c r="L449" s="11">
        <v>2</v>
      </c>
      <c r="M449" s="11">
        <v>3</v>
      </c>
    </row>
    <row r="450" spans="1:13" x14ac:dyDescent="0.25">
      <c r="A450" s="2">
        <f t="shared" si="34"/>
        <v>444</v>
      </c>
      <c r="B450" s="2">
        <v>227881</v>
      </c>
      <c r="C450" t="s">
        <v>793</v>
      </c>
      <c r="D450" t="s">
        <v>794</v>
      </c>
      <c r="E450" t="s">
        <v>8</v>
      </c>
      <c r="F450" s="9">
        <v>118129</v>
      </c>
      <c r="G450" s="9">
        <v>105445</v>
      </c>
      <c r="H450" s="1">
        <f t="shared" si="35"/>
        <v>12.029019868177723</v>
      </c>
      <c r="I450" s="23">
        <v>17259</v>
      </c>
      <c r="J450" s="9">
        <f>(F450*1000)/I450</f>
        <v>6844.4869343530909</v>
      </c>
      <c r="K450" s="11">
        <v>1</v>
      </c>
      <c r="L450" s="11">
        <v>2</v>
      </c>
      <c r="M450" s="11">
        <v>2</v>
      </c>
    </row>
    <row r="451" spans="1:13" x14ac:dyDescent="0.25">
      <c r="A451" s="2">
        <f t="shared" si="34"/>
        <v>445</v>
      </c>
      <c r="B451" s="2">
        <v>125763</v>
      </c>
      <c r="C451" t="s">
        <v>795</v>
      </c>
      <c r="D451" t="s">
        <v>796</v>
      </c>
      <c r="E451" t="s">
        <v>14</v>
      </c>
      <c r="F451" s="9">
        <v>116996</v>
      </c>
      <c r="G451" s="9">
        <v>97215</v>
      </c>
      <c r="H451" s="1">
        <f t="shared" si="35"/>
        <v>20.347682970734969</v>
      </c>
      <c r="I451" s="23">
        <v>1884</v>
      </c>
      <c r="J451" s="9">
        <f>(F451*1000)/I451</f>
        <v>62099.787685774943</v>
      </c>
      <c r="K451" s="11">
        <v>2</v>
      </c>
      <c r="L451" s="11">
        <v>2</v>
      </c>
      <c r="M451" s="11">
        <v>4</v>
      </c>
    </row>
    <row r="452" spans="1:13" x14ac:dyDescent="0.25">
      <c r="A452" s="2">
        <f t="shared" si="34"/>
        <v>446</v>
      </c>
      <c r="B452" s="2">
        <v>206525</v>
      </c>
      <c r="C452" t="s">
        <v>797</v>
      </c>
      <c r="D452" t="s">
        <v>798</v>
      </c>
      <c r="E452" t="s">
        <v>60</v>
      </c>
      <c r="F452" s="9">
        <v>115956</v>
      </c>
      <c r="G452" s="9">
        <v>106595</v>
      </c>
      <c r="H452" s="1">
        <f t="shared" si="35"/>
        <v>8.7818377972700414</v>
      </c>
      <c r="I452" s="23">
        <v>1859</v>
      </c>
      <c r="J452" s="9">
        <f>(F452*1000)/I452</f>
        <v>62375.470683162988</v>
      </c>
      <c r="K452" s="11">
        <v>2</v>
      </c>
      <c r="L452" s="11">
        <v>2</v>
      </c>
      <c r="M452" s="11">
        <v>4</v>
      </c>
    </row>
    <row r="453" spans="1:13" x14ac:dyDescent="0.25">
      <c r="A453" s="2">
        <f t="shared" si="34"/>
        <v>447</v>
      </c>
      <c r="B453" s="2">
        <v>147660</v>
      </c>
      <c r="C453" t="s">
        <v>799</v>
      </c>
      <c r="D453" t="s">
        <v>800</v>
      </c>
      <c r="E453" t="s">
        <v>29</v>
      </c>
      <c r="F453" s="9">
        <v>115883</v>
      </c>
      <c r="G453" s="9">
        <v>108862</v>
      </c>
      <c r="H453" s="1">
        <f t="shared" si="35"/>
        <v>6.4494497620841074</v>
      </c>
      <c r="I453" s="23">
        <v>2861</v>
      </c>
      <c r="J453" s="9">
        <f>(F453*1000)/I453</f>
        <v>40504.369101712691</v>
      </c>
      <c r="K453" s="11">
        <v>2</v>
      </c>
      <c r="L453" s="11">
        <v>2</v>
      </c>
      <c r="M453" s="11">
        <v>3</v>
      </c>
    </row>
    <row r="454" spans="1:13" x14ac:dyDescent="0.25">
      <c r="A454" s="2">
        <f t="shared" si="34"/>
        <v>448</v>
      </c>
      <c r="B454" s="2">
        <v>171128</v>
      </c>
      <c r="C454" t="s">
        <v>801</v>
      </c>
      <c r="D454" t="s">
        <v>802</v>
      </c>
      <c r="E454" t="s">
        <v>26</v>
      </c>
      <c r="F454" s="9">
        <v>115254</v>
      </c>
      <c r="G454" s="9">
        <v>106419</v>
      </c>
      <c r="H454" s="1">
        <f t="shared" si="35"/>
        <v>8.3020889126941633</v>
      </c>
      <c r="I454" s="23">
        <v>6828</v>
      </c>
      <c r="J454" s="9">
        <f>(F454*1000)/I454</f>
        <v>16879.613356766258</v>
      </c>
      <c r="K454" s="11">
        <v>1</v>
      </c>
      <c r="L454" s="11">
        <v>2</v>
      </c>
      <c r="M454" s="11">
        <v>2</v>
      </c>
    </row>
    <row r="455" spans="1:13" x14ac:dyDescent="0.25">
      <c r="A455" s="2">
        <f t="shared" si="34"/>
        <v>449</v>
      </c>
      <c r="B455" s="2">
        <v>107558</v>
      </c>
      <c r="C455" t="s">
        <v>803</v>
      </c>
      <c r="D455" t="s">
        <v>804</v>
      </c>
      <c r="E455" t="s">
        <v>201</v>
      </c>
      <c r="F455" s="9">
        <v>114828</v>
      </c>
      <c r="G455" s="9">
        <v>110874</v>
      </c>
      <c r="H455" s="1">
        <f t="shared" si="35"/>
        <v>3.5662102927647599</v>
      </c>
      <c r="I455" s="19">
        <v>755</v>
      </c>
      <c r="J455" s="9">
        <v>170367.95</v>
      </c>
      <c r="K455" s="11">
        <v>2</v>
      </c>
      <c r="L455" s="11">
        <v>2</v>
      </c>
      <c r="M455" s="11">
        <v>4</v>
      </c>
    </row>
    <row r="456" spans="1:13" x14ac:dyDescent="0.25">
      <c r="A456" s="2">
        <f t="shared" ref="A456:A519" si="39">RANK(F456,F$7:F$817,0)</f>
        <v>450</v>
      </c>
      <c r="B456" s="2">
        <v>147341</v>
      </c>
      <c r="C456" t="s">
        <v>805</v>
      </c>
      <c r="D456" t="s">
        <v>806</v>
      </c>
      <c r="E456" t="s">
        <v>29</v>
      </c>
      <c r="F456" s="9">
        <v>114796</v>
      </c>
      <c r="G456" s="9">
        <v>109758</v>
      </c>
      <c r="H456" s="1">
        <f t="shared" ref="H456:H519" si="40">((F456-G456)/G456)*100</f>
        <v>4.5900982160753658</v>
      </c>
      <c r="I456" s="23">
        <v>1022</v>
      </c>
      <c r="J456" s="9">
        <f>(F456*1000)/I456</f>
        <v>112324.85322896282</v>
      </c>
      <c r="K456" s="11">
        <v>2</v>
      </c>
      <c r="L456" s="11">
        <v>2</v>
      </c>
      <c r="M456" s="11">
        <v>4</v>
      </c>
    </row>
    <row r="457" spans="1:13" x14ac:dyDescent="0.25">
      <c r="A457" s="2">
        <f t="shared" si="39"/>
        <v>451</v>
      </c>
      <c r="B457" s="2">
        <v>196079</v>
      </c>
      <c r="C457" t="s">
        <v>807</v>
      </c>
      <c r="D457" t="s">
        <v>808</v>
      </c>
      <c r="E457" t="s">
        <v>34</v>
      </c>
      <c r="F457" s="9">
        <v>114286</v>
      </c>
      <c r="G457" s="9">
        <v>106051</v>
      </c>
      <c r="H457" s="1">
        <f t="shared" si="40"/>
        <v>7.7651318705151295</v>
      </c>
      <c r="I457" s="23">
        <v>15982</v>
      </c>
      <c r="J457" s="9">
        <v>7150.92</v>
      </c>
      <c r="K457" s="11">
        <v>1</v>
      </c>
      <c r="L457" s="11">
        <v>2</v>
      </c>
      <c r="M457" s="11">
        <v>2</v>
      </c>
    </row>
    <row r="458" spans="1:13" x14ac:dyDescent="0.25">
      <c r="A458" s="2">
        <f t="shared" si="39"/>
        <v>452</v>
      </c>
      <c r="B458" s="2">
        <v>236577</v>
      </c>
      <c r="C458" t="s">
        <v>809</v>
      </c>
      <c r="D458" t="s">
        <v>86</v>
      </c>
      <c r="E458" t="s">
        <v>87</v>
      </c>
      <c r="F458" s="9">
        <v>114116</v>
      </c>
      <c r="G458" s="9">
        <v>103489</v>
      </c>
      <c r="H458" s="1">
        <f t="shared" si="40"/>
        <v>10.268724212235117</v>
      </c>
      <c r="I458" s="23">
        <v>3727.2</v>
      </c>
      <c r="J458" s="9">
        <f t="shared" ref="J458:J465" si="41">(F458*1000)/I458</f>
        <v>30617.085211418762</v>
      </c>
      <c r="K458" s="11">
        <v>2</v>
      </c>
      <c r="L458" s="11">
        <v>2</v>
      </c>
      <c r="M458" s="11">
        <v>2</v>
      </c>
    </row>
    <row r="459" spans="1:13" x14ac:dyDescent="0.25">
      <c r="A459" s="2">
        <f t="shared" si="39"/>
        <v>453</v>
      </c>
      <c r="B459" s="2">
        <v>181020</v>
      </c>
      <c r="C459" t="s">
        <v>810</v>
      </c>
      <c r="D459" t="s">
        <v>811</v>
      </c>
      <c r="E459" t="s">
        <v>141</v>
      </c>
      <c r="F459" s="9">
        <v>112859</v>
      </c>
      <c r="G459" s="9">
        <v>111741</v>
      </c>
      <c r="H459" s="1">
        <f t="shared" si="40"/>
        <v>1.0005280067298485</v>
      </c>
      <c r="I459" s="23">
        <v>1069</v>
      </c>
      <c r="J459" s="9">
        <f t="shared" si="41"/>
        <v>105574.36856875585</v>
      </c>
      <c r="K459" s="11">
        <v>2</v>
      </c>
      <c r="L459" s="11">
        <v>2</v>
      </c>
      <c r="M459" s="11">
        <v>4</v>
      </c>
    </row>
    <row r="460" spans="1:13" x14ac:dyDescent="0.25">
      <c r="A460" s="2">
        <f t="shared" si="39"/>
        <v>454</v>
      </c>
      <c r="B460" s="2">
        <v>195304</v>
      </c>
      <c r="C460" t="s">
        <v>812</v>
      </c>
      <c r="D460" t="s">
        <v>813</v>
      </c>
      <c r="E460" t="s">
        <v>34</v>
      </c>
      <c r="F460" s="9">
        <v>112735</v>
      </c>
      <c r="G460" s="9">
        <v>104316</v>
      </c>
      <c r="H460" s="1">
        <f t="shared" si="40"/>
        <v>8.0706698876490659</v>
      </c>
      <c r="I460" s="23">
        <v>1658</v>
      </c>
      <c r="J460" s="9">
        <f t="shared" si="41"/>
        <v>67994.571773220741</v>
      </c>
      <c r="K460" s="11">
        <v>2</v>
      </c>
      <c r="L460" s="11">
        <v>2</v>
      </c>
      <c r="M460" s="11">
        <v>4</v>
      </c>
    </row>
    <row r="461" spans="1:13" x14ac:dyDescent="0.25">
      <c r="A461" s="2">
        <f t="shared" si="39"/>
        <v>455</v>
      </c>
      <c r="B461" s="2">
        <v>168227</v>
      </c>
      <c r="C461" t="s">
        <v>814</v>
      </c>
      <c r="D461" t="s">
        <v>4</v>
      </c>
      <c r="E461" t="s">
        <v>5</v>
      </c>
      <c r="F461" s="9">
        <v>112634</v>
      </c>
      <c r="G461" s="9">
        <v>94092</v>
      </c>
      <c r="H461" s="1">
        <f t="shared" si="40"/>
        <v>19.706244951749351</v>
      </c>
      <c r="I461" s="23">
        <v>4233</v>
      </c>
      <c r="J461" s="9">
        <f t="shared" si="41"/>
        <v>26608.551854476729</v>
      </c>
      <c r="K461" s="11">
        <v>2</v>
      </c>
      <c r="L461" s="11">
        <v>2</v>
      </c>
      <c r="M461" s="11">
        <v>3</v>
      </c>
    </row>
    <row r="462" spans="1:13" x14ac:dyDescent="0.25">
      <c r="A462" s="2">
        <f t="shared" si="39"/>
        <v>456</v>
      </c>
      <c r="B462" s="2">
        <v>198950</v>
      </c>
      <c r="C462" t="s">
        <v>815</v>
      </c>
      <c r="D462" t="s">
        <v>191</v>
      </c>
      <c r="E462" t="s">
        <v>40</v>
      </c>
      <c r="F462" s="9">
        <v>112550</v>
      </c>
      <c r="G462" s="9">
        <v>103514</v>
      </c>
      <c r="H462" s="1">
        <f t="shared" si="40"/>
        <v>8.729254013949804</v>
      </c>
      <c r="I462" s="23">
        <v>1856</v>
      </c>
      <c r="J462" s="9">
        <f t="shared" si="41"/>
        <v>60641.163793103449</v>
      </c>
      <c r="K462" s="11">
        <v>2</v>
      </c>
      <c r="L462" s="11">
        <v>2</v>
      </c>
      <c r="M462" s="11">
        <v>4</v>
      </c>
    </row>
    <row r="463" spans="1:13" x14ac:dyDescent="0.25">
      <c r="A463" s="2">
        <f t="shared" si="39"/>
        <v>457</v>
      </c>
      <c r="B463" s="2">
        <v>136172</v>
      </c>
      <c r="C463" t="s">
        <v>816</v>
      </c>
      <c r="D463" t="s">
        <v>742</v>
      </c>
      <c r="E463" t="s">
        <v>138</v>
      </c>
      <c r="F463" s="9">
        <v>112498</v>
      </c>
      <c r="G463" s="9">
        <v>106179</v>
      </c>
      <c r="H463" s="1">
        <f t="shared" si="40"/>
        <v>5.9512709669520341</v>
      </c>
      <c r="I463" s="23">
        <v>10214</v>
      </c>
      <c r="J463" s="9">
        <f t="shared" si="41"/>
        <v>11014.098296455844</v>
      </c>
      <c r="K463" s="11">
        <v>1</v>
      </c>
      <c r="L463" s="11">
        <v>2</v>
      </c>
      <c r="M463" s="11">
        <v>3</v>
      </c>
    </row>
    <row r="464" spans="1:13" x14ac:dyDescent="0.25">
      <c r="A464" s="2">
        <f t="shared" si="39"/>
        <v>458</v>
      </c>
      <c r="B464" s="2">
        <v>196884</v>
      </c>
      <c r="C464" t="s">
        <v>817</v>
      </c>
      <c r="D464" t="s">
        <v>33</v>
      </c>
      <c r="E464" t="s">
        <v>34</v>
      </c>
      <c r="F464" s="9">
        <v>112309</v>
      </c>
      <c r="G464" s="9">
        <v>107941</v>
      </c>
      <c r="H464" s="1">
        <f t="shared" si="40"/>
        <v>4.0466551171473304</v>
      </c>
      <c r="I464" s="23">
        <v>225</v>
      </c>
      <c r="J464" s="9">
        <f t="shared" si="41"/>
        <v>499151.11111111112</v>
      </c>
      <c r="K464" s="11">
        <v>2</v>
      </c>
      <c r="L464" s="11">
        <v>2</v>
      </c>
      <c r="M464" s="11">
        <v>5</v>
      </c>
    </row>
    <row r="465" spans="1:13" x14ac:dyDescent="0.25">
      <c r="A465" s="2">
        <f t="shared" si="39"/>
        <v>459</v>
      </c>
      <c r="B465" s="2">
        <v>150668</v>
      </c>
      <c r="C465" t="s">
        <v>818</v>
      </c>
      <c r="D465" t="s">
        <v>819</v>
      </c>
      <c r="E465" t="s">
        <v>37</v>
      </c>
      <c r="F465" s="9">
        <v>112179</v>
      </c>
      <c r="G465" s="9">
        <v>107351</v>
      </c>
      <c r="H465" s="1">
        <f t="shared" si="40"/>
        <v>4.4973963912772117</v>
      </c>
      <c r="I465" s="23">
        <v>869.6</v>
      </c>
      <c r="J465" s="9">
        <f t="shared" si="41"/>
        <v>129000.6899724011</v>
      </c>
      <c r="K465" s="11">
        <v>2</v>
      </c>
      <c r="L465" s="11">
        <v>2</v>
      </c>
      <c r="M465" s="11">
        <v>4</v>
      </c>
    </row>
    <row r="466" spans="1:13" x14ac:dyDescent="0.25">
      <c r="A466" s="2">
        <f t="shared" si="39"/>
        <v>460</v>
      </c>
      <c r="B466" s="2">
        <v>177117</v>
      </c>
      <c r="C466" t="s">
        <v>820</v>
      </c>
      <c r="D466" t="s">
        <v>821</v>
      </c>
      <c r="E466" t="s">
        <v>45</v>
      </c>
      <c r="F466" s="9">
        <v>111273</v>
      </c>
      <c r="G466" s="9">
        <v>106392</v>
      </c>
      <c r="H466" s="1">
        <f t="shared" si="40"/>
        <v>4.5877509587187006</v>
      </c>
      <c r="I466" s="23">
        <v>275.8</v>
      </c>
      <c r="J466" s="9">
        <v>381071.92</v>
      </c>
      <c r="K466" s="11">
        <v>2</v>
      </c>
      <c r="L466" s="11">
        <v>2</v>
      </c>
      <c r="M466" s="11">
        <v>4</v>
      </c>
    </row>
    <row r="467" spans="1:13" x14ac:dyDescent="0.25">
      <c r="A467" s="2">
        <f t="shared" si="39"/>
        <v>461</v>
      </c>
      <c r="B467" s="2">
        <v>110608</v>
      </c>
      <c r="C467" t="s">
        <v>822</v>
      </c>
      <c r="D467" t="s">
        <v>823</v>
      </c>
      <c r="E467" t="s">
        <v>14</v>
      </c>
      <c r="F467" s="9">
        <v>110710</v>
      </c>
      <c r="G467" s="9">
        <v>102611</v>
      </c>
      <c r="H467" s="1">
        <f t="shared" si="40"/>
        <v>7.8929159641753799</v>
      </c>
      <c r="I467" s="23">
        <v>32801</v>
      </c>
      <c r="J467" s="9">
        <f t="shared" ref="J467:J472" si="42">(F467*1000)/I467</f>
        <v>3375.2019755495257</v>
      </c>
      <c r="K467" s="11">
        <v>1</v>
      </c>
      <c r="L467" s="11">
        <v>2</v>
      </c>
      <c r="M467" s="11">
        <v>3</v>
      </c>
    </row>
    <row r="468" spans="1:13" x14ac:dyDescent="0.25">
      <c r="A468" s="2">
        <f t="shared" si="39"/>
        <v>462</v>
      </c>
      <c r="B468" s="2">
        <v>144962</v>
      </c>
      <c r="C468" t="s">
        <v>824</v>
      </c>
      <c r="D468" t="s">
        <v>825</v>
      </c>
      <c r="E468" t="s">
        <v>29</v>
      </c>
      <c r="F468" s="9">
        <v>109610</v>
      </c>
      <c r="G468" s="9">
        <v>96950</v>
      </c>
      <c r="H468" s="1">
        <f t="shared" si="40"/>
        <v>13.058277462609594</v>
      </c>
      <c r="I468" s="23">
        <v>3481</v>
      </c>
      <c r="J468" s="9">
        <f t="shared" si="42"/>
        <v>31488.078138465957</v>
      </c>
      <c r="K468" s="11">
        <v>2</v>
      </c>
      <c r="L468" s="11">
        <v>2</v>
      </c>
      <c r="M468" s="11">
        <v>3</v>
      </c>
    </row>
    <row r="469" spans="1:13" x14ac:dyDescent="0.25">
      <c r="A469" s="2">
        <f t="shared" si="39"/>
        <v>463</v>
      </c>
      <c r="B469" s="2">
        <v>232609</v>
      </c>
      <c r="C469" t="s">
        <v>826</v>
      </c>
      <c r="D469" t="s">
        <v>163</v>
      </c>
      <c r="E469" t="s">
        <v>52</v>
      </c>
      <c r="F469" s="9">
        <v>109550</v>
      </c>
      <c r="G469" s="9">
        <v>104307</v>
      </c>
      <c r="H469" s="1">
        <f t="shared" si="40"/>
        <v>5.0265082880343597</v>
      </c>
      <c r="I469" s="23">
        <v>2495</v>
      </c>
      <c r="J469" s="9">
        <f t="shared" si="42"/>
        <v>43907.815631262521</v>
      </c>
      <c r="K469" s="11">
        <v>2</v>
      </c>
      <c r="L469" s="11">
        <v>2</v>
      </c>
      <c r="M469" s="11">
        <v>3</v>
      </c>
    </row>
    <row r="470" spans="1:13" x14ac:dyDescent="0.25">
      <c r="A470" s="2">
        <f t="shared" si="39"/>
        <v>464</v>
      </c>
      <c r="B470" s="2">
        <v>238476</v>
      </c>
      <c r="C470" t="s">
        <v>827</v>
      </c>
      <c r="D470" t="s">
        <v>828</v>
      </c>
      <c r="E470" t="s">
        <v>80</v>
      </c>
      <c r="F470" s="9">
        <v>108980</v>
      </c>
      <c r="G470" s="9">
        <v>99944</v>
      </c>
      <c r="H470" s="1">
        <f t="shared" si="40"/>
        <v>9.041062995277354</v>
      </c>
      <c r="I470" s="23">
        <v>2714</v>
      </c>
      <c r="J470" s="9">
        <f t="shared" si="42"/>
        <v>40154.753131908619</v>
      </c>
      <c r="K470" s="11">
        <v>2</v>
      </c>
      <c r="L470" s="11">
        <v>2</v>
      </c>
      <c r="M470" s="11">
        <v>4</v>
      </c>
    </row>
    <row r="471" spans="1:13" x14ac:dyDescent="0.25">
      <c r="A471" s="2">
        <f t="shared" si="39"/>
        <v>465</v>
      </c>
      <c r="B471" s="2">
        <v>164562</v>
      </c>
      <c r="C471" t="s">
        <v>829</v>
      </c>
      <c r="D471" t="s">
        <v>280</v>
      </c>
      <c r="E471" t="s">
        <v>5</v>
      </c>
      <c r="F471" s="9">
        <v>108439</v>
      </c>
      <c r="G471" s="9">
        <v>102544</v>
      </c>
      <c r="H471" s="1">
        <f t="shared" si="40"/>
        <v>5.7487517553440473</v>
      </c>
      <c r="I471" s="23">
        <v>2213</v>
      </c>
      <c r="J471" s="9">
        <f t="shared" si="42"/>
        <v>49000.903750564845</v>
      </c>
      <c r="K471" s="11">
        <v>2</v>
      </c>
      <c r="L471" s="11">
        <v>2</v>
      </c>
      <c r="M471" s="11">
        <v>3</v>
      </c>
    </row>
    <row r="472" spans="1:13" x14ac:dyDescent="0.25">
      <c r="A472" s="2">
        <f t="shared" si="39"/>
        <v>466</v>
      </c>
      <c r="B472" s="2">
        <v>147244</v>
      </c>
      <c r="C472" t="s">
        <v>830</v>
      </c>
      <c r="D472" t="s">
        <v>554</v>
      </c>
      <c r="E472" t="s">
        <v>29</v>
      </c>
      <c r="F472" s="9">
        <v>108327</v>
      </c>
      <c r="G472" s="9">
        <v>108424</v>
      </c>
      <c r="H472" s="1">
        <f t="shared" si="40"/>
        <v>-8.9463587397624139E-2</v>
      </c>
      <c r="I472" s="23">
        <v>2324</v>
      </c>
      <c r="J472" s="9">
        <f t="shared" si="42"/>
        <v>46612.306368330464</v>
      </c>
      <c r="K472" s="11">
        <v>2</v>
      </c>
      <c r="L472" s="11">
        <v>2</v>
      </c>
      <c r="M472" s="11">
        <v>4</v>
      </c>
    </row>
    <row r="473" spans="1:13" x14ac:dyDescent="0.25">
      <c r="A473" s="2">
        <f t="shared" si="39"/>
        <v>467</v>
      </c>
      <c r="B473" s="2">
        <v>142115</v>
      </c>
      <c r="C473" t="s">
        <v>831</v>
      </c>
      <c r="D473" t="s">
        <v>832</v>
      </c>
      <c r="E473" t="s">
        <v>501</v>
      </c>
      <c r="F473" s="9">
        <v>107955</v>
      </c>
      <c r="G473" s="9">
        <v>98457</v>
      </c>
      <c r="H473" s="1">
        <f t="shared" si="40"/>
        <v>9.6468509095341126</v>
      </c>
      <c r="I473" s="23">
        <v>15954</v>
      </c>
      <c r="J473" s="9">
        <v>6766.64</v>
      </c>
      <c r="K473" s="11">
        <v>1</v>
      </c>
      <c r="L473" s="11">
        <v>2</v>
      </c>
      <c r="M473" s="11">
        <v>2</v>
      </c>
    </row>
    <row r="474" spans="1:13" x14ac:dyDescent="0.25">
      <c r="A474" s="2">
        <f t="shared" si="39"/>
        <v>468</v>
      </c>
      <c r="B474" s="2">
        <v>201548</v>
      </c>
      <c r="C474" t="s">
        <v>833</v>
      </c>
      <c r="D474" t="s">
        <v>59</v>
      </c>
      <c r="E474" t="s">
        <v>60</v>
      </c>
      <c r="F474" s="9">
        <v>107914</v>
      </c>
      <c r="G474" s="28">
        <v>78045</v>
      </c>
      <c r="H474" s="22">
        <f t="shared" si="40"/>
        <v>38.271510026266895</v>
      </c>
      <c r="I474" s="23">
        <v>3101</v>
      </c>
      <c r="J474" s="9">
        <f>(F474*1000)/I474</f>
        <v>34799.74201870364</v>
      </c>
      <c r="K474" s="11">
        <v>2</v>
      </c>
      <c r="L474" s="11">
        <v>2</v>
      </c>
      <c r="M474" s="11">
        <v>3</v>
      </c>
    </row>
    <row r="475" spans="1:13" x14ac:dyDescent="0.25">
      <c r="A475" s="2">
        <f t="shared" si="39"/>
        <v>469</v>
      </c>
      <c r="B475" s="2">
        <v>151263</v>
      </c>
      <c r="C475" t="s">
        <v>834</v>
      </c>
      <c r="D475" t="s">
        <v>581</v>
      </c>
      <c r="E475" t="s">
        <v>37</v>
      </c>
      <c r="F475" s="9">
        <v>107805</v>
      </c>
      <c r="G475" s="9">
        <v>101357</v>
      </c>
      <c r="H475" s="1">
        <f t="shared" si="40"/>
        <v>6.3616721094744326</v>
      </c>
      <c r="I475" s="23">
        <v>4895</v>
      </c>
      <c r="J475" s="9">
        <f>(F475*1000)/I475</f>
        <v>22023.493360572011</v>
      </c>
      <c r="K475" s="11">
        <v>2</v>
      </c>
      <c r="L475" s="11">
        <v>2</v>
      </c>
      <c r="M475" s="11">
        <v>3</v>
      </c>
    </row>
    <row r="476" spans="1:13" x14ac:dyDescent="0.25">
      <c r="A476" s="2">
        <f t="shared" si="39"/>
        <v>470</v>
      </c>
      <c r="B476" s="2">
        <v>197869</v>
      </c>
      <c r="C476" t="s">
        <v>835</v>
      </c>
      <c r="D476" t="s">
        <v>836</v>
      </c>
      <c r="E476" t="s">
        <v>40</v>
      </c>
      <c r="F476" s="9">
        <v>107603</v>
      </c>
      <c r="G476" s="9">
        <v>98593</v>
      </c>
      <c r="H476" s="1">
        <f t="shared" si="40"/>
        <v>9.1385798180398208</v>
      </c>
      <c r="I476" s="23">
        <v>18099</v>
      </c>
      <c r="J476" s="9">
        <f>(F476*1000)/I476</f>
        <v>5945.2455936792085</v>
      </c>
      <c r="K476" s="11">
        <v>1</v>
      </c>
      <c r="L476" s="11">
        <v>2</v>
      </c>
      <c r="M476" s="11">
        <v>3</v>
      </c>
    </row>
    <row r="477" spans="1:13" x14ac:dyDescent="0.25">
      <c r="A477" s="2">
        <f t="shared" si="39"/>
        <v>471</v>
      </c>
      <c r="B477" s="2">
        <v>157447</v>
      </c>
      <c r="C477" t="s">
        <v>837</v>
      </c>
      <c r="D477" t="s">
        <v>838</v>
      </c>
      <c r="E477" t="s">
        <v>173</v>
      </c>
      <c r="F477" s="9">
        <v>106215</v>
      </c>
      <c r="G477" s="9">
        <v>100270</v>
      </c>
      <c r="H477" s="1">
        <f t="shared" si="40"/>
        <v>5.9289917223496555</v>
      </c>
      <c r="I477" s="23">
        <v>11926</v>
      </c>
      <c r="J477" s="9">
        <v>8906.17</v>
      </c>
      <c r="K477" s="11">
        <v>1</v>
      </c>
      <c r="L477" s="11">
        <v>2</v>
      </c>
      <c r="M477" s="11">
        <v>3</v>
      </c>
    </row>
    <row r="478" spans="1:13" x14ac:dyDescent="0.25">
      <c r="A478" s="2">
        <f t="shared" si="39"/>
        <v>472</v>
      </c>
      <c r="B478" s="2">
        <v>110413</v>
      </c>
      <c r="C478" t="s">
        <v>839</v>
      </c>
      <c r="D478" t="s">
        <v>840</v>
      </c>
      <c r="E478" t="s">
        <v>14</v>
      </c>
      <c r="F478" s="9">
        <v>105544</v>
      </c>
      <c r="G478" s="9">
        <v>96040</v>
      </c>
      <c r="H478" s="1">
        <f t="shared" si="40"/>
        <v>9.8958767180341525</v>
      </c>
      <c r="I478" s="23">
        <v>3908</v>
      </c>
      <c r="J478" s="9">
        <v>27007.16</v>
      </c>
      <c r="K478" s="11">
        <v>2</v>
      </c>
      <c r="L478" s="11">
        <v>2</v>
      </c>
      <c r="M478" s="11">
        <v>3</v>
      </c>
    </row>
    <row r="479" spans="1:13" x14ac:dyDescent="0.25">
      <c r="A479" s="2">
        <f t="shared" si="39"/>
        <v>473</v>
      </c>
      <c r="B479" s="2">
        <v>227845</v>
      </c>
      <c r="C479" t="s">
        <v>841</v>
      </c>
      <c r="D479" t="s">
        <v>7</v>
      </c>
      <c r="E479" t="s">
        <v>8</v>
      </c>
      <c r="F479" s="9">
        <v>105114</v>
      </c>
      <c r="G479" s="9">
        <v>99593</v>
      </c>
      <c r="H479" s="1">
        <f t="shared" si="40"/>
        <v>5.543562298555119</v>
      </c>
      <c r="I479" s="23">
        <v>4076</v>
      </c>
      <c r="J479" s="9">
        <f>(F479*1000)/I479</f>
        <v>25788.518155053975</v>
      </c>
      <c r="K479" s="11">
        <v>2</v>
      </c>
      <c r="L479" s="11">
        <v>2</v>
      </c>
      <c r="M479" s="11">
        <v>3</v>
      </c>
    </row>
    <row r="480" spans="1:13" x14ac:dyDescent="0.25">
      <c r="A480" s="2">
        <f t="shared" si="39"/>
        <v>474</v>
      </c>
      <c r="B480" s="2">
        <v>110714</v>
      </c>
      <c r="C480" t="s">
        <v>842</v>
      </c>
      <c r="D480" t="s">
        <v>843</v>
      </c>
      <c r="E480" t="s">
        <v>14</v>
      </c>
      <c r="F480" s="9">
        <v>104478</v>
      </c>
      <c r="G480" s="9">
        <v>96639</v>
      </c>
      <c r="H480" s="1">
        <f t="shared" si="40"/>
        <v>8.1116319498339173</v>
      </c>
      <c r="I480" s="23">
        <v>19078.45</v>
      </c>
      <c r="J480" s="9">
        <v>5476.36</v>
      </c>
      <c r="K480" s="11">
        <v>1</v>
      </c>
      <c r="L480" s="11">
        <v>2</v>
      </c>
      <c r="M480" s="11">
        <v>2</v>
      </c>
    </row>
    <row r="481" spans="1:13" x14ac:dyDescent="0.25">
      <c r="A481" s="2">
        <f t="shared" si="39"/>
        <v>475</v>
      </c>
      <c r="B481" s="2">
        <v>232423</v>
      </c>
      <c r="C481" t="s">
        <v>844</v>
      </c>
      <c r="D481" t="s">
        <v>845</v>
      </c>
      <c r="E481" t="s">
        <v>52</v>
      </c>
      <c r="F481" s="9">
        <v>103924</v>
      </c>
      <c r="G481" s="9">
        <v>93160</v>
      </c>
      <c r="H481" s="1">
        <f t="shared" si="40"/>
        <v>11.554315156719621</v>
      </c>
      <c r="I481" s="23">
        <v>20154</v>
      </c>
      <c r="J481" s="9">
        <f t="shared" ref="J481:J487" si="43">(F481*1000)/I481</f>
        <v>5156.4949885878732</v>
      </c>
      <c r="K481" s="11">
        <v>1</v>
      </c>
      <c r="L481" s="11">
        <v>2</v>
      </c>
      <c r="M481" s="11">
        <v>3</v>
      </c>
    </row>
    <row r="482" spans="1:13" x14ac:dyDescent="0.25">
      <c r="A482" s="2">
        <f t="shared" si="39"/>
        <v>476</v>
      </c>
      <c r="B482" s="2">
        <v>173896</v>
      </c>
      <c r="C482" t="s">
        <v>846</v>
      </c>
      <c r="D482" t="s">
        <v>289</v>
      </c>
      <c r="E482" t="s">
        <v>72</v>
      </c>
      <c r="F482" s="9">
        <v>103236</v>
      </c>
      <c r="G482" s="9">
        <v>94183</v>
      </c>
      <c r="H482" s="1">
        <f t="shared" si="40"/>
        <v>9.6121380716265143</v>
      </c>
      <c r="I482" s="23">
        <v>297</v>
      </c>
      <c r="J482" s="9">
        <f t="shared" si="43"/>
        <v>347595.95959595958</v>
      </c>
      <c r="K482" s="11">
        <v>2</v>
      </c>
      <c r="L482" s="11">
        <v>2</v>
      </c>
      <c r="M482" s="11">
        <v>5</v>
      </c>
    </row>
    <row r="483" spans="1:13" x14ac:dyDescent="0.25">
      <c r="A483" s="2">
        <f t="shared" si="39"/>
        <v>477</v>
      </c>
      <c r="B483" s="2">
        <v>220978</v>
      </c>
      <c r="C483" t="s">
        <v>847</v>
      </c>
      <c r="D483" t="s">
        <v>848</v>
      </c>
      <c r="E483" t="s">
        <v>63</v>
      </c>
      <c r="F483" s="9">
        <v>103146</v>
      </c>
      <c r="G483" s="9">
        <v>96809</v>
      </c>
      <c r="H483" s="1">
        <f t="shared" si="40"/>
        <v>6.5458789988534116</v>
      </c>
      <c r="I483" s="23">
        <v>17914</v>
      </c>
      <c r="J483" s="9">
        <f t="shared" si="43"/>
        <v>5757.8430277994867</v>
      </c>
      <c r="K483" s="11">
        <v>1</v>
      </c>
      <c r="L483" s="11">
        <v>2</v>
      </c>
      <c r="M483" s="11">
        <v>2</v>
      </c>
    </row>
    <row r="484" spans="1:13" x14ac:dyDescent="0.25">
      <c r="A484" s="2">
        <f t="shared" si="39"/>
        <v>478</v>
      </c>
      <c r="B484" s="2">
        <v>198835</v>
      </c>
      <c r="C484" t="s">
        <v>849</v>
      </c>
      <c r="D484" t="s">
        <v>850</v>
      </c>
      <c r="E484" t="s">
        <v>40</v>
      </c>
      <c r="F484" s="9">
        <v>102929</v>
      </c>
      <c r="G484" s="9">
        <v>95503</v>
      </c>
      <c r="H484" s="1">
        <f t="shared" si="40"/>
        <v>7.7756719684198412</v>
      </c>
      <c r="I484" s="23">
        <v>2105</v>
      </c>
      <c r="J484" s="9">
        <f t="shared" si="43"/>
        <v>48897.387173396673</v>
      </c>
      <c r="K484" s="11">
        <v>2</v>
      </c>
      <c r="L484" s="11">
        <v>2</v>
      </c>
      <c r="M484" s="11">
        <v>3</v>
      </c>
    </row>
    <row r="485" spans="1:13" x14ac:dyDescent="0.25">
      <c r="A485" s="2">
        <f t="shared" si="39"/>
        <v>479</v>
      </c>
      <c r="B485" s="2">
        <v>193973</v>
      </c>
      <c r="C485" t="s">
        <v>851</v>
      </c>
      <c r="D485" t="s">
        <v>851</v>
      </c>
      <c r="E485" t="s">
        <v>34</v>
      </c>
      <c r="F485" s="9">
        <v>102392</v>
      </c>
      <c r="G485" s="9">
        <v>98008</v>
      </c>
      <c r="H485" s="1">
        <f t="shared" si="40"/>
        <v>4.473104236388866</v>
      </c>
      <c r="I485" s="23">
        <v>3519</v>
      </c>
      <c r="J485" s="9">
        <f t="shared" si="43"/>
        <v>29096.902529127594</v>
      </c>
      <c r="K485" s="11">
        <v>2</v>
      </c>
      <c r="L485" s="11">
        <v>2</v>
      </c>
      <c r="M485" s="11">
        <v>3</v>
      </c>
    </row>
    <row r="486" spans="1:13" x14ac:dyDescent="0.25">
      <c r="A486" s="2">
        <f t="shared" si="39"/>
        <v>480</v>
      </c>
      <c r="B486" s="2">
        <v>117140</v>
      </c>
      <c r="C486" t="s">
        <v>852</v>
      </c>
      <c r="D486" t="s">
        <v>853</v>
      </c>
      <c r="E486" t="s">
        <v>14</v>
      </c>
      <c r="F486" s="9">
        <v>102271</v>
      </c>
      <c r="G486" s="9">
        <v>92079</v>
      </c>
      <c r="H486" s="1">
        <f t="shared" si="40"/>
        <v>11.068756176761259</v>
      </c>
      <c r="I486" s="23">
        <v>7010</v>
      </c>
      <c r="J486" s="9">
        <f t="shared" si="43"/>
        <v>14589.300998573466</v>
      </c>
      <c r="K486" s="11">
        <v>2</v>
      </c>
      <c r="L486" s="11">
        <v>2</v>
      </c>
      <c r="M486" s="11">
        <v>2</v>
      </c>
    </row>
    <row r="487" spans="1:13" x14ac:dyDescent="0.25">
      <c r="A487" s="2">
        <f t="shared" si="39"/>
        <v>481</v>
      </c>
      <c r="B487" s="2">
        <v>199218</v>
      </c>
      <c r="C487" t="s">
        <v>854</v>
      </c>
      <c r="D487" t="s">
        <v>855</v>
      </c>
      <c r="E487" t="s">
        <v>40</v>
      </c>
      <c r="F487" s="9">
        <v>101729</v>
      </c>
      <c r="G487" s="9">
        <v>94362</v>
      </c>
      <c r="H487" s="1">
        <f t="shared" si="40"/>
        <v>7.807168139717259</v>
      </c>
      <c r="I487" s="23">
        <v>14285</v>
      </c>
      <c r="J487" s="9">
        <f t="shared" si="43"/>
        <v>7121.3860693034649</v>
      </c>
      <c r="K487" s="11">
        <v>1</v>
      </c>
      <c r="L487" s="11">
        <v>2</v>
      </c>
      <c r="M487" s="11">
        <v>3</v>
      </c>
    </row>
    <row r="488" spans="1:13" x14ac:dyDescent="0.25">
      <c r="A488" s="2">
        <f t="shared" si="39"/>
        <v>482</v>
      </c>
      <c r="B488" s="2">
        <v>176372</v>
      </c>
      <c r="C488" t="s">
        <v>856</v>
      </c>
      <c r="D488" t="s">
        <v>857</v>
      </c>
      <c r="E488" t="s">
        <v>316</v>
      </c>
      <c r="F488" s="9">
        <v>100763</v>
      </c>
      <c r="G488" s="9">
        <v>94751</v>
      </c>
      <c r="H488" s="1">
        <f t="shared" si="40"/>
        <v>6.3450517672636693</v>
      </c>
      <c r="I488" s="28" t="s">
        <v>119</v>
      </c>
      <c r="J488" s="13" t="s">
        <v>119</v>
      </c>
      <c r="K488" s="11">
        <v>1</v>
      </c>
      <c r="L488" s="11">
        <v>2</v>
      </c>
      <c r="M488" s="11">
        <v>2</v>
      </c>
    </row>
    <row r="489" spans="1:13" x14ac:dyDescent="0.25">
      <c r="A489" s="2">
        <f t="shared" si="39"/>
        <v>483</v>
      </c>
      <c r="B489" s="2">
        <v>196307</v>
      </c>
      <c r="C489" t="s">
        <v>858</v>
      </c>
      <c r="D489" t="s">
        <v>178</v>
      </c>
      <c r="E489" t="s">
        <v>34</v>
      </c>
      <c r="F489" s="9">
        <v>100580</v>
      </c>
      <c r="G489" s="9">
        <v>94055</v>
      </c>
      <c r="H489" s="1">
        <f t="shared" si="40"/>
        <v>6.9374302269948434</v>
      </c>
      <c r="I489" s="23">
        <v>1542.5</v>
      </c>
      <c r="J489" s="9">
        <f>(F489*1000)/I489</f>
        <v>65205.834683954621</v>
      </c>
      <c r="K489" s="11">
        <v>1</v>
      </c>
      <c r="L489" s="11">
        <v>2</v>
      </c>
      <c r="M489" s="11">
        <v>5</v>
      </c>
    </row>
    <row r="490" spans="1:13" x14ac:dyDescent="0.25">
      <c r="A490" s="2">
        <f t="shared" si="39"/>
        <v>484</v>
      </c>
      <c r="B490" s="2">
        <v>236230</v>
      </c>
      <c r="C490" t="s">
        <v>860</v>
      </c>
      <c r="D490" t="s">
        <v>432</v>
      </c>
      <c r="E490" t="s">
        <v>87</v>
      </c>
      <c r="F490" s="9">
        <v>99931</v>
      </c>
      <c r="G490" s="9">
        <v>95123</v>
      </c>
      <c r="H490" s="1">
        <f t="shared" si="40"/>
        <v>5.0545083733692167</v>
      </c>
      <c r="I490" s="23">
        <v>3275</v>
      </c>
      <c r="J490" s="9">
        <f>(F490*1000)/I490</f>
        <v>30513.282442748092</v>
      </c>
      <c r="K490" s="11">
        <v>2</v>
      </c>
      <c r="L490" s="11">
        <v>2</v>
      </c>
      <c r="M490" s="11">
        <v>3</v>
      </c>
    </row>
    <row r="491" spans="1:13" x14ac:dyDescent="0.25">
      <c r="A491" s="2">
        <f t="shared" si="39"/>
        <v>485</v>
      </c>
      <c r="B491" s="2">
        <v>162760</v>
      </c>
      <c r="C491" t="s">
        <v>861</v>
      </c>
      <c r="D491" t="s">
        <v>862</v>
      </c>
      <c r="E491" t="s">
        <v>66</v>
      </c>
      <c r="F491" s="9">
        <v>99716</v>
      </c>
      <c r="G491" s="9">
        <v>91295</v>
      </c>
      <c r="H491" s="1">
        <f t="shared" si="40"/>
        <v>9.2239443562078964</v>
      </c>
      <c r="I491" s="23">
        <v>1527</v>
      </c>
      <c r="J491" s="9">
        <f>(F491*1000)/I491</f>
        <v>65301.899148657496</v>
      </c>
      <c r="K491" s="11">
        <v>2</v>
      </c>
      <c r="L491" s="11">
        <v>2</v>
      </c>
      <c r="M491" s="11">
        <v>3</v>
      </c>
    </row>
    <row r="492" spans="1:13" x14ac:dyDescent="0.25">
      <c r="A492" s="2">
        <f t="shared" si="39"/>
        <v>486</v>
      </c>
      <c r="B492" s="2">
        <v>110529</v>
      </c>
      <c r="C492" t="s">
        <v>863</v>
      </c>
      <c r="D492" t="s">
        <v>864</v>
      </c>
      <c r="E492" t="s">
        <v>14</v>
      </c>
      <c r="F492" s="9">
        <v>99711</v>
      </c>
      <c r="G492" s="9">
        <v>96139</v>
      </c>
      <c r="H492" s="1">
        <f t="shared" si="40"/>
        <v>3.7154536660460376</v>
      </c>
      <c r="I492" s="28" t="s">
        <v>119</v>
      </c>
      <c r="J492" s="13" t="s">
        <v>119</v>
      </c>
      <c r="K492" s="11">
        <v>1</v>
      </c>
      <c r="L492" s="11">
        <v>2</v>
      </c>
      <c r="M492" s="11">
        <v>3</v>
      </c>
    </row>
    <row r="493" spans="1:13" x14ac:dyDescent="0.25">
      <c r="A493" s="2">
        <f t="shared" si="39"/>
        <v>487</v>
      </c>
      <c r="B493" s="2">
        <v>171492</v>
      </c>
      <c r="C493" t="s">
        <v>865</v>
      </c>
      <c r="D493" t="s">
        <v>866</v>
      </c>
      <c r="E493" t="s">
        <v>26</v>
      </c>
      <c r="F493" s="9">
        <v>99466</v>
      </c>
      <c r="G493" s="9">
        <v>95288</v>
      </c>
      <c r="H493" s="1">
        <f t="shared" si="40"/>
        <v>4.3846024683066069</v>
      </c>
      <c r="I493" s="28" t="s">
        <v>119</v>
      </c>
      <c r="J493" s="13" t="s">
        <v>119</v>
      </c>
      <c r="K493" s="11">
        <v>2</v>
      </c>
      <c r="L493" s="11">
        <v>2</v>
      </c>
      <c r="M493" s="11">
        <v>5</v>
      </c>
    </row>
    <row r="494" spans="1:13" x14ac:dyDescent="0.25">
      <c r="A494" s="2">
        <f t="shared" si="39"/>
        <v>488</v>
      </c>
      <c r="B494" s="2">
        <v>185572</v>
      </c>
      <c r="C494" t="s">
        <v>867</v>
      </c>
      <c r="D494" t="s">
        <v>868</v>
      </c>
      <c r="E494" t="s">
        <v>17</v>
      </c>
      <c r="F494" s="9">
        <v>99463</v>
      </c>
      <c r="G494" s="9">
        <v>89174</v>
      </c>
      <c r="H494" s="1">
        <f t="shared" si="40"/>
        <v>11.538116491353982</v>
      </c>
      <c r="I494" s="23">
        <v>5551</v>
      </c>
      <c r="J494" s="9">
        <f>(F494*1000)/I494</f>
        <v>17918.032786885247</v>
      </c>
      <c r="K494" s="11">
        <v>2</v>
      </c>
      <c r="L494" s="11">
        <v>2</v>
      </c>
      <c r="M494" s="11">
        <v>3</v>
      </c>
    </row>
    <row r="495" spans="1:13" x14ac:dyDescent="0.25">
      <c r="A495" s="2">
        <f t="shared" si="39"/>
        <v>489</v>
      </c>
      <c r="B495" s="2">
        <v>165529</v>
      </c>
      <c r="C495" t="s">
        <v>869</v>
      </c>
      <c r="D495" t="s">
        <v>870</v>
      </c>
      <c r="E495" t="s">
        <v>5</v>
      </c>
      <c r="F495" s="9">
        <v>98923</v>
      </c>
      <c r="G495" s="9">
        <v>104179</v>
      </c>
      <c r="H495" s="1">
        <f t="shared" si="40"/>
        <v>-5.045162652741916</v>
      </c>
      <c r="I495" s="23">
        <v>2332</v>
      </c>
      <c r="J495" s="9">
        <f>(F495*1000)/I495</f>
        <v>42419.811320754714</v>
      </c>
      <c r="K495" s="11">
        <v>2</v>
      </c>
      <c r="L495" s="11">
        <v>2</v>
      </c>
      <c r="M495" s="11">
        <v>3</v>
      </c>
    </row>
    <row r="496" spans="1:13" x14ac:dyDescent="0.25">
      <c r="A496" s="2">
        <f t="shared" si="39"/>
        <v>490</v>
      </c>
      <c r="B496" s="2">
        <v>231970</v>
      </c>
      <c r="C496" t="s">
        <v>871</v>
      </c>
      <c r="D496" t="s">
        <v>532</v>
      </c>
      <c r="E496" t="s">
        <v>52</v>
      </c>
      <c r="F496" s="9">
        <v>97967</v>
      </c>
      <c r="G496" s="9">
        <v>91914</v>
      </c>
      <c r="H496" s="1">
        <f t="shared" si="40"/>
        <v>6.5855038405465987</v>
      </c>
      <c r="I496" s="28" t="s">
        <v>119</v>
      </c>
      <c r="J496" s="13" t="s">
        <v>119</v>
      </c>
      <c r="K496" s="11">
        <v>1</v>
      </c>
      <c r="L496" s="11">
        <v>2</v>
      </c>
      <c r="M496" s="11">
        <v>5</v>
      </c>
    </row>
    <row r="497" spans="1:13" x14ac:dyDescent="0.25">
      <c r="A497" s="2">
        <f t="shared" si="39"/>
        <v>491</v>
      </c>
      <c r="B497" s="2">
        <v>155061</v>
      </c>
      <c r="C497" t="s">
        <v>872</v>
      </c>
      <c r="D497" t="s">
        <v>873</v>
      </c>
      <c r="E497" t="s">
        <v>132</v>
      </c>
      <c r="F497" s="9">
        <v>97611</v>
      </c>
      <c r="G497" s="9">
        <v>91439</v>
      </c>
      <c r="H497" s="1">
        <f t="shared" si="40"/>
        <v>6.7498550946532658</v>
      </c>
      <c r="I497" s="28" t="s">
        <v>119</v>
      </c>
      <c r="J497" s="13" t="s">
        <v>119</v>
      </c>
      <c r="K497" s="11">
        <v>1</v>
      </c>
      <c r="L497" s="11">
        <v>2</v>
      </c>
      <c r="M497" s="11">
        <v>3</v>
      </c>
    </row>
    <row r="498" spans="1:13" x14ac:dyDescent="0.25">
      <c r="A498" s="2">
        <f t="shared" si="39"/>
        <v>492</v>
      </c>
      <c r="B498" s="2">
        <v>109651</v>
      </c>
      <c r="C498" t="s">
        <v>874</v>
      </c>
      <c r="D498" t="s">
        <v>84</v>
      </c>
      <c r="E498" t="s">
        <v>14</v>
      </c>
      <c r="F498" s="9">
        <v>97518</v>
      </c>
      <c r="G498" s="9">
        <v>90479</v>
      </c>
      <c r="H498" s="1">
        <f t="shared" si="40"/>
        <v>7.7797057880834224</v>
      </c>
      <c r="I498" s="23">
        <v>2032</v>
      </c>
      <c r="J498" s="9">
        <f t="shared" ref="J498:J507" si="44">(F498*1000)/I498</f>
        <v>47991.141732283468</v>
      </c>
      <c r="K498" s="11">
        <v>2</v>
      </c>
      <c r="L498" s="11">
        <v>2</v>
      </c>
      <c r="M498" s="11">
        <v>5</v>
      </c>
    </row>
    <row r="499" spans="1:13" x14ac:dyDescent="0.25">
      <c r="A499" s="2">
        <f t="shared" si="39"/>
        <v>493</v>
      </c>
      <c r="B499" s="2">
        <v>177214</v>
      </c>
      <c r="C499" t="s">
        <v>875</v>
      </c>
      <c r="D499" t="s">
        <v>798</v>
      </c>
      <c r="E499" t="s">
        <v>45</v>
      </c>
      <c r="F499" s="9">
        <v>97510</v>
      </c>
      <c r="G499" s="9">
        <v>89839</v>
      </c>
      <c r="H499" s="1">
        <f t="shared" si="40"/>
        <v>8.5386079542292332</v>
      </c>
      <c r="I499" s="23">
        <v>1602</v>
      </c>
      <c r="J499" s="9">
        <f t="shared" si="44"/>
        <v>60867.665418227218</v>
      </c>
      <c r="K499" s="11">
        <v>2</v>
      </c>
      <c r="L499" s="11">
        <v>2</v>
      </c>
      <c r="M499" s="11">
        <v>3</v>
      </c>
    </row>
    <row r="500" spans="1:13" x14ac:dyDescent="0.25">
      <c r="A500" s="2">
        <f t="shared" si="39"/>
        <v>494</v>
      </c>
      <c r="B500" s="2">
        <v>173665</v>
      </c>
      <c r="C500" t="s">
        <v>876</v>
      </c>
      <c r="D500" t="s">
        <v>877</v>
      </c>
      <c r="E500" t="s">
        <v>72</v>
      </c>
      <c r="F500" s="9">
        <v>97241</v>
      </c>
      <c r="G500" s="9">
        <v>92392</v>
      </c>
      <c r="H500" s="1">
        <f t="shared" si="40"/>
        <v>5.248289895229024</v>
      </c>
      <c r="I500" s="23">
        <v>2779</v>
      </c>
      <c r="J500" s="9">
        <f t="shared" si="44"/>
        <v>34991.363799928033</v>
      </c>
      <c r="K500" s="11">
        <v>2</v>
      </c>
      <c r="L500" s="11">
        <v>2</v>
      </c>
      <c r="M500" s="11">
        <v>3</v>
      </c>
    </row>
    <row r="501" spans="1:13" x14ac:dyDescent="0.25">
      <c r="A501" s="2">
        <f t="shared" si="39"/>
        <v>495</v>
      </c>
      <c r="B501" s="2">
        <v>218539</v>
      </c>
      <c r="C501" t="s">
        <v>878</v>
      </c>
      <c r="D501" t="s">
        <v>235</v>
      </c>
      <c r="E501" t="s">
        <v>278</v>
      </c>
      <c r="F501" s="9">
        <v>97110</v>
      </c>
      <c r="G501" s="9">
        <v>95284</v>
      </c>
      <c r="H501" s="1">
        <f t="shared" si="40"/>
        <v>1.9163763066202089</v>
      </c>
      <c r="I501" s="23">
        <v>1278</v>
      </c>
      <c r="J501" s="9">
        <f t="shared" si="44"/>
        <v>75985.915492957749</v>
      </c>
      <c r="K501" s="11">
        <v>2</v>
      </c>
      <c r="L501" s="11">
        <v>2</v>
      </c>
      <c r="M501" s="11">
        <v>4</v>
      </c>
    </row>
    <row r="502" spans="1:13" x14ac:dyDescent="0.25">
      <c r="A502" s="2">
        <f t="shared" si="39"/>
        <v>496</v>
      </c>
      <c r="B502" s="2">
        <v>192703</v>
      </c>
      <c r="C502" t="s">
        <v>859</v>
      </c>
      <c r="D502" t="s">
        <v>307</v>
      </c>
      <c r="E502" t="s">
        <v>34</v>
      </c>
      <c r="F502" s="9">
        <v>96995</v>
      </c>
      <c r="G502" s="9">
        <v>88592</v>
      </c>
      <c r="H502" s="1">
        <f t="shared" si="40"/>
        <v>9.4850550839804946</v>
      </c>
      <c r="I502" s="23">
        <v>4048</v>
      </c>
      <c r="J502" s="9">
        <f t="shared" si="44"/>
        <v>23961.215415019764</v>
      </c>
      <c r="K502" s="11">
        <v>2</v>
      </c>
      <c r="L502" s="11">
        <v>2</v>
      </c>
      <c r="M502" s="11">
        <v>3</v>
      </c>
    </row>
    <row r="503" spans="1:13" x14ac:dyDescent="0.25">
      <c r="A503" s="2">
        <f t="shared" si="39"/>
        <v>497</v>
      </c>
      <c r="B503" s="2">
        <v>231581</v>
      </c>
      <c r="C503" t="s">
        <v>879</v>
      </c>
      <c r="D503" t="s">
        <v>880</v>
      </c>
      <c r="E503" t="s">
        <v>52</v>
      </c>
      <c r="F503" s="9">
        <v>96963</v>
      </c>
      <c r="G503" s="9">
        <v>89432</v>
      </c>
      <c r="H503" s="1">
        <f t="shared" si="40"/>
        <v>8.4209231594954836</v>
      </c>
      <c r="I503" s="23">
        <v>1885</v>
      </c>
      <c r="J503" s="9">
        <f t="shared" si="44"/>
        <v>51439.257294429706</v>
      </c>
      <c r="K503" s="11">
        <v>2</v>
      </c>
      <c r="L503" s="11">
        <v>2</v>
      </c>
      <c r="M503" s="11">
        <v>4</v>
      </c>
    </row>
    <row r="504" spans="1:13" x14ac:dyDescent="0.25">
      <c r="A504" s="2">
        <f t="shared" si="39"/>
        <v>498</v>
      </c>
      <c r="B504" s="2">
        <v>228981</v>
      </c>
      <c r="C504" t="s">
        <v>881</v>
      </c>
      <c r="D504" t="s">
        <v>882</v>
      </c>
      <c r="E504" t="s">
        <v>8</v>
      </c>
      <c r="F504" s="9">
        <v>96707</v>
      </c>
      <c r="G504" s="9">
        <v>93991</v>
      </c>
      <c r="H504" s="1">
        <f t="shared" si="40"/>
        <v>2.8896383696311352</v>
      </c>
      <c r="I504" s="23">
        <v>1356</v>
      </c>
      <c r="J504" s="9">
        <f t="shared" si="44"/>
        <v>71317.84660766962</v>
      </c>
      <c r="K504" s="11">
        <v>2</v>
      </c>
      <c r="L504" s="11">
        <v>2</v>
      </c>
      <c r="M504" s="11">
        <v>4</v>
      </c>
    </row>
    <row r="505" spans="1:13" x14ac:dyDescent="0.25">
      <c r="A505" s="2">
        <f t="shared" si="39"/>
        <v>499</v>
      </c>
      <c r="B505" s="2">
        <v>152530</v>
      </c>
      <c r="C505" t="s">
        <v>883</v>
      </c>
      <c r="D505" t="s">
        <v>884</v>
      </c>
      <c r="E505" t="s">
        <v>37</v>
      </c>
      <c r="F505" s="9">
        <v>95906</v>
      </c>
      <c r="G505" s="9">
        <v>89603</v>
      </c>
      <c r="H505" s="1">
        <f t="shared" si="40"/>
        <v>7.0343626887492601</v>
      </c>
      <c r="I505" s="23">
        <v>1965</v>
      </c>
      <c r="J505" s="9">
        <f t="shared" si="44"/>
        <v>48807.124681933841</v>
      </c>
      <c r="K505" s="11">
        <v>2</v>
      </c>
      <c r="L505" s="11">
        <v>2</v>
      </c>
      <c r="M505" s="11">
        <v>4</v>
      </c>
    </row>
    <row r="506" spans="1:13" x14ac:dyDescent="0.25">
      <c r="A506" s="2">
        <f t="shared" si="39"/>
        <v>500</v>
      </c>
      <c r="B506" s="2">
        <v>171571</v>
      </c>
      <c r="C506" t="s">
        <v>885</v>
      </c>
      <c r="D506" t="s">
        <v>1441</v>
      </c>
      <c r="E506" t="s">
        <v>26</v>
      </c>
      <c r="F506" s="9">
        <v>95008</v>
      </c>
      <c r="G506" s="9">
        <v>85050</v>
      </c>
      <c r="H506" s="1">
        <f t="shared" si="40"/>
        <v>11.708406819517931</v>
      </c>
      <c r="I506" s="23">
        <v>16016.3</v>
      </c>
      <c r="J506" s="9">
        <f t="shared" si="44"/>
        <v>5931.9568189906531</v>
      </c>
      <c r="K506" s="11">
        <v>1</v>
      </c>
      <c r="L506" s="11">
        <v>2</v>
      </c>
      <c r="M506" s="11">
        <v>2</v>
      </c>
    </row>
    <row r="507" spans="1:13" x14ac:dyDescent="0.25">
      <c r="A507" s="2">
        <f t="shared" si="39"/>
        <v>501</v>
      </c>
      <c r="B507" s="2">
        <v>211556</v>
      </c>
      <c r="C507" t="s">
        <v>886</v>
      </c>
      <c r="D507" t="s">
        <v>70</v>
      </c>
      <c r="E507" t="s">
        <v>22</v>
      </c>
      <c r="F507" s="9">
        <v>92931</v>
      </c>
      <c r="G507" s="9">
        <v>89971</v>
      </c>
      <c r="H507" s="1">
        <f t="shared" si="40"/>
        <v>3.28994898356137</v>
      </c>
      <c r="I507" s="23">
        <v>1881</v>
      </c>
      <c r="J507" s="9">
        <f t="shared" si="44"/>
        <v>49405.10366826156</v>
      </c>
      <c r="K507" s="11">
        <v>2</v>
      </c>
      <c r="L507" s="11">
        <v>2</v>
      </c>
      <c r="M507" s="11">
        <v>3</v>
      </c>
    </row>
    <row r="508" spans="1:13" x14ac:dyDescent="0.25">
      <c r="A508" s="2">
        <f t="shared" si="39"/>
        <v>502</v>
      </c>
      <c r="B508" s="2">
        <v>206604</v>
      </c>
      <c r="C508" t="s">
        <v>887</v>
      </c>
      <c r="D508" t="s">
        <v>345</v>
      </c>
      <c r="E508" t="s">
        <v>60</v>
      </c>
      <c r="F508" s="9">
        <v>92847</v>
      </c>
      <c r="G508" s="9">
        <v>85798</v>
      </c>
      <c r="H508" s="1">
        <f t="shared" si="40"/>
        <v>8.2158092263222926</v>
      </c>
      <c r="I508" s="28" t="s">
        <v>119</v>
      </c>
      <c r="J508" s="13" t="s">
        <v>119</v>
      </c>
      <c r="K508" s="11">
        <v>1</v>
      </c>
      <c r="L508" s="11">
        <v>2</v>
      </c>
      <c r="M508" s="11">
        <v>2</v>
      </c>
    </row>
    <row r="509" spans="1:13" x14ac:dyDescent="0.25">
      <c r="A509" s="2">
        <f t="shared" si="39"/>
        <v>503</v>
      </c>
      <c r="B509" s="2">
        <v>239628</v>
      </c>
      <c r="C509" t="s">
        <v>888</v>
      </c>
      <c r="D509" t="s">
        <v>889</v>
      </c>
      <c r="E509" t="s">
        <v>80</v>
      </c>
      <c r="F509" s="9">
        <v>92791</v>
      </c>
      <c r="G509" s="9">
        <v>86356</v>
      </c>
      <c r="H509" s="1">
        <f t="shared" si="40"/>
        <v>7.4517115197554311</v>
      </c>
      <c r="I509" s="23">
        <v>747</v>
      </c>
      <c r="J509" s="9">
        <f>(F509*1000)/I509</f>
        <v>124218.20615796519</v>
      </c>
      <c r="K509" s="11">
        <v>2</v>
      </c>
      <c r="L509" s="11">
        <v>2</v>
      </c>
      <c r="M509" s="11">
        <v>4</v>
      </c>
    </row>
    <row r="510" spans="1:13" x14ac:dyDescent="0.25">
      <c r="A510" s="2">
        <f t="shared" si="39"/>
        <v>504</v>
      </c>
      <c r="B510" s="2">
        <v>217819</v>
      </c>
      <c r="C510" t="s">
        <v>890</v>
      </c>
      <c r="D510" t="s">
        <v>429</v>
      </c>
      <c r="E510" t="s">
        <v>278</v>
      </c>
      <c r="F510" s="9">
        <v>92159</v>
      </c>
      <c r="G510" s="9">
        <v>80870</v>
      </c>
      <c r="H510" s="1">
        <f t="shared" si="40"/>
        <v>13.959441078273773</v>
      </c>
      <c r="I510" s="23">
        <v>11294</v>
      </c>
      <c r="J510" s="9">
        <f>(F510*1000)/I510</f>
        <v>8159.9964582964403</v>
      </c>
      <c r="K510" s="11">
        <v>1</v>
      </c>
      <c r="L510" s="11">
        <v>2</v>
      </c>
      <c r="M510" s="11">
        <v>3</v>
      </c>
    </row>
    <row r="511" spans="1:13" x14ac:dyDescent="0.25">
      <c r="A511" s="2">
        <f t="shared" si="39"/>
        <v>505</v>
      </c>
      <c r="B511" s="2">
        <v>146481</v>
      </c>
      <c r="C511" t="s">
        <v>891</v>
      </c>
      <c r="D511" t="s">
        <v>892</v>
      </c>
      <c r="E511" t="s">
        <v>29</v>
      </c>
      <c r="F511" s="9">
        <v>92008</v>
      </c>
      <c r="G511" s="9">
        <v>88817</v>
      </c>
      <c r="H511" s="1">
        <f t="shared" si="40"/>
        <v>3.5927806613598747</v>
      </c>
      <c r="I511" s="23">
        <v>1511</v>
      </c>
      <c r="J511" s="9">
        <f>(F511*1000)/I511</f>
        <v>60892.1244209133</v>
      </c>
      <c r="K511" s="11">
        <v>2</v>
      </c>
      <c r="L511" s="11">
        <v>2</v>
      </c>
      <c r="M511" s="11">
        <v>4</v>
      </c>
    </row>
    <row r="512" spans="1:13" x14ac:dyDescent="0.25">
      <c r="A512" s="2">
        <f t="shared" si="39"/>
        <v>506</v>
      </c>
      <c r="B512" s="2">
        <v>216852</v>
      </c>
      <c r="C512" t="s">
        <v>893</v>
      </c>
      <c r="D512" t="s">
        <v>894</v>
      </c>
      <c r="E512" t="s">
        <v>22</v>
      </c>
      <c r="F512" s="9">
        <v>91595</v>
      </c>
      <c r="G512" s="9">
        <v>86912</v>
      </c>
      <c r="H512" s="1">
        <f t="shared" si="40"/>
        <v>5.388208762886598</v>
      </c>
      <c r="I512" s="23">
        <v>5093</v>
      </c>
      <c r="J512" s="9">
        <f>(F512*1000)/I512</f>
        <v>17984.488513646182</v>
      </c>
      <c r="K512" s="11">
        <v>2</v>
      </c>
      <c r="L512" s="11">
        <v>2</v>
      </c>
      <c r="M512" s="11">
        <v>2</v>
      </c>
    </row>
    <row r="513" spans="1:13" x14ac:dyDescent="0.25">
      <c r="A513" s="2">
        <f t="shared" si="39"/>
        <v>507</v>
      </c>
      <c r="B513" s="2">
        <v>202806</v>
      </c>
      <c r="C513" t="s">
        <v>895</v>
      </c>
      <c r="D513" t="s">
        <v>59</v>
      </c>
      <c r="E513" t="s">
        <v>60</v>
      </c>
      <c r="F513" s="9">
        <v>91403</v>
      </c>
      <c r="G513" s="9">
        <v>85328</v>
      </c>
      <c r="H513" s="1">
        <f t="shared" si="40"/>
        <v>7.1195855990999437</v>
      </c>
      <c r="I513" s="23">
        <v>1489</v>
      </c>
      <c r="J513" s="9">
        <f>(F513*1000)/I513</f>
        <v>61385.493619879111</v>
      </c>
      <c r="K513" s="11">
        <v>2</v>
      </c>
      <c r="L513" s="11">
        <v>2</v>
      </c>
      <c r="M513" s="11">
        <v>5</v>
      </c>
    </row>
    <row r="514" spans="1:13" x14ac:dyDescent="0.25">
      <c r="A514" s="2">
        <f t="shared" si="39"/>
        <v>508</v>
      </c>
      <c r="B514" s="2">
        <v>122597</v>
      </c>
      <c r="C514" t="s">
        <v>896</v>
      </c>
      <c r="D514" t="s">
        <v>145</v>
      </c>
      <c r="E514" t="s">
        <v>14</v>
      </c>
      <c r="F514" s="9">
        <v>90779</v>
      </c>
      <c r="G514" s="9">
        <v>83744</v>
      </c>
      <c r="H514" s="1">
        <f t="shared" si="40"/>
        <v>8.4006018341612538</v>
      </c>
      <c r="I514" s="28" t="s">
        <v>119</v>
      </c>
      <c r="J514" s="13" t="s">
        <v>119</v>
      </c>
      <c r="K514" s="11">
        <v>1</v>
      </c>
      <c r="L514" s="11">
        <v>2</v>
      </c>
      <c r="M514" s="11">
        <v>2</v>
      </c>
    </row>
    <row r="515" spans="1:13" x14ac:dyDescent="0.25">
      <c r="A515" s="2">
        <f t="shared" si="39"/>
        <v>509</v>
      </c>
      <c r="B515" s="2">
        <v>226587</v>
      </c>
      <c r="C515" t="s">
        <v>897</v>
      </c>
      <c r="D515" t="s">
        <v>400</v>
      </c>
      <c r="E515" t="s">
        <v>8</v>
      </c>
      <c r="F515" s="9">
        <v>90162</v>
      </c>
      <c r="G515" s="9">
        <v>82012</v>
      </c>
      <c r="H515" s="1">
        <f t="shared" si="40"/>
        <v>9.937570111690972</v>
      </c>
      <c r="I515" s="23">
        <v>1023</v>
      </c>
      <c r="J515" s="9">
        <f t="shared" ref="J515:J525" si="45">(F515*1000)/I515</f>
        <v>88134.897360703806</v>
      </c>
      <c r="K515" s="11">
        <v>2</v>
      </c>
      <c r="L515" s="11">
        <v>2</v>
      </c>
      <c r="M515" s="11">
        <v>4</v>
      </c>
    </row>
    <row r="516" spans="1:13" x14ac:dyDescent="0.25">
      <c r="A516" s="2">
        <f t="shared" si="39"/>
        <v>510</v>
      </c>
      <c r="B516" s="2">
        <v>163295</v>
      </c>
      <c r="C516" t="s">
        <v>898</v>
      </c>
      <c r="D516" t="s">
        <v>65</v>
      </c>
      <c r="E516" t="s">
        <v>66</v>
      </c>
      <c r="F516" s="9">
        <v>89968</v>
      </c>
      <c r="G516" s="9">
        <v>86074</v>
      </c>
      <c r="H516" s="1">
        <f t="shared" si="40"/>
        <v>4.5240142203220488</v>
      </c>
      <c r="I516" s="23">
        <v>2025</v>
      </c>
      <c r="J516" s="9">
        <f t="shared" si="45"/>
        <v>44428.641975308645</v>
      </c>
      <c r="K516" s="11">
        <v>2</v>
      </c>
      <c r="L516" s="11">
        <v>2</v>
      </c>
      <c r="M516" s="11">
        <v>5</v>
      </c>
    </row>
    <row r="517" spans="1:13" x14ac:dyDescent="0.25">
      <c r="A517" s="2">
        <f t="shared" si="39"/>
        <v>511</v>
      </c>
      <c r="B517" s="2">
        <v>231059</v>
      </c>
      <c r="C517" t="s">
        <v>899</v>
      </c>
      <c r="D517" t="s">
        <v>900</v>
      </c>
      <c r="E517" t="s">
        <v>211</v>
      </c>
      <c r="F517" s="9">
        <v>89921</v>
      </c>
      <c r="G517" s="9">
        <v>87442</v>
      </c>
      <c r="H517" s="1">
        <f t="shared" si="40"/>
        <v>2.8350220717732895</v>
      </c>
      <c r="I517" s="23">
        <v>1917</v>
      </c>
      <c r="J517" s="9">
        <f t="shared" si="45"/>
        <v>46907.146583202921</v>
      </c>
      <c r="K517" s="11">
        <v>2</v>
      </c>
      <c r="L517" s="11">
        <v>2</v>
      </c>
      <c r="M517" s="11">
        <v>4</v>
      </c>
    </row>
    <row r="518" spans="1:13" x14ac:dyDescent="0.25">
      <c r="A518" s="2">
        <f t="shared" si="39"/>
        <v>512</v>
      </c>
      <c r="B518" s="2">
        <v>174899</v>
      </c>
      <c r="C518" t="s">
        <v>901</v>
      </c>
      <c r="D518" t="s">
        <v>902</v>
      </c>
      <c r="E518" t="s">
        <v>72</v>
      </c>
      <c r="F518" s="9">
        <v>89555</v>
      </c>
      <c r="G518" s="9">
        <v>81621</v>
      </c>
      <c r="H518" s="1">
        <f t="shared" si="40"/>
        <v>9.7205376067433633</v>
      </c>
      <c r="I518" s="23">
        <v>3850</v>
      </c>
      <c r="J518" s="9">
        <f t="shared" si="45"/>
        <v>23261.038961038961</v>
      </c>
      <c r="K518" s="11">
        <v>2</v>
      </c>
      <c r="L518" s="11">
        <v>2</v>
      </c>
      <c r="M518" s="11">
        <v>3</v>
      </c>
    </row>
    <row r="519" spans="1:13" x14ac:dyDescent="0.25">
      <c r="A519" s="2">
        <f t="shared" si="39"/>
        <v>513</v>
      </c>
      <c r="B519" s="2">
        <v>150534</v>
      </c>
      <c r="C519" t="s">
        <v>903</v>
      </c>
      <c r="D519" t="s">
        <v>904</v>
      </c>
      <c r="E519" t="s">
        <v>37</v>
      </c>
      <c r="F519" s="9">
        <v>88762</v>
      </c>
      <c r="G519" s="9">
        <v>84754</v>
      </c>
      <c r="H519" s="1">
        <f t="shared" si="40"/>
        <v>4.7289803431106492</v>
      </c>
      <c r="I519" s="23">
        <v>2510</v>
      </c>
      <c r="J519" s="9">
        <f t="shared" si="45"/>
        <v>35363.346613545815</v>
      </c>
      <c r="K519" s="11">
        <v>2</v>
      </c>
      <c r="L519" s="11">
        <v>2</v>
      </c>
      <c r="M519" s="11">
        <v>3</v>
      </c>
    </row>
    <row r="520" spans="1:13" x14ac:dyDescent="0.25">
      <c r="A520" s="2">
        <f t="shared" ref="A520:A583" si="46">RANK(F520,F$7:F$817,0)</f>
        <v>514</v>
      </c>
      <c r="B520" s="2">
        <v>165699</v>
      </c>
      <c r="C520" t="s">
        <v>905</v>
      </c>
      <c r="D520" t="s">
        <v>906</v>
      </c>
      <c r="E520" t="s">
        <v>5</v>
      </c>
      <c r="F520" s="9">
        <v>88722</v>
      </c>
      <c r="G520" s="9">
        <v>79002</v>
      </c>
      <c r="H520" s="1">
        <f t="shared" ref="H520:H583" si="47">((F520-G520)/G520)*100</f>
        <v>12.303485987696513</v>
      </c>
      <c r="I520" s="23">
        <v>3888.4</v>
      </c>
      <c r="J520" s="9">
        <f t="shared" si="45"/>
        <v>22817.097006480813</v>
      </c>
      <c r="K520" s="11">
        <v>2</v>
      </c>
      <c r="L520" s="11">
        <v>2</v>
      </c>
      <c r="M520" s="11">
        <v>3</v>
      </c>
    </row>
    <row r="521" spans="1:13" x14ac:dyDescent="0.25">
      <c r="A521" s="2">
        <f t="shared" si="46"/>
        <v>515</v>
      </c>
      <c r="B521" s="2">
        <v>238616</v>
      </c>
      <c r="C521" t="s">
        <v>907</v>
      </c>
      <c r="D521" t="s">
        <v>908</v>
      </c>
      <c r="E521" t="s">
        <v>80</v>
      </c>
      <c r="F521" s="9">
        <v>88591</v>
      </c>
      <c r="G521" s="9">
        <v>81503</v>
      </c>
      <c r="H521" s="1">
        <f t="shared" si="47"/>
        <v>8.6966123946357801</v>
      </c>
      <c r="I521" s="23">
        <v>6307</v>
      </c>
      <c r="J521" s="9">
        <f t="shared" si="45"/>
        <v>14046.456318376408</v>
      </c>
      <c r="K521" s="11">
        <v>2</v>
      </c>
      <c r="L521" s="11">
        <v>2</v>
      </c>
      <c r="M521" s="11">
        <v>3</v>
      </c>
    </row>
    <row r="522" spans="1:13" x14ac:dyDescent="0.25">
      <c r="A522" s="2">
        <f t="shared" si="46"/>
        <v>516</v>
      </c>
      <c r="B522" s="2">
        <v>210739</v>
      </c>
      <c r="C522" t="s">
        <v>1442</v>
      </c>
      <c r="D522" t="s">
        <v>909</v>
      </c>
      <c r="E522" t="s">
        <v>22</v>
      </c>
      <c r="F522" s="9">
        <v>87784</v>
      </c>
      <c r="G522" s="9">
        <v>80040</v>
      </c>
      <c r="H522" s="1">
        <f t="shared" si="47"/>
        <v>9.6751624187906042</v>
      </c>
      <c r="I522" s="23">
        <v>2454</v>
      </c>
      <c r="J522" s="9">
        <f t="shared" si="45"/>
        <v>35771.801140994292</v>
      </c>
      <c r="K522" s="11">
        <v>2</v>
      </c>
      <c r="L522" s="11">
        <v>2</v>
      </c>
      <c r="M522" s="11">
        <v>3</v>
      </c>
    </row>
    <row r="523" spans="1:13" x14ac:dyDescent="0.25">
      <c r="A523" s="2">
        <f t="shared" si="46"/>
        <v>517</v>
      </c>
      <c r="B523" s="2">
        <v>217518</v>
      </c>
      <c r="C523" t="s">
        <v>910</v>
      </c>
      <c r="D523" t="s">
        <v>911</v>
      </c>
      <c r="E523" t="s">
        <v>75</v>
      </c>
      <c r="F523" s="9">
        <v>87782</v>
      </c>
      <c r="G523" s="9">
        <v>85112</v>
      </c>
      <c r="H523" s="1">
        <f t="shared" si="47"/>
        <v>3.1370429551649592</v>
      </c>
      <c r="I523" s="23">
        <v>4815</v>
      </c>
      <c r="J523" s="9">
        <f t="shared" si="45"/>
        <v>18230.944963655245</v>
      </c>
      <c r="K523" s="11">
        <v>2</v>
      </c>
      <c r="L523" s="11">
        <v>2</v>
      </c>
      <c r="M523" s="11">
        <v>3</v>
      </c>
    </row>
    <row r="524" spans="1:13" x14ac:dyDescent="0.25">
      <c r="A524" s="2">
        <f t="shared" si="46"/>
        <v>518</v>
      </c>
      <c r="B524" s="2">
        <v>184603</v>
      </c>
      <c r="C524" t="s">
        <v>912</v>
      </c>
      <c r="D524" t="s">
        <v>913</v>
      </c>
      <c r="E524" t="s">
        <v>17</v>
      </c>
      <c r="F524" s="9">
        <v>87713</v>
      </c>
      <c r="G524" s="9">
        <v>83300</v>
      </c>
      <c r="H524" s="1">
        <f t="shared" si="47"/>
        <v>5.2977190876350537</v>
      </c>
      <c r="I524" s="23">
        <v>8995</v>
      </c>
      <c r="J524" s="9">
        <f t="shared" si="45"/>
        <v>9751.3062812673707</v>
      </c>
      <c r="K524" s="11">
        <v>2</v>
      </c>
      <c r="L524" s="11">
        <v>2</v>
      </c>
      <c r="M524" s="11">
        <v>3</v>
      </c>
    </row>
    <row r="525" spans="1:13" x14ac:dyDescent="0.25">
      <c r="A525" s="2">
        <f t="shared" si="46"/>
        <v>519</v>
      </c>
      <c r="B525" s="2">
        <v>150604</v>
      </c>
      <c r="C525" t="s">
        <v>914</v>
      </c>
      <c r="D525" t="s">
        <v>915</v>
      </c>
      <c r="E525" t="s">
        <v>37</v>
      </c>
      <c r="F525" s="9">
        <v>87619</v>
      </c>
      <c r="G525" s="9">
        <v>84607</v>
      </c>
      <c r="H525" s="1">
        <f t="shared" si="47"/>
        <v>3.5599891261952323</v>
      </c>
      <c r="I525" s="23">
        <v>997</v>
      </c>
      <c r="J525" s="9">
        <f t="shared" si="45"/>
        <v>87882.6479438315</v>
      </c>
      <c r="K525" s="11">
        <v>2</v>
      </c>
      <c r="L525" s="11">
        <v>2</v>
      </c>
      <c r="M525" s="11">
        <v>4</v>
      </c>
    </row>
    <row r="526" spans="1:13" x14ac:dyDescent="0.25">
      <c r="A526" s="2">
        <f t="shared" si="46"/>
        <v>520</v>
      </c>
      <c r="B526" s="2">
        <v>127741</v>
      </c>
      <c r="C526" t="s">
        <v>916</v>
      </c>
      <c r="D526" t="s">
        <v>917</v>
      </c>
      <c r="E526" t="s">
        <v>175</v>
      </c>
      <c r="F526" s="9">
        <v>87023</v>
      </c>
      <c r="G526" s="9">
        <v>82782</v>
      </c>
      <c r="H526" s="1">
        <f t="shared" si="47"/>
        <v>5.1230943925007848</v>
      </c>
      <c r="I526" s="28" t="s">
        <v>119</v>
      </c>
      <c r="J526" s="13" t="s">
        <v>119</v>
      </c>
      <c r="K526" s="11">
        <v>1</v>
      </c>
      <c r="L526" s="11">
        <v>2</v>
      </c>
      <c r="M526" s="11">
        <v>2</v>
      </c>
    </row>
    <row r="527" spans="1:13" x14ac:dyDescent="0.25">
      <c r="A527" s="2">
        <f t="shared" si="46"/>
        <v>521</v>
      </c>
      <c r="B527" s="2">
        <v>155025</v>
      </c>
      <c r="C527" t="s">
        <v>918</v>
      </c>
      <c r="D527" t="s">
        <v>919</v>
      </c>
      <c r="E527" t="s">
        <v>132</v>
      </c>
      <c r="F527" s="9">
        <v>86607</v>
      </c>
      <c r="G527" s="9">
        <v>83571</v>
      </c>
      <c r="H527" s="1">
        <f t="shared" si="47"/>
        <v>3.6328391427648348</v>
      </c>
      <c r="I527" s="23">
        <v>4468</v>
      </c>
      <c r="J527" s="9">
        <f>(F527*1000)/I527</f>
        <v>19383.840644583706</v>
      </c>
      <c r="K527" s="11">
        <v>1</v>
      </c>
      <c r="L527" s="11">
        <v>2</v>
      </c>
      <c r="M527" s="11">
        <v>3</v>
      </c>
    </row>
    <row r="528" spans="1:13" x14ac:dyDescent="0.25">
      <c r="A528" s="2">
        <f t="shared" si="46"/>
        <v>522</v>
      </c>
      <c r="B528" s="2">
        <v>169983</v>
      </c>
      <c r="C528" t="s">
        <v>920</v>
      </c>
      <c r="D528" t="s">
        <v>470</v>
      </c>
      <c r="E528" t="s">
        <v>26</v>
      </c>
      <c r="F528" s="9">
        <v>86553</v>
      </c>
      <c r="G528" s="9">
        <v>82615</v>
      </c>
      <c r="H528" s="1">
        <f t="shared" si="47"/>
        <v>4.7666888579555771</v>
      </c>
      <c r="I528" s="23">
        <v>2087</v>
      </c>
      <c r="J528" s="9">
        <f>(F528*1000)/I528</f>
        <v>41472.448490656447</v>
      </c>
      <c r="K528" s="11">
        <v>2</v>
      </c>
      <c r="L528" s="11">
        <v>2</v>
      </c>
      <c r="M528" s="11">
        <v>3</v>
      </c>
    </row>
    <row r="529" spans="1:13" x14ac:dyDescent="0.25">
      <c r="A529" s="2">
        <f t="shared" si="46"/>
        <v>523</v>
      </c>
      <c r="B529" s="2">
        <v>144892</v>
      </c>
      <c r="C529" t="s">
        <v>921</v>
      </c>
      <c r="D529" t="s">
        <v>429</v>
      </c>
      <c r="E529" t="s">
        <v>29</v>
      </c>
      <c r="F529" s="9">
        <v>86388</v>
      </c>
      <c r="G529" s="9">
        <v>82101</v>
      </c>
      <c r="H529" s="1">
        <f t="shared" si="47"/>
        <v>5.2216172762816528</v>
      </c>
      <c r="I529" s="28" t="s">
        <v>119</v>
      </c>
      <c r="J529" s="13" t="s">
        <v>119</v>
      </c>
      <c r="K529" s="11">
        <v>1</v>
      </c>
      <c r="L529" s="11">
        <v>2</v>
      </c>
      <c r="M529" s="11">
        <v>3</v>
      </c>
    </row>
    <row r="530" spans="1:13" x14ac:dyDescent="0.25">
      <c r="A530" s="2">
        <f t="shared" si="46"/>
        <v>524</v>
      </c>
      <c r="B530" s="2">
        <v>172051</v>
      </c>
      <c r="C530" t="s">
        <v>922</v>
      </c>
      <c r="D530" t="s">
        <v>923</v>
      </c>
      <c r="E530" t="s">
        <v>26</v>
      </c>
      <c r="F530" s="9">
        <v>86175</v>
      </c>
      <c r="G530" s="9">
        <v>80534</v>
      </c>
      <c r="H530" s="1">
        <f t="shared" si="47"/>
        <v>7.0044949959023519</v>
      </c>
      <c r="I530" s="28" t="s">
        <v>119</v>
      </c>
      <c r="J530" s="13" t="s">
        <v>119</v>
      </c>
      <c r="K530" s="11">
        <v>1</v>
      </c>
      <c r="L530" s="11">
        <v>2</v>
      </c>
      <c r="M530" s="11">
        <v>3</v>
      </c>
    </row>
    <row r="531" spans="1:13" x14ac:dyDescent="0.25">
      <c r="A531" s="2">
        <f t="shared" si="46"/>
        <v>525</v>
      </c>
      <c r="B531" s="2">
        <v>200004</v>
      </c>
      <c r="C531" t="s">
        <v>924</v>
      </c>
      <c r="D531" t="s">
        <v>925</v>
      </c>
      <c r="E531" t="s">
        <v>40</v>
      </c>
      <c r="F531" s="9">
        <v>85641</v>
      </c>
      <c r="G531" s="9">
        <v>76976</v>
      </c>
      <c r="H531" s="1">
        <f t="shared" si="47"/>
        <v>11.256755352317606</v>
      </c>
      <c r="I531" s="23">
        <v>10030.5</v>
      </c>
      <c r="J531" s="9">
        <f>(F531*1000)/I531</f>
        <v>8538.058920293106</v>
      </c>
      <c r="K531" s="11">
        <v>1</v>
      </c>
      <c r="L531" s="11">
        <v>2</v>
      </c>
      <c r="M531" s="11">
        <v>3</v>
      </c>
    </row>
    <row r="532" spans="1:13" x14ac:dyDescent="0.25">
      <c r="A532" s="2">
        <f t="shared" si="46"/>
        <v>526</v>
      </c>
      <c r="B532" s="2">
        <v>213367</v>
      </c>
      <c r="C532" t="s">
        <v>926</v>
      </c>
      <c r="D532" t="s">
        <v>21</v>
      </c>
      <c r="E532" t="s">
        <v>22</v>
      </c>
      <c r="F532" s="9">
        <v>85074</v>
      </c>
      <c r="G532" s="9">
        <v>85132</v>
      </c>
      <c r="H532" s="1">
        <f t="shared" si="47"/>
        <v>-6.8129493022600199E-2</v>
      </c>
      <c r="I532" s="23">
        <v>4429.8999999999996</v>
      </c>
      <c r="J532" s="9">
        <f>(F532*1000)/I532</f>
        <v>19204.496715501482</v>
      </c>
      <c r="K532" s="11">
        <v>2</v>
      </c>
      <c r="L532" s="11">
        <v>2</v>
      </c>
      <c r="M532" s="11">
        <v>3</v>
      </c>
    </row>
    <row r="533" spans="1:13" x14ac:dyDescent="0.25">
      <c r="A533" s="2">
        <f t="shared" si="46"/>
        <v>527</v>
      </c>
      <c r="B533" s="2">
        <v>232186</v>
      </c>
      <c r="C533" t="s">
        <v>927</v>
      </c>
      <c r="D533" t="s">
        <v>928</v>
      </c>
      <c r="E533" t="s">
        <v>52</v>
      </c>
      <c r="F533" s="9">
        <v>84946</v>
      </c>
      <c r="G533" s="9">
        <v>77692</v>
      </c>
      <c r="H533" s="1">
        <f t="shared" si="47"/>
        <v>9.3368686608659832</v>
      </c>
      <c r="I533" s="28" t="s">
        <v>119</v>
      </c>
      <c r="J533" s="13" t="s">
        <v>119</v>
      </c>
      <c r="K533" s="11">
        <v>1</v>
      </c>
      <c r="L533" s="11">
        <v>2</v>
      </c>
      <c r="M533" s="11">
        <v>2</v>
      </c>
    </row>
    <row r="534" spans="1:13" x14ac:dyDescent="0.25">
      <c r="A534" s="2">
        <f t="shared" si="46"/>
        <v>528</v>
      </c>
      <c r="B534" s="2">
        <v>450304</v>
      </c>
      <c r="C534" t="s">
        <v>929</v>
      </c>
      <c r="D534" t="s">
        <v>930</v>
      </c>
      <c r="E534" t="s">
        <v>8</v>
      </c>
      <c r="F534" s="9">
        <v>84861</v>
      </c>
      <c r="G534" s="9">
        <v>81801</v>
      </c>
      <c r="H534" s="1">
        <f t="shared" si="47"/>
        <v>3.7407855649686432</v>
      </c>
      <c r="I534" s="19">
        <v>154</v>
      </c>
      <c r="J534" s="9">
        <f>(F534*1000)/I534</f>
        <v>551045.45454545459</v>
      </c>
      <c r="K534" s="11">
        <v>2</v>
      </c>
      <c r="L534" s="11">
        <v>2</v>
      </c>
      <c r="M534" s="11">
        <v>5</v>
      </c>
    </row>
    <row r="535" spans="1:13" x14ac:dyDescent="0.25">
      <c r="A535" s="2">
        <f t="shared" si="46"/>
        <v>529</v>
      </c>
      <c r="B535" s="2">
        <v>219976</v>
      </c>
      <c r="C535" t="s">
        <v>931</v>
      </c>
      <c r="D535" t="s">
        <v>62</v>
      </c>
      <c r="E535" t="s">
        <v>63</v>
      </c>
      <c r="F535" s="9">
        <v>84634</v>
      </c>
      <c r="G535" s="9">
        <v>79077</v>
      </c>
      <c r="H535" s="1">
        <f t="shared" si="47"/>
        <v>7.0273277944282162</v>
      </c>
      <c r="I535" s="23">
        <v>4301</v>
      </c>
      <c r="J535" s="9">
        <f>(F535*1000)/I535</f>
        <v>19677.749360613812</v>
      </c>
      <c r="K535" s="11">
        <v>2</v>
      </c>
      <c r="L535" s="11">
        <v>2</v>
      </c>
      <c r="M535" s="11">
        <v>2</v>
      </c>
    </row>
    <row r="536" spans="1:13" x14ac:dyDescent="0.25">
      <c r="A536" s="2">
        <f t="shared" si="46"/>
        <v>530</v>
      </c>
      <c r="B536" s="2">
        <v>136330</v>
      </c>
      <c r="C536" t="s">
        <v>932</v>
      </c>
      <c r="D536" t="s">
        <v>933</v>
      </c>
      <c r="E536" t="s">
        <v>138</v>
      </c>
      <c r="F536" s="9">
        <v>84139</v>
      </c>
      <c r="G536" s="9">
        <v>78491</v>
      </c>
      <c r="H536" s="1">
        <f t="shared" si="47"/>
        <v>7.195729446688155</v>
      </c>
      <c r="I536" s="23">
        <v>3331</v>
      </c>
      <c r="J536" s="9">
        <f>(F536*1000)/I536</f>
        <v>25259.381567096967</v>
      </c>
      <c r="K536" s="11">
        <v>2</v>
      </c>
      <c r="L536" s="11">
        <v>2</v>
      </c>
      <c r="M536" s="11">
        <v>3</v>
      </c>
    </row>
    <row r="537" spans="1:13" x14ac:dyDescent="0.25">
      <c r="A537" s="2">
        <f t="shared" si="46"/>
        <v>531</v>
      </c>
      <c r="B537" s="2">
        <v>125727</v>
      </c>
      <c r="C537" t="s">
        <v>934</v>
      </c>
      <c r="D537" t="s">
        <v>447</v>
      </c>
      <c r="E537" t="s">
        <v>14</v>
      </c>
      <c r="F537" s="9">
        <v>83999</v>
      </c>
      <c r="G537" s="9">
        <v>80758</v>
      </c>
      <c r="H537" s="1">
        <f t="shared" si="47"/>
        <v>4.0132246960053495</v>
      </c>
      <c r="I537" s="28" t="s">
        <v>119</v>
      </c>
      <c r="J537" s="13" t="s">
        <v>119</v>
      </c>
      <c r="K537" s="11">
        <v>2</v>
      </c>
      <c r="L537" s="11">
        <v>2</v>
      </c>
      <c r="M537" s="11">
        <v>4</v>
      </c>
    </row>
    <row r="538" spans="1:13" x14ac:dyDescent="0.25">
      <c r="A538" s="2">
        <f t="shared" si="46"/>
        <v>532</v>
      </c>
      <c r="B538" s="2">
        <v>203845</v>
      </c>
      <c r="C538" t="s">
        <v>935</v>
      </c>
      <c r="D538" t="s">
        <v>936</v>
      </c>
      <c r="E538" t="s">
        <v>60</v>
      </c>
      <c r="F538" s="9">
        <v>83580</v>
      </c>
      <c r="G538" s="9">
        <v>77352</v>
      </c>
      <c r="H538" s="1">
        <f t="shared" si="47"/>
        <v>8.0515048091839905</v>
      </c>
      <c r="I538" s="23">
        <v>1055</v>
      </c>
      <c r="J538" s="9">
        <f>(F538*1000)/I538</f>
        <v>79222.748815165876</v>
      </c>
      <c r="K538" s="11">
        <v>2</v>
      </c>
      <c r="L538" s="11">
        <v>2</v>
      </c>
      <c r="M538" s="11">
        <v>4</v>
      </c>
    </row>
    <row r="539" spans="1:13" x14ac:dyDescent="0.25">
      <c r="A539" s="2">
        <f t="shared" si="46"/>
        <v>533</v>
      </c>
      <c r="B539" s="2">
        <v>157401</v>
      </c>
      <c r="C539" t="s">
        <v>937</v>
      </c>
      <c r="D539" t="s">
        <v>938</v>
      </c>
      <c r="E539" t="s">
        <v>173</v>
      </c>
      <c r="F539" s="9">
        <v>83203</v>
      </c>
      <c r="G539" s="9">
        <v>77580</v>
      </c>
      <c r="H539" s="1">
        <f t="shared" si="47"/>
        <v>7.2480020623872123</v>
      </c>
      <c r="I539" s="23">
        <v>8084</v>
      </c>
      <c r="J539" s="9">
        <f>(F539*1000)/I539</f>
        <v>10292.30578921326</v>
      </c>
      <c r="K539" s="11">
        <v>1</v>
      </c>
      <c r="L539" s="11">
        <v>2</v>
      </c>
      <c r="M539" s="11">
        <v>3</v>
      </c>
    </row>
    <row r="540" spans="1:13" x14ac:dyDescent="0.25">
      <c r="A540" s="2">
        <f t="shared" si="46"/>
        <v>534</v>
      </c>
      <c r="B540" s="2">
        <v>108092</v>
      </c>
      <c r="C540" t="s">
        <v>939</v>
      </c>
      <c r="D540" t="s">
        <v>940</v>
      </c>
      <c r="E540" t="s">
        <v>201</v>
      </c>
      <c r="F540" s="9">
        <v>83118</v>
      </c>
      <c r="G540" s="9">
        <v>73413</v>
      </c>
      <c r="H540" s="1">
        <f t="shared" si="47"/>
        <v>13.219729475705938</v>
      </c>
      <c r="I540" s="32" t="s">
        <v>119</v>
      </c>
      <c r="J540" s="13" t="s">
        <v>119</v>
      </c>
      <c r="K540" s="11">
        <v>1</v>
      </c>
      <c r="L540" s="11">
        <v>2</v>
      </c>
      <c r="M540" s="11">
        <v>4</v>
      </c>
    </row>
    <row r="541" spans="1:13" x14ac:dyDescent="0.25">
      <c r="A541" s="2">
        <f t="shared" si="46"/>
        <v>535</v>
      </c>
      <c r="B541" s="2">
        <v>193830</v>
      </c>
      <c r="C541" t="s">
        <v>941</v>
      </c>
      <c r="D541" t="s">
        <v>645</v>
      </c>
      <c r="E541" t="s">
        <v>34</v>
      </c>
      <c r="F541" s="9">
        <v>82786</v>
      </c>
      <c r="G541" s="9">
        <v>78365</v>
      </c>
      <c r="H541" s="1">
        <f t="shared" si="47"/>
        <v>5.6415491609774771</v>
      </c>
      <c r="I541" s="23">
        <v>1300</v>
      </c>
      <c r="J541" s="9">
        <f>(F541*1000)/I541</f>
        <v>63681.538461538461</v>
      </c>
      <c r="K541" s="11">
        <v>2</v>
      </c>
      <c r="L541" s="11">
        <v>2</v>
      </c>
      <c r="M541" s="11">
        <v>5</v>
      </c>
    </row>
    <row r="542" spans="1:13" x14ac:dyDescent="0.25">
      <c r="A542" s="2">
        <f t="shared" si="46"/>
        <v>536</v>
      </c>
      <c r="B542" s="2">
        <v>133881</v>
      </c>
      <c r="C542" t="s">
        <v>942</v>
      </c>
      <c r="D542" t="s">
        <v>943</v>
      </c>
      <c r="E542" t="s">
        <v>138</v>
      </c>
      <c r="F542" s="9">
        <v>82652</v>
      </c>
      <c r="G542" s="9">
        <v>72377</v>
      </c>
      <c r="H542" s="1">
        <f t="shared" si="47"/>
        <v>14.196498887768213</v>
      </c>
      <c r="I542" s="23">
        <v>7385</v>
      </c>
      <c r="J542" s="9">
        <f>(F542*1000)/I542</f>
        <v>11191.875423155045</v>
      </c>
      <c r="K542" s="11">
        <v>1</v>
      </c>
      <c r="L542" s="11">
        <v>2</v>
      </c>
      <c r="M542" s="11">
        <v>4</v>
      </c>
    </row>
    <row r="543" spans="1:13" x14ac:dyDescent="0.25">
      <c r="A543" s="2">
        <f t="shared" si="46"/>
        <v>537</v>
      </c>
      <c r="B543" s="2">
        <v>146977</v>
      </c>
      <c r="C543" t="s">
        <v>944</v>
      </c>
      <c r="D543" t="s">
        <v>42</v>
      </c>
      <c r="E543" t="s">
        <v>29</v>
      </c>
      <c r="F543" s="9">
        <v>82593</v>
      </c>
      <c r="G543" s="9">
        <v>81397</v>
      </c>
      <c r="H543" s="1">
        <f t="shared" si="47"/>
        <v>1.4693416219270981</v>
      </c>
      <c r="I543" s="23">
        <v>116.85</v>
      </c>
      <c r="J543" s="9">
        <v>705923.08</v>
      </c>
      <c r="K543" s="11">
        <v>2</v>
      </c>
      <c r="L543" s="11">
        <v>2</v>
      </c>
      <c r="M543" s="11">
        <v>5</v>
      </c>
    </row>
    <row r="544" spans="1:13" x14ac:dyDescent="0.25">
      <c r="A544" s="2">
        <f t="shared" si="46"/>
        <v>538</v>
      </c>
      <c r="B544" s="2">
        <v>230807</v>
      </c>
      <c r="C544" t="s">
        <v>1471</v>
      </c>
      <c r="D544" t="s">
        <v>945</v>
      </c>
      <c r="E544" t="s">
        <v>206</v>
      </c>
      <c r="F544" s="9">
        <v>81166</v>
      </c>
      <c r="G544" s="9">
        <v>77441</v>
      </c>
      <c r="H544" s="1">
        <f t="shared" si="47"/>
        <v>4.8101135057656803</v>
      </c>
      <c r="I544" s="23">
        <v>2366</v>
      </c>
      <c r="J544" s="9">
        <f>(F544*1000)/I544</f>
        <v>34305.156382079462</v>
      </c>
      <c r="K544" s="11">
        <v>2</v>
      </c>
      <c r="L544" s="11">
        <v>2</v>
      </c>
      <c r="M544" s="11">
        <v>3</v>
      </c>
    </row>
    <row r="545" spans="1:13" x14ac:dyDescent="0.25">
      <c r="A545" s="2">
        <f t="shared" si="46"/>
        <v>539</v>
      </c>
      <c r="B545" s="2">
        <v>153108</v>
      </c>
      <c r="C545" t="s">
        <v>946</v>
      </c>
      <c r="D545" t="s">
        <v>947</v>
      </c>
      <c r="E545" t="s">
        <v>113</v>
      </c>
      <c r="F545" s="9">
        <v>81011</v>
      </c>
      <c r="G545" s="9">
        <v>76453</v>
      </c>
      <c r="H545" s="1">
        <f t="shared" si="47"/>
        <v>5.9618327599963372</v>
      </c>
      <c r="I545" s="23">
        <v>1211</v>
      </c>
      <c r="J545" s="9">
        <f>(F545*1000)/I545</f>
        <v>66895.953757225434</v>
      </c>
      <c r="K545" s="11">
        <v>2</v>
      </c>
      <c r="L545" s="11">
        <v>2</v>
      </c>
      <c r="M545" s="11">
        <v>4</v>
      </c>
    </row>
    <row r="546" spans="1:13" x14ac:dyDescent="0.25">
      <c r="A546" s="2">
        <f t="shared" si="46"/>
        <v>540</v>
      </c>
      <c r="B546" s="2">
        <v>212197</v>
      </c>
      <c r="C546" t="s">
        <v>948</v>
      </c>
      <c r="D546" t="s">
        <v>949</v>
      </c>
      <c r="E546" t="s">
        <v>22</v>
      </c>
      <c r="F546" s="9">
        <v>80710</v>
      </c>
      <c r="G546" s="9">
        <v>76065</v>
      </c>
      <c r="H546" s="1">
        <f t="shared" si="47"/>
        <v>6.1066193387234602</v>
      </c>
      <c r="I546" s="19">
        <v>1711</v>
      </c>
      <c r="J546" s="9">
        <f>(F546*1000)/I546</f>
        <v>47171.244886031564</v>
      </c>
      <c r="K546" s="11">
        <v>2</v>
      </c>
      <c r="L546" s="11">
        <v>2</v>
      </c>
      <c r="M546" s="11">
        <v>4</v>
      </c>
    </row>
    <row r="547" spans="1:13" x14ac:dyDescent="0.25">
      <c r="A547" s="2">
        <f t="shared" si="46"/>
        <v>541</v>
      </c>
      <c r="B547" s="2">
        <v>176284</v>
      </c>
      <c r="C547" t="s">
        <v>950</v>
      </c>
      <c r="D547" t="s">
        <v>951</v>
      </c>
      <c r="E547" t="s">
        <v>316</v>
      </c>
      <c r="F547" s="9">
        <v>79380</v>
      </c>
      <c r="G547" s="9">
        <v>73142</v>
      </c>
      <c r="H547" s="1">
        <f t="shared" si="47"/>
        <v>8.5286155697137076</v>
      </c>
      <c r="I547" s="19">
        <v>543</v>
      </c>
      <c r="J547" s="9">
        <f>(F547*1000)/I547</f>
        <v>146187.84530386739</v>
      </c>
      <c r="K547" s="10" t="s">
        <v>119</v>
      </c>
      <c r="L547" s="10" t="s">
        <v>119</v>
      </c>
      <c r="M547" s="10" t="s">
        <v>119</v>
      </c>
    </row>
    <row r="548" spans="1:13" x14ac:dyDescent="0.25">
      <c r="A548" s="2">
        <f t="shared" si="46"/>
        <v>542</v>
      </c>
      <c r="B548" s="2">
        <v>204264</v>
      </c>
      <c r="C548" t="s">
        <v>952</v>
      </c>
      <c r="D548" t="s">
        <v>953</v>
      </c>
      <c r="E548" t="s">
        <v>60</v>
      </c>
      <c r="F548" s="9">
        <v>79308</v>
      </c>
      <c r="G548" s="9">
        <v>77231</v>
      </c>
      <c r="H548" s="1">
        <f t="shared" si="47"/>
        <v>2.6893345936217323</v>
      </c>
      <c r="I548" s="23">
        <v>1828</v>
      </c>
      <c r="J548" s="9">
        <f>(F548*1000)/I548</f>
        <v>43385.120350109406</v>
      </c>
      <c r="K548" s="11">
        <v>2</v>
      </c>
      <c r="L548" s="11">
        <v>2</v>
      </c>
      <c r="M548" s="11">
        <v>3</v>
      </c>
    </row>
    <row r="549" spans="1:13" x14ac:dyDescent="0.25">
      <c r="A549" s="2">
        <f t="shared" si="46"/>
        <v>543</v>
      </c>
      <c r="B549" s="2">
        <v>169910</v>
      </c>
      <c r="C549" t="s">
        <v>1476</v>
      </c>
      <c r="D549" t="s">
        <v>954</v>
      </c>
      <c r="E549" t="s">
        <v>26</v>
      </c>
      <c r="F549" s="9">
        <v>78749</v>
      </c>
      <c r="G549" s="9">
        <v>73825</v>
      </c>
      <c r="H549" s="1">
        <f t="shared" si="47"/>
        <v>6.669827294277006</v>
      </c>
      <c r="I549" s="32" t="s">
        <v>119</v>
      </c>
      <c r="J549" s="13" t="s">
        <v>119</v>
      </c>
      <c r="K549" s="11">
        <v>1</v>
      </c>
      <c r="L549" s="11">
        <v>2</v>
      </c>
      <c r="M549" s="11">
        <v>3</v>
      </c>
    </row>
    <row r="550" spans="1:13" x14ac:dyDescent="0.25">
      <c r="A550" s="2">
        <f t="shared" si="46"/>
        <v>544</v>
      </c>
      <c r="B550" s="2">
        <v>217961</v>
      </c>
      <c r="C550" t="s">
        <v>955</v>
      </c>
      <c r="D550" t="s">
        <v>598</v>
      </c>
      <c r="E550" t="s">
        <v>278</v>
      </c>
      <c r="F550" s="9">
        <v>78740</v>
      </c>
      <c r="G550" s="9">
        <v>76725</v>
      </c>
      <c r="H550" s="1">
        <f t="shared" si="47"/>
        <v>2.6262626262626263</v>
      </c>
      <c r="I550" s="23">
        <v>1445</v>
      </c>
      <c r="J550" s="9">
        <f>(F550*1000)/I550</f>
        <v>54491.349480968856</v>
      </c>
      <c r="K550" s="11">
        <v>2</v>
      </c>
      <c r="L550" s="11">
        <v>2</v>
      </c>
      <c r="M550" s="11">
        <v>3</v>
      </c>
    </row>
    <row r="551" spans="1:13" x14ac:dyDescent="0.25">
      <c r="A551" s="2">
        <f t="shared" si="46"/>
        <v>545</v>
      </c>
      <c r="B551" s="2">
        <v>197197</v>
      </c>
      <c r="C551" t="s">
        <v>956</v>
      </c>
      <c r="D551" t="s">
        <v>957</v>
      </c>
      <c r="E551" t="s">
        <v>34</v>
      </c>
      <c r="F551" s="9">
        <v>78493</v>
      </c>
      <c r="G551" s="9">
        <v>74482</v>
      </c>
      <c r="H551" s="1">
        <f t="shared" si="47"/>
        <v>5.3851937380843689</v>
      </c>
      <c r="I551" s="23">
        <v>2059</v>
      </c>
      <c r="J551" s="9">
        <f>(F551*1000)/I551</f>
        <v>38121.903836813988</v>
      </c>
      <c r="K551" s="11">
        <v>2</v>
      </c>
      <c r="L551" s="11">
        <v>2</v>
      </c>
      <c r="M551" s="11">
        <v>3</v>
      </c>
    </row>
    <row r="552" spans="1:13" x14ac:dyDescent="0.25">
      <c r="A552" s="2">
        <f t="shared" si="46"/>
        <v>546</v>
      </c>
      <c r="B552" s="2">
        <v>198613</v>
      </c>
      <c r="C552" t="s">
        <v>958</v>
      </c>
      <c r="D552" t="s">
        <v>491</v>
      </c>
      <c r="E552" t="s">
        <v>40</v>
      </c>
      <c r="F552" s="9">
        <v>78153</v>
      </c>
      <c r="G552" s="9">
        <v>74545</v>
      </c>
      <c r="H552" s="1">
        <f t="shared" si="47"/>
        <v>4.8400295123750752</v>
      </c>
      <c r="I552" s="23">
        <v>1548</v>
      </c>
      <c r="J552" s="9">
        <f>(F552*1000)/I552</f>
        <v>50486.43410852713</v>
      </c>
      <c r="K552" s="11">
        <v>2</v>
      </c>
      <c r="L552" s="11">
        <v>2</v>
      </c>
      <c r="M552" s="11">
        <v>4</v>
      </c>
    </row>
    <row r="553" spans="1:13" x14ac:dyDescent="0.25">
      <c r="A553" s="2">
        <f t="shared" si="46"/>
        <v>547</v>
      </c>
      <c r="B553" s="2">
        <v>174747</v>
      </c>
      <c r="C553" t="s">
        <v>959</v>
      </c>
      <c r="D553" t="s">
        <v>960</v>
      </c>
      <c r="E553" t="s">
        <v>72</v>
      </c>
      <c r="F553" s="9">
        <v>78105</v>
      </c>
      <c r="G553" s="9">
        <v>72144</v>
      </c>
      <c r="H553" s="1">
        <f t="shared" si="47"/>
        <v>8.2626413838988686</v>
      </c>
      <c r="I553" s="23">
        <v>1912</v>
      </c>
      <c r="J553" s="9">
        <f>(F553*1000)/I553</f>
        <v>40849.895397489541</v>
      </c>
      <c r="K553" s="11">
        <v>2</v>
      </c>
      <c r="L553" s="11">
        <v>2</v>
      </c>
      <c r="M553" s="11">
        <v>4</v>
      </c>
    </row>
    <row r="554" spans="1:13" x14ac:dyDescent="0.25">
      <c r="A554" s="2">
        <f t="shared" si="46"/>
        <v>548</v>
      </c>
      <c r="B554" s="2">
        <v>106458</v>
      </c>
      <c r="C554" t="s">
        <v>961</v>
      </c>
      <c r="D554" t="s">
        <v>962</v>
      </c>
      <c r="E554" t="s">
        <v>201</v>
      </c>
      <c r="F554" s="9">
        <v>78091</v>
      </c>
      <c r="G554" s="9">
        <v>66217</v>
      </c>
      <c r="H554" s="1">
        <f t="shared" si="47"/>
        <v>17.93195100955948</v>
      </c>
      <c r="I554" s="32" t="s">
        <v>119</v>
      </c>
      <c r="J554" s="13" t="s">
        <v>119</v>
      </c>
      <c r="K554" s="11">
        <v>1</v>
      </c>
      <c r="L554" s="11">
        <v>2</v>
      </c>
      <c r="M554" s="11">
        <v>3</v>
      </c>
    </row>
    <row r="555" spans="1:13" x14ac:dyDescent="0.25">
      <c r="A555" s="2">
        <f t="shared" si="46"/>
        <v>549</v>
      </c>
      <c r="B555" s="2">
        <v>153162</v>
      </c>
      <c r="C555" t="s">
        <v>963</v>
      </c>
      <c r="D555" t="s">
        <v>964</v>
      </c>
      <c r="E555" t="s">
        <v>113</v>
      </c>
      <c r="F555" s="9">
        <v>77722</v>
      </c>
      <c r="G555" s="9">
        <v>74502</v>
      </c>
      <c r="H555" s="1">
        <f t="shared" si="47"/>
        <v>4.3220316233121263</v>
      </c>
      <c r="I555" s="23">
        <v>1000</v>
      </c>
      <c r="J555" s="9">
        <f>(F555*1000)/I555</f>
        <v>77722</v>
      </c>
      <c r="K555" s="11">
        <v>2</v>
      </c>
      <c r="L555" s="11">
        <v>2</v>
      </c>
      <c r="M555" s="11">
        <v>4</v>
      </c>
    </row>
    <row r="556" spans="1:13" x14ac:dyDescent="0.25">
      <c r="A556" s="2">
        <f t="shared" si="46"/>
        <v>550</v>
      </c>
      <c r="B556" s="2">
        <v>191533</v>
      </c>
      <c r="C556" t="s">
        <v>965</v>
      </c>
      <c r="D556" t="s">
        <v>966</v>
      </c>
      <c r="E556" t="s">
        <v>34</v>
      </c>
      <c r="F556" s="9">
        <v>77304</v>
      </c>
      <c r="G556" s="9">
        <v>74348</v>
      </c>
      <c r="H556" s="1">
        <f t="shared" si="47"/>
        <v>3.9758971324043686</v>
      </c>
      <c r="I556" s="23">
        <v>1033</v>
      </c>
      <c r="J556" s="9">
        <f>(F556*1000)/I556</f>
        <v>74834.462729912877</v>
      </c>
      <c r="K556" s="11">
        <v>2</v>
      </c>
      <c r="L556" s="11">
        <v>2</v>
      </c>
      <c r="M556" s="11">
        <v>4</v>
      </c>
    </row>
    <row r="557" spans="1:13" x14ac:dyDescent="0.25">
      <c r="A557" s="2">
        <f t="shared" si="46"/>
        <v>551</v>
      </c>
      <c r="B557" s="2">
        <v>110583</v>
      </c>
      <c r="C557" t="s">
        <v>967</v>
      </c>
      <c r="D557" t="s">
        <v>968</v>
      </c>
      <c r="E557" t="s">
        <v>14</v>
      </c>
      <c r="F557" s="9">
        <v>77175</v>
      </c>
      <c r="G557" s="9">
        <v>66613</v>
      </c>
      <c r="H557" s="1">
        <f t="shared" si="47"/>
        <v>15.855763889931396</v>
      </c>
      <c r="I557" s="32" t="s">
        <v>119</v>
      </c>
      <c r="J557" s="13" t="s">
        <v>119</v>
      </c>
      <c r="K557" s="11">
        <v>1</v>
      </c>
      <c r="L557" s="11">
        <v>2</v>
      </c>
      <c r="M557" s="11">
        <v>3</v>
      </c>
    </row>
    <row r="558" spans="1:13" x14ac:dyDescent="0.25">
      <c r="A558" s="2">
        <f t="shared" si="46"/>
        <v>552</v>
      </c>
      <c r="B558" s="2">
        <v>147679</v>
      </c>
      <c r="C558" t="s">
        <v>969</v>
      </c>
      <c r="D558" t="s">
        <v>42</v>
      </c>
      <c r="E558" t="s">
        <v>29</v>
      </c>
      <c r="F558" s="9">
        <v>76874</v>
      </c>
      <c r="G558" s="9">
        <v>74876</v>
      </c>
      <c r="H558" s="1">
        <f t="shared" si="47"/>
        <v>2.6684117741332338</v>
      </c>
      <c r="I558" s="23">
        <v>2319</v>
      </c>
      <c r="J558" s="9">
        <f>(F558*1000)/I558</f>
        <v>33149.633462699443</v>
      </c>
      <c r="K558" s="11">
        <v>2</v>
      </c>
      <c r="L558" s="11">
        <v>2</v>
      </c>
      <c r="M558" s="11">
        <v>3</v>
      </c>
    </row>
    <row r="559" spans="1:13" x14ac:dyDescent="0.25">
      <c r="A559" s="2">
        <f t="shared" si="46"/>
        <v>553</v>
      </c>
      <c r="B559" s="2">
        <v>224323</v>
      </c>
      <c r="C559" t="s">
        <v>970</v>
      </c>
      <c r="D559" t="s">
        <v>971</v>
      </c>
      <c r="E559" t="s">
        <v>8</v>
      </c>
      <c r="F559" s="9">
        <v>76043</v>
      </c>
      <c r="G559" s="9">
        <v>57289</v>
      </c>
      <c r="H559" s="1">
        <f t="shared" si="47"/>
        <v>32.735778247132956</v>
      </c>
      <c r="I559" s="23">
        <v>2021</v>
      </c>
      <c r="J559" s="9">
        <f>(F559*1000)/I559</f>
        <v>37626.422563087581</v>
      </c>
      <c r="K559" s="11">
        <v>2</v>
      </c>
      <c r="L559" s="11">
        <v>2</v>
      </c>
      <c r="M559" s="11">
        <v>3</v>
      </c>
    </row>
    <row r="560" spans="1:13" x14ac:dyDescent="0.25">
      <c r="A560" s="2">
        <f t="shared" si="46"/>
        <v>554</v>
      </c>
      <c r="B560" s="2">
        <v>169798</v>
      </c>
      <c r="C560" t="s">
        <v>972</v>
      </c>
      <c r="D560" t="s">
        <v>973</v>
      </c>
      <c r="E560" t="s">
        <v>26</v>
      </c>
      <c r="F560" s="9">
        <v>76014</v>
      </c>
      <c r="G560" s="9">
        <v>71975</v>
      </c>
      <c r="H560" s="1">
        <f t="shared" si="47"/>
        <v>5.6116707189996529</v>
      </c>
      <c r="I560" s="32" t="s">
        <v>119</v>
      </c>
      <c r="J560" s="13" t="s">
        <v>119</v>
      </c>
      <c r="K560" s="11">
        <v>1</v>
      </c>
      <c r="L560" s="11">
        <v>2</v>
      </c>
      <c r="M560" s="11">
        <v>2</v>
      </c>
    </row>
    <row r="561" spans="1:13" x14ac:dyDescent="0.25">
      <c r="A561" s="2">
        <f t="shared" si="46"/>
        <v>555</v>
      </c>
      <c r="B561" s="2">
        <v>167899</v>
      </c>
      <c r="C561" t="s">
        <v>974</v>
      </c>
      <c r="D561" t="s">
        <v>798</v>
      </c>
      <c r="E561" t="s">
        <v>5</v>
      </c>
      <c r="F561" s="9">
        <v>75776</v>
      </c>
      <c r="G561" s="9">
        <v>70520</v>
      </c>
      <c r="H561" s="1">
        <f t="shared" si="47"/>
        <v>7.4532047646057853</v>
      </c>
      <c r="I561" s="23">
        <v>4269</v>
      </c>
      <c r="J561" s="9">
        <f>(F561*1000)/I561</f>
        <v>17750.292808620285</v>
      </c>
      <c r="K561" s="11">
        <v>2</v>
      </c>
      <c r="L561" s="11">
        <v>2</v>
      </c>
      <c r="M561" s="11">
        <v>3</v>
      </c>
    </row>
    <row r="562" spans="1:13" x14ac:dyDescent="0.25">
      <c r="A562" s="2">
        <f t="shared" si="46"/>
        <v>556</v>
      </c>
      <c r="B562" s="2">
        <v>134079</v>
      </c>
      <c r="C562" t="s">
        <v>975</v>
      </c>
      <c r="D562" t="s">
        <v>976</v>
      </c>
      <c r="E562" t="s">
        <v>138</v>
      </c>
      <c r="F562" s="9">
        <v>75236</v>
      </c>
      <c r="G562" s="9">
        <v>67816</v>
      </c>
      <c r="H562" s="1">
        <f t="shared" si="47"/>
        <v>10.941370767960363</v>
      </c>
      <c r="I562" s="23">
        <v>2953</v>
      </c>
      <c r="J562" s="9">
        <f>(F562*1000)/I562</f>
        <v>25477.819166948866</v>
      </c>
      <c r="K562" s="11">
        <v>2</v>
      </c>
      <c r="L562" s="11">
        <v>2</v>
      </c>
      <c r="M562" s="11">
        <v>3</v>
      </c>
    </row>
    <row r="563" spans="1:13" x14ac:dyDescent="0.25">
      <c r="A563" s="2">
        <f t="shared" si="46"/>
        <v>557</v>
      </c>
      <c r="B563" s="2">
        <v>138354</v>
      </c>
      <c r="C563" t="s">
        <v>977</v>
      </c>
      <c r="D563" t="s">
        <v>978</v>
      </c>
      <c r="E563" t="s">
        <v>138</v>
      </c>
      <c r="F563" s="9">
        <v>75157</v>
      </c>
      <c r="G563" s="9">
        <v>70146</v>
      </c>
      <c r="H563" s="1">
        <f t="shared" si="47"/>
        <v>7.1436717703076438</v>
      </c>
      <c r="I563" s="32" t="s">
        <v>119</v>
      </c>
      <c r="J563" s="13" t="s">
        <v>119</v>
      </c>
      <c r="K563" s="11">
        <v>1</v>
      </c>
      <c r="L563" s="11">
        <v>2</v>
      </c>
      <c r="M563" s="11">
        <v>2</v>
      </c>
    </row>
    <row r="564" spans="1:13" x14ac:dyDescent="0.25">
      <c r="A564" s="2">
        <f t="shared" si="46"/>
        <v>558</v>
      </c>
      <c r="B564" s="2">
        <v>146612</v>
      </c>
      <c r="C564" t="s">
        <v>979</v>
      </c>
      <c r="D564" t="s">
        <v>980</v>
      </c>
      <c r="E564" t="s">
        <v>29</v>
      </c>
      <c r="F564" s="9">
        <v>74417</v>
      </c>
      <c r="G564" s="9">
        <v>69021</v>
      </c>
      <c r="H564" s="1">
        <f t="shared" si="47"/>
        <v>7.8179104910099824</v>
      </c>
      <c r="I564" s="32" t="s">
        <v>119</v>
      </c>
      <c r="J564" s="13" t="s">
        <v>119</v>
      </c>
      <c r="K564" s="11">
        <v>2</v>
      </c>
      <c r="L564" s="11">
        <v>2</v>
      </c>
      <c r="M564" s="11">
        <v>3</v>
      </c>
    </row>
    <row r="565" spans="1:13" x14ac:dyDescent="0.25">
      <c r="A565" s="2">
        <f t="shared" si="46"/>
        <v>559</v>
      </c>
      <c r="B565" s="2">
        <v>138187</v>
      </c>
      <c r="C565" t="s">
        <v>981</v>
      </c>
      <c r="D565" t="s">
        <v>680</v>
      </c>
      <c r="E565" t="s">
        <v>138</v>
      </c>
      <c r="F565" s="9">
        <v>74332</v>
      </c>
      <c r="G565" s="9">
        <v>70318</v>
      </c>
      <c r="H565" s="1">
        <f t="shared" si="47"/>
        <v>5.708353479905572</v>
      </c>
      <c r="I565" s="32" t="s">
        <v>119</v>
      </c>
      <c r="J565" s="13" t="s">
        <v>119</v>
      </c>
      <c r="K565" s="11">
        <v>1</v>
      </c>
      <c r="L565" s="11">
        <v>2</v>
      </c>
      <c r="M565" s="11">
        <v>1</v>
      </c>
    </row>
    <row r="566" spans="1:13" x14ac:dyDescent="0.25">
      <c r="A566" s="2">
        <f t="shared" si="46"/>
        <v>560</v>
      </c>
      <c r="B566" s="2">
        <v>155681</v>
      </c>
      <c r="C566" t="s">
        <v>982</v>
      </c>
      <c r="D566" t="s">
        <v>983</v>
      </c>
      <c r="E566" t="s">
        <v>132</v>
      </c>
      <c r="F566" s="9">
        <v>74328</v>
      </c>
      <c r="G566" s="9">
        <v>70178</v>
      </c>
      <c r="H566" s="1">
        <f t="shared" si="47"/>
        <v>5.9135341560033057</v>
      </c>
      <c r="I566" s="32" t="s">
        <v>119</v>
      </c>
      <c r="J566" s="13" t="s">
        <v>119</v>
      </c>
      <c r="K566" s="11">
        <v>1</v>
      </c>
      <c r="L566" s="11">
        <v>2</v>
      </c>
      <c r="M566" s="11">
        <v>3</v>
      </c>
    </row>
    <row r="567" spans="1:13" x14ac:dyDescent="0.25">
      <c r="A567" s="2">
        <f t="shared" si="46"/>
        <v>561</v>
      </c>
      <c r="B567" s="2">
        <v>185590</v>
      </c>
      <c r="C567" t="s">
        <v>984</v>
      </c>
      <c r="D567" t="s">
        <v>985</v>
      </c>
      <c r="E567" t="s">
        <v>17</v>
      </c>
      <c r="F567" s="9">
        <v>74310</v>
      </c>
      <c r="G567" s="9">
        <v>72053</v>
      </c>
      <c r="H567" s="1">
        <f t="shared" si="47"/>
        <v>3.1324164156940033</v>
      </c>
      <c r="I567" s="32" t="s">
        <v>119</v>
      </c>
      <c r="J567" s="13" t="s">
        <v>119</v>
      </c>
      <c r="K567" s="11">
        <v>1</v>
      </c>
      <c r="L567" s="11">
        <v>2</v>
      </c>
      <c r="M567" s="11">
        <v>2</v>
      </c>
    </row>
    <row r="568" spans="1:13" x14ac:dyDescent="0.25">
      <c r="A568" s="2">
        <f t="shared" si="46"/>
        <v>562</v>
      </c>
      <c r="B568" s="2">
        <v>195173</v>
      </c>
      <c r="C568" t="s">
        <v>986</v>
      </c>
      <c r="D568" t="s">
        <v>618</v>
      </c>
      <c r="E568" t="s">
        <v>34</v>
      </c>
      <c r="F568" s="9">
        <v>73938</v>
      </c>
      <c r="G568" s="9">
        <v>75827</v>
      </c>
      <c r="H568" s="1">
        <f t="shared" si="47"/>
        <v>-2.4911970670077941</v>
      </c>
      <c r="I568" s="23">
        <v>2264</v>
      </c>
      <c r="J568" s="9">
        <f>(F568*1000)/I568</f>
        <v>32658.127208480564</v>
      </c>
      <c r="K568" s="11">
        <v>2</v>
      </c>
      <c r="L568" s="11">
        <v>2</v>
      </c>
      <c r="M568" s="11">
        <v>4</v>
      </c>
    </row>
    <row r="569" spans="1:13" x14ac:dyDescent="0.25">
      <c r="A569" s="2">
        <f t="shared" si="46"/>
        <v>563</v>
      </c>
      <c r="B569" s="2">
        <v>240268</v>
      </c>
      <c r="C569" t="s">
        <v>987</v>
      </c>
      <c r="D569" t="s">
        <v>988</v>
      </c>
      <c r="E569" t="s">
        <v>80</v>
      </c>
      <c r="F569" s="9">
        <v>73305</v>
      </c>
      <c r="G569" s="9">
        <v>71452</v>
      </c>
      <c r="H569" s="1">
        <f t="shared" si="47"/>
        <v>2.5933493814028998</v>
      </c>
      <c r="I569" s="32" t="s">
        <v>119</v>
      </c>
      <c r="J569" s="13" t="s">
        <v>119</v>
      </c>
      <c r="K569" s="11">
        <v>1</v>
      </c>
      <c r="L569" s="11">
        <v>2</v>
      </c>
      <c r="M569" s="11">
        <v>3</v>
      </c>
    </row>
    <row r="570" spans="1:13" x14ac:dyDescent="0.25">
      <c r="A570" s="2">
        <f t="shared" si="46"/>
        <v>564</v>
      </c>
      <c r="B570" s="2">
        <v>229179</v>
      </c>
      <c r="C570" t="s">
        <v>989</v>
      </c>
      <c r="D570" t="s">
        <v>622</v>
      </c>
      <c r="E570" t="s">
        <v>8</v>
      </c>
      <c r="F570" s="9">
        <v>72253</v>
      </c>
      <c r="G570" s="9">
        <v>64835</v>
      </c>
      <c r="H570" s="1">
        <f t="shared" si="47"/>
        <v>11.441351122079125</v>
      </c>
      <c r="I570" s="23">
        <v>13929</v>
      </c>
      <c r="J570" s="9">
        <f>(F570*1000)/I570</f>
        <v>5187.2352645559622</v>
      </c>
      <c r="K570" s="11">
        <v>1</v>
      </c>
      <c r="L570" s="11">
        <v>2</v>
      </c>
      <c r="M570" s="11">
        <v>2</v>
      </c>
    </row>
    <row r="571" spans="1:13" x14ac:dyDescent="0.25">
      <c r="A571" s="2">
        <f t="shared" si="46"/>
        <v>565</v>
      </c>
      <c r="B571" s="2">
        <v>211088</v>
      </c>
      <c r="C571" t="s">
        <v>990</v>
      </c>
      <c r="D571" t="s">
        <v>991</v>
      </c>
      <c r="E571" t="s">
        <v>22</v>
      </c>
      <c r="F571" s="9">
        <v>71753</v>
      </c>
      <c r="G571" s="9">
        <v>68859</v>
      </c>
      <c r="H571" s="1">
        <f t="shared" si="47"/>
        <v>4.2027912110254286</v>
      </c>
      <c r="I571" s="23">
        <v>3035</v>
      </c>
      <c r="J571" s="9">
        <f>(F571*1000)/I571</f>
        <v>23641.84514003295</v>
      </c>
      <c r="K571" s="11">
        <v>2</v>
      </c>
      <c r="L571" s="11">
        <v>2</v>
      </c>
      <c r="M571" s="11">
        <v>3</v>
      </c>
    </row>
    <row r="572" spans="1:13" x14ac:dyDescent="0.25">
      <c r="A572" s="2">
        <f t="shared" si="46"/>
        <v>566</v>
      </c>
      <c r="B572" s="2">
        <v>237011</v>
      </c>
      <c r="C572" t="s">
        <v>992</v>
      </c>
      <c r="D572" t="s">
        <v>993</v>
      </c>
      <c r="E572" t="s">
        <v>87</v>
      </c>
      <c r="F572" s="9">
        <v>71728</v>
      </c>
      <c r="G572" s="9">
        <v>66277</v>
      </c>
      <c r="H572" s="1">
        <f t="shared" si="47"/>
        <v>8.2245726270048429</v>
      </c>
      <c r="I572" s="23">
        <v>15915</v>
      </c>
      <c r="J572" s="9">
        <f>(F572*1000)/I572</f>
        <v>4506.9431354068493</v>
      </c>
      <c r="K572" s="11">
        <v>1</v>
      </c>
      <c r="L572" s="11">
        <v>2</v>
      </c>
      <c r="M572" s="11">
        <v>3</v>
      </c>
    </row>
    <row r="573" spans="1:13" x14ac:dyDescent="0.25">
      <c r="A573" s="2">
        <f t="shared" si="46"/>
        <v>567</v>
      </c>
      <c r="B573" s="2">
        <v>196060</v>
      </c>
      <c r="C573" t="s">
        <v>994</v>
      </c>
      <c r="D573" t="s">
        <v>995</v>
      </c>
      <c r="E573" t="s">
        <v>34</v>
      </c>
      <c r="F573" s="9">
        <v>71701</v>
      </c>
      <c r="G573" s="9">
        <v>65342</v>
      </c>
      <c r="H573" s="1">
        <f t="shared" si="47"/>
        <v>9.7318723026537288</v>
      </c>
      <c r="I573" s="23">
        <v>15804.02</v>
      </c>
      <c r="J573" s="9">
        <v>4536.8900000000003</v>
      </c>
      <c r="K573" s="11">
        <v>1</v>
      </c>
      <c r="L573" s="11">
        <v>2</v>
      </c>
      <c r="M573" s="11">
        <v>2</v>
      </c>
    </row>
    <row r="574" spans="1:13" x14ac:dyDescent="0.25">
      <c r="A574" s="2">
        <f t="shared" si="46"/>
        <v>568</v>
      </c>
      <c r="B574" s="2">
        <v>132851</v>
      </c>
      <c r="C574" t="s">
        <v>996</v>
      </c>
      <c r="D574" t="s">
        <v>997</v>
      </c>
      <c r="E574" t="s">
        <v>138</v>
      </c>
      <c r="F574" s="9">
        <v>71666</v>
      </c>
      <c r="G574" s="9">
        <v>70257</v>
      </c>
      <c r="H574" s="1">
        <f t="shared" si="47"/>
        <v>2.0054941144654626</v>
      </c>
      <c r="I574" s="23">
        <v>2307</v>
      </c>
      <c r="J574" s="9">
        <v>31064.59</v>
      </c>
      <c r="K574" s="11">
        <v>1</v>
      </c>
      <c r="L574" s="11">
        <v>2</v>
      </c>
      <c r="M574" s="11">
        <v>1</v>
      </c>
    </row>
    <row r="575" spans="1:13" x14ac:dyDescent="0.25">
      <c r="A575" s="2">
        <f t="shared" si="46"/>
        <v>569</v>
      </c>
      <c r="B575" s="2">
        <v>213507</v>
      </c>
      <c r="C575" t="s">
        <v>998</v>
      </c>
      <c r="D575" t="s">
        <v>999</v>
      </c>
      <c r="E575" t="s">
        <v>22</v>
      </c>
      <c r="F575" s="9">
        <v>70471</v>
      </c>
      <c r="G575" s="9">
        <v>67470</v>
      </c>
      <c r="H575" s="1">
        <f t="shared" si="47"/>
        <v>4.4479027716021937</v>
      </c>
      <c r="I575" s="23">
        <v>1781.3</v>
      </c>
      <c r="J575" s="9">
        <f>(F575*1000)/I575</f>
        <v>39561.556166844442</v>
      </c>
      <c r="K575" s="11">
        <v>2</v>
      </c>
      <c r="L575" s="11">
        <v>2</v>
      </c>
      <c r="M575" s="11">
        <v>3</v>
      </c>
    </row>
    <row r="576" spans="1:13" x14ac:dyDescent="0.25">
      <c r="A576" s="2">
        <f t="shared" si="46"/>
        <v>570</v>
      </c>
      <c r="B576" s="2">
        <v>195164</v>
      </c>
      <c r="C576" t="s">
        <v>1000</v>
      </c>
      <c r="D576" t="s">
        <v>1001</v>
      </c>
      <c r="E576" t="s">
        <v>34</v>
      </c>
      <c r="F576" s="9">
        <v>70158</v>
      </c>
      <c r="G576" s="9">
        <v>64140</v>
      </c>
      <c r="H576" s="1">
        <f t="shared" si="47"/>
        <v>9.3826005612722163</v>
      </c>
      <c r="I576" s="23">
        <v>1999</v>
      </c>
      <c r="J576" s="9">
        <f>(F576*1000)/I576</f>
        <v>35096.548274137065</v>
      </c>
      <c r="K576" s="11">
        <v>2</v>
      </c>
      <c r="L576" s="11">
        <v>2</v>
      </c>
      <c r="M576" s="11">
        <v>3</v>
      </c>
    </row>
    <row r="577" spans="1:13" x14ac:dyDescent="0.25">
      <c r="A577" s="2">
        <f t="shared" si="46"/>
        <v>571</v>
      </c>
      <c r="B577" s="12" t="s">
        <v>119</v>
      </c>
      <c r="C577" t="s">
        <v>1002</v>
      </c>
      <c r="D577" t="s">
        <v>1003</v>
      </c>
      <c r="E577" t="s">
        <v>52</v>
      </c>
      <c r="F577" s="9">
        <v>70135</v>
      </c>
      <c r="G577" s="9">
        <v>61127</v>
      </c>
      <c r="H577" s="1">
        <f t="shared" si="47"/>
        <v>14.736532138007755</v>
      </c>
      <c r="I577" s="28" t="s">
        <v>119</v>
      </c>
      <c r="J577" s="25" t="s">
        <v>119</v>
      </c>
      <c r="K577" s="10" t="s">
        <v>119</v>
      </c>
      <c r="L577" s="10" t="s">
        <v>119</v>
      </c>
      <c r="M577" s="10" t="s">
        <v>119</v>
      </c>
    </row>
    <row r="578" spans="1:13" x14ac:dyDescent="0.25">
      <c r="A578" s="2">
        <f t="shared" si="46"/>
        <v>572</v>
      </c>
      <c r="B578" s="2">
        <v>156620</v>
      </c>
      <c r="C578" t="s">
        <v>1004</v>
      </c>
      <c r="D578" t="s">
        <v>93</v>
      </c>
      <c r="E578" t="s">
        <v>173</v>
      </c>
      <c r="F578" s="9">
        <v>69329</v>
      </c>
      <c r="G578" s="9">
        <v>65639</v>
      </c>
      <c r="H578" s="1">
        <f t="shared" si="47"/>
        <v>5.6216578558478956</v>
      </c>
      <c r="I578" s="23">
        <v>13313</v>
      </c>
      <c r="J578" s="9">
        <v>5207.62</v>
      </c>
      <c r="K578" s="11">
        <v>1</v>
      </c>
      <c r="L578" s="11">
        <v>2</v>
      </c>
      <c r="M578" s="11">
        <v>3</v>
      </c>
    </row>
    <row r="579" spans="1:13" x14ac:dyDescent="0.25">
      <c r="A579" s="2">
        <f t="shared" si="46"/>
        <v>573</v>
      </c>
      <c r="B579" s="2">
        <v>193584</v>
      </c>
      <c r="C579" t="s">
        <v>1005</v>
      </c>
      <c r="D579" t="s">
        <v>251</v>
      </c>
      <c r="E579" t="s">
        <v>34</v>
      </c>
      <c r="F579" s="9">
        <v>69091</v>
      </c>
      <c r="G579" s="9">
        <v>65661</v>
      </c>
      <c r="H579" s="1">
        <f t="shared" si="47"/>
        <v>5.223801038668312</v>
      </c>
      <c r="I579" s="23">
        <v>2716</v>
      </c>
      <c r="J579" s="9">
        <f t="shared" ref="J579:J586" si="48">(F579*1000)/I579</f>
        <v>25438.512518409425</v>
      </c>
      <c r="K579" s="11">
        <v>2</v>
      </c>
      <c r="L579" s="11">
        <v>2</v>
      </c>
      <c r="M579" s="11">
        <v>3</v>
      </c>
    </row>
    <row r="580" spans="1:13" x14ac:dyDescent="0.25">
      <c r="A580" s="2">
        <f t="shared" si="46"/>
        <v>574</v>
      </c>
      <c r="B580" s="2">
        <v>209612</v>
      </c>
      <c r="C580" t="s">
        <v>1006</v>
      </c>
      <c r="D580" t="s">
        <v>1007</v>
      </c>
      <c r="E580" t="s">
        <v>254</v>
      </c>
      <c r="F580" s="9">
        <v>68715</v>
      </c>
      <c r="G580" s="9">
        <v>66012</v>
      </c>
      <c r="H580" s="1">
        <f t="shared" si="47"/>
        <v>4.0947100527176881</v>
      </c>
      <c r="I580" s="23">
        <v>3802</v>
      </c>
      <c r="J580" s="9">
        <f t="shared" si="48"/>
        <v>18073.382430299844</v>
      </c>
      <c r="K580" s="11">
        <v>2</v>
      </c>
      <c r="L580" s="11">
        <v>2</v>
      </c>
      <c r="M580" s="11">
        <v>3</v>
      </c>
    </row>
    <row r="581" spans="1:13" x14ac:dyDescent="0.25">
      <c r="A581" s="2">
        <f t="shared" si="46"/>
        <v>575</v>
      </c>
      <c r="B581" s="2">
        <v>133711</v>
      </c>
      <c r="C581" t="s">
        <v>1008</v>
      </c>
      <c r="D581" t="s">
        <v>1009</v>
      </c>
      <c r="E581" t="s">
        <v>138</v>
      </c>
      <c r="F581" s="9">
        <v>68693</v>
      </c>
      <c r="G581" s="9">
        <v>67467</v>
      </c>
      <c r="H581" s="1">
        <f t="shared" si="47"/>
        <v>1.8171846977040627</v>
      </c>
      <c r="I581" s="23">
        <v>3079</v>
      </c>
      <c r="J581" s="9">
        <f t="shared" si="48"/>
        <v>22310.165638194219</v>
      </c>
      <c r="K581" s="11">
        <v>2</v>
      </c>
      <c r="L581" s="11">
        <v>2</v>
      </c>
      <c r="M581" s="11">
        <v>4</v>
      </c>
    </row>
    <row r="582" spans="1:13" ht="17.25" x14ac:dyDescent="0.25">
      <c r="A582" s="2">
        <f t="shared" si="46"/>
        <v>576</v>
      </c>
      <c r="B582" s="2">
        <v>213020</v>
      </c>
      <c r="C582" t="s">
        <v>1461</v>
      </c>
      <c r="D582" t="s">
        <v>1010</v>
      </c>
      <c r="E582" t="s">
        <v>22</v>
      </c>
      <c r="F582" s="9">
        <v>67380</v>
      </c>
      <c r="G582" s="9">
        <v>65523</v>
      </c>
      <c r="H582" s="1">
        <f t="shared" si="47"/>
        <v>2.834119316881095</v>
      </c>
      <c r="I582" s="23">
        <v>10566</v>
      </c>
      <c r="J582" s="9">
        <f t="shared" si="48"/>
        <v>6377.0584894946051</v>
      </c>
      <c r="K582" s="11">
        <v>1</v>
      </c>
      <c r="L582" s="11">
        <v>2</v>
      </c>
      <c r="M582" s="11">
        <v>2</v>
      </c>
    </row>
    <row r="583" spans="1:13" x14ac:dyDescent="0.25">
      <c r="A583" s="2">
        <f t="shared" si="46"/>
        <v>577</v>
      </c>
      <c r="B583" s="2">
        <v>221847</v>
      </c>
      <c r="C583" t="s">
        <v>1011</v>
      </c>
      <c r="D583" t="s">
        <v>1012</v>
      </c>
      <c r="E583" t="s">
        <v>63</v>
      </c>
      <c r="F583" s="9">
        <v>67192</v>
      </c>
      <c r="G583" s="9">
        <v>61090</v>
      </c>
      <c r="H583" s="1">
        <f t="shared" si="47"/>
        <v>9.988541496153216</v>
      </c>
      <c r="I583" s="23">
        <v>9019</v>
      </c>
      <c r="J583" s="9">
        <f t="shared" si="48"/>
        <v>7450.0498946668149</v>
      </c>
      <c r="K583" s="11">
        <v>1</v>
      </c>
      <c r="L583" s="11">
        <v>2</v>
      </c>
      <c r="M583" s="11">
        <v>2</v>
      </c>
    </row>
    <row r="584" spans="1:13" x14ac:dyDescent="0.25">
      <c r="A584" s="2">
        <f t="shared" ref="A584:A647" si="49">RANK(F584,F$7:F$817,0)</f>
        <v>578</v>
      </c>
      <c r="B584" s="2">
        <v>197221</v>
      </c>
      <c r="C584" t="s">
        <v>1013</v>
      </c>
      <c r="D584" t="s">
        <v>1014</v>
      </c>
      <c r="E584" t="s">
        <v>34</v>
      </c>
      <c r="F584" s="9">
        <v>67110</v>
      </c>
      <c r="G584" s="9">
        <v>58631</v>
      </c>
      <c r="H584" s="1">
        <f t="shared" ref="H584:H647" si="50">((F584-G584)/G584)*100</f>
        <v>14.461632924562092</v>
      </c>
      <c r="I584" s="23">
        <v>98</v>
      </c>
      <c r="J584" s="9">
        <f t="shared" si="48"/>
        <v>684795.91836734698</v>
      </c>
      <c r="K584" s="11">
        <v>2</v>
      </c>
      <c r="L584" s="11">
        <v>2</v>
      </c>
      <c r="M584" s="11">
        <v>5</v>
      </c>
    </row>
    <row r="585" spans="1:13" x14ac:dyDescent="0.25">
      <c r="A585" s="2">
        <f t="shared" si="49"/>
        <v>579</v>
      </c>
      <c r="B585" s="2">
        <v>156286</v>
      </c>
      <c r="C585" t="s">
        <v>1015</v>
      </c>
      <c r="D585" t="s">
        <v>318</v>
      </c>
      <c r="E585" t="s">
        <v>173</v>
      </c>
      <c r="F585" s="9">
        <v>66864</v>
      </c>
      <c r="G585" s="9">
        <v>57378</v>
      </c>
      <c r="H585" s="1">
        <f t="shared" si="50"/>
        <v>16.532468890515528</v>
      </c>
      <c r="I585" s="23">
        <v>3194</v>
      </c>
      <c r="J585" s="9">
        <f t="shared" si="48"/>
        <v>20934.251721978711</v>
      </c>
      <c r="K585" s="11">
        <v>2</v>
      </c>
      <c r="L585" s="11">
        <v>2</v>
      </c>
      <c r="M585" s="11">
        <v>3</v>
      </c>
    </row>
    <row r="586" spans="1:13" x14ac:dyDescent="0.25">
      <c r="A586" s="2">
        <f t="shared" si="49"/>
        <v>580</v>
      </c>
      <c r="B586" s="2">
        <v>233541</v>
      </c>
      <c r="C586" t="s">
        <v>1016</v>
      </c>
      <c r="D586" t="s">
        <v>1017</v>
      </c>
      <c r="E586" t="s">
        <v>52</v>
      </c>
      <c r="F586" s="9">
        <v>66139</v>
      </c>
      <c r="G586" s="9">
        <v>63374</v>
      </c>
      <c r="H586" s="1">
        <f t="shared" si="50"/>
        <v>4.3629879761416355</v>
      </c>
      <c r="I586" s="23">
        <v>3284</v>
      </c>
      <c r="J586" s="9">
        <f t="shared" si="48"/>
        <v>20139.768574908649</v>
      </c>
      <c r="K586" s="11">
        <v>2</v>
      </c>
      <c r="L586" s="11">
        <v>2</v>
      </c>
      <c r="M586" s="11">
        <v>2</v>
      </c>
    </row>
    <row r="587" spans="1:13" x14ac:dyDescent="0.25">
      <c r="A587" s="2">
        <f t="shared" si="49"/>
        <v>581</v>
      </c>
      <c r="B587" s="2">
        <v>151324</v>
      </c>
      <c r="C587" t="s">
        <v>1018</v>
      </c>
      <c r="D587" t="s">
        <v>590</v>
      </c>
      <c r="E587" t="s">
        <v>37</v>
      </c>
      <c r="F587" s="9">
        <v>65986</v>
      </c>
      <c r="G587" s="9">
        <v>62299</v>
      </c>
      <c r="H587" s="1">
        <f t="shared" si="50"/>
        <v>5.9182330374484344</v>
      </c>
      <c r="I587" s="23">
        <v>11452</v>
      </c>
      <c r="J587" s="9">
        <v>5761.96</v>
      </c>
      <c r="K587" s="11">
        <v>1</v>
      </c>
      <c r="L587" s="11">
        <v>2</v>
      </c>
      <c r="M587" s="11">
        <v>2</v>
      </c>
    </row>
    <row r="588" spans="1:13" x14ac:dyDescent="0.25">
      <c r="A588" s="2">
        <f t="shared" si="49"/>
        <v>582</v>
      </c>
      <c r="B588" s="2">
        <v>440031</v>
      </c>
      <c r="C588" t="s">
        <v>1019</v>
      </c>
      <c r="D588" t="s">
        <v>101</v>
      </c>
      <c r="E588" t="s">
        <v>14</v>
      </c>
      <c r="F588" s="9">
        <v>65373</v>
      </c>
      <c r="G588" s="9">
        <v>64528</v>
      </c>
      <c r="H588" s="1">
        <f t="shared" si="50"/>
        <v>1.3095090503347384</v>
      </c>
      <c r="I588" s="19">
        <v>571</v>
      </c>
      <c r="J588" s="9">
        <f>(F588*1000)/I588</f>
        <v>114488.61646234676</v>
      </c>
      <c r="K588" s="11">
        <v>2</v>
      </c>
      <c r="L588" s="11">
        <v>2</v>
      </c>
      <c r="M588" s="11">
        <v>3</v>
      </c>
    </row>
    <row r="589" spans="1:13" x14ac:dyDescent="0.25">
      <c r="A589" s="2">
        <f t="shared" si="49"/>
        <v>583</v>
      </c>
      <c r="B589" s="2">
        <v>234933</v>
      </c>
      <c r="C589" t="s">
        <v>1020</v>
      </c>
      <c r="D589" t="s">
        <v>157</v>
      </c>
      <c r="E589" t="s">
        <v>87</v>
      </c>
      <c r="F589" s="9">
        <v>65193</v>
      </c>
      <c r="G589" s="9">
        <v>61004</v>
      </c>
      <c r="H589" s="1">
        <f t="shared" si="50"/>
        <v>6.8667628352239189</v>
      </c>
      <c r="I589" s="23">
        <v>11313</v>
      </c>
      <c r="J589" s="9">
        <f>(F589*1000)/I589</f>
        <v>5762.6624237602755</v>
      </c>
      <c r="K589" s="11">
        <v>1</v>
      </c>
      <c r="L589" s="11">
        <v>2</v>
      </c>
      <c r="M589" s="11">
        <v>1</v>
      </c>
    </row>
    <row r="590" spans="1:13" x14ac:dyDescent="0.25">
      <c r="A590" s="2">
        <f t="shared" si="49"/>
        <v>584</v>
      </c>
      <c r="B590" s="2">
        <v>127918</v>
      </c>
      <c r="C590" t="s">
        <v>1021</v>
      </c>
      <c r="D590" t="s">
        <v>293</v>
      </c>
      <c r="E590" t="s">
        <v>175</v>
      </c>
      <c r="F590" s="9">
        <v>65141</v>
      </c>
      <c r="G590" s="9">
        <v>57505</v>
      </c>
      <c r="H590" s="1">
        <f t="shared" si="50"/>
        <v>13.278845317798451</v>
      </c>
      <c r="I590" s="23">
        <v>6430</v>
      </c>
      <c r="J590" s="9">
        <f>(F590*1000)/I590</f>
        <v>10130.793157076205</v>
      </c>
      <c r="K590" s="11">
        <v>2</v>
      </c>
      <c r="L590" s="11">
        <v>2</v>
      </c>
      <c r="M590" s="11">
        <v>3</v>
      </c>
    </row>
    <row r="591" spans="1:13" x14ac:dyDescent="0.25">
      <c r="A591" s="2">
        <f t="shared" si="49"/>
        <v>585</v>
      </c>
      <c r="B591" s="2">
        <v>174817</v>
      </c>
      <c r="C591" t="s">
        <v>1022</v>
      </c>
      <c r="D591" t="s">
        <v>1023</v>
      </c>
      <c r="E591" t="s">
        <v>72</v>
      </c>
      <c r="F591" s="9">
        <v>65102</v>
      </c>
      <c r="G591" s="9">
        <v>59671</v>
      </c>
      <c r="H591" s="1">
        <f t="shared" si="50"/>
        <v>9.1015736287308755</v>
      </c>
      <c r="I591" s="23">
        <v>4546</v>
      </c>
      <c r="J591" s="9">
        <f>(F591*1000)/I591</f>
        <v>14320.72151341839</v>
      </c>
      <c r="K591" s="11">
        <v>2</v>
      </c>
      <c r="L591" s="11">
        <v>2</v>
      </c>
      <c r="M591" s="11">
        <v>3</v>
      </c>
    </row>
    <row r="592" spans="1:13" x14ac:dyDescent="0.25">
      <c r="A592" s="2">
        <f t="shared" si="49"/>
        <v>586</v>
      </c>
      <c r="B592" s="2">
        <v>110565</v>
      </c>
      <c r="C592" t="s">
        <v>1024</v>
      </c>
      <c r="D592" t="s">
        <v>1025</v>
      </c>
      <c r="E592" t="s">
        <v>14</v>
      </c>
      <c r="F592" s="9">
        <v>64984</v>
      </c>
      <c r="G592" s="9">
        <v>61234</v>
      </c>
      <c r="H592" s="1">
        <f t="shared" si="50"/>
        <v>6.124048731097103</v>
      </c>
      <c r="I592" s="23">
        <v>38414</v>
      </c>
      <c r="J592" s="9">
        <v>1691.67</v>
      </c>
      <c r="K592" s="11">
        <v>1</v>
      </c>
      <c r="L592" s="11">
        <v>2</v>
      </c>
      <c r="M592" s="11">
        <v>2</v>
      </c>
    </row>
    <row r="593" spans="1:13" x14ac:dyDescent="0.25">
      <c r="A593" s="2">
        <f t="shared" si="49"/>
        <v>587</v>
      </c>
      <c r="B593" s="2">
        <v>110538</v>
      </c>
      <c r="C593" t="s">
        <v>1026</v>
      </c>
      <c r="D593" t="s">
        <v>1027</v>
      </c>
      <c r="E593" t="s">
        <v>14</v>
      </c>
      <c r="F593" s="9">
        <v>64729</v>
      </c>
      <c r="G593" s="9">
        <v>60995</v>
      </c>
      <c r="H593" s="1">
        <f t="shared" si="50"/>
        <v>6.1218132633822444</v>
      </c>
      <c r="I593" s="29">
        <v>17789</v>
      </c>
      <c r="J593" s="9">
        <f>(F593*1000)/I593</f>
        <v>3638.7093147450673</v>
      </c>
      <c r="K593" s="11">
        <v>1</v>
      </c>
      <c r="L593" s="11">
        <v>2</v>
      </c>
      <c r="M593" s="11">
        <v>3</v>
      </c>
    </row>
    <row r="594" spans="1:13" x14ac:dyDescent="0.25">
      <c r="A594" s="2">
        <f t="shared" si="49"/>
        <v>588</v>
      </c>
      <c r="B594" s="2">
        <v>139366</v>
      </c>
      <c r="C594" t="s">
        <v>1028</v>
      </c>
      <c r="D594" t="s">
        <v>59</v>
      </c>
      <c r="E594" t="s">
        <v>48</v>
      </c>
      <c r="F594" s="9">
        <v>64475</v>
      </c>
      <c r="G594" s="9">
        <v>58329</v>
      </c>
      <c r="H594" s="1">
        <f t="shared" si="50"/>
        <v>10.536782732431552</v>
      </c>
      <c r="I594" s="23">
        <v>7160</v>
      </c>
      <c r="J594" s="9">
        <v>9004.89</v>
      </c>
      <c r="K594" s="11">
        <v>1</v>
      </c>
      <c r="L594" s="11">
        <v>2</v>
      </c>
      <c r="M594" s="11">
        <v>3</v>
      </c>
    </row>
    <row r="595" spans="1:13" x14ac:dyDescent="0.25">
      <c r="A595" s="2">
        <f t="shared" si="49"/>
        <v>589</v>
      </c>
      <c r="B595" s="2">
        <v>186283</v>
      </c>
      <c r="C595" t="s">
        <v>1029</v>
      </c>
      <c r="D595" t="s">
        <v>1030</v>
      </c>
      <c r="E595" t="s">
        <v>17</v>
      </c>
      <c r="F595" s="9">
        <v>64283</v>
      </c>
      <c r="G595" s="9">
        <v>58676</v>
      </c>
      <c r="H595" s="1">
        <f t="shared" si="50"/>
        <v>9.5558661122094222</v>
      </c>
      <c r="I595" s="23">
        <v>4627</v>
      </c>
      <c r="J595" s="9">
        <f>(F595*1000)/I595</f>
        <v>13893.019234925438</v>
      </c>
      <c r="K595" s="11">
        <v>2</v>
      </c>
      <c r="L595" s="11">
        <v>2</v>
      </c>
      <c r="M595" s="11">
        <v>3</v>
      </c>
    </row>
    <row r="596" spans="1:13" x14ac:dyDescent="0.25">
      <c r="A596" s="2">
        <f t="shared" si="49"/>
        <v>590</v>
      </c>
      <c r="B596" s="2">
        <v>132709</v>
      </c>
      <c r="C596" t="s">
        <v>1031</v>
      </c>
      <c r="D596" t="s">
        <v>1032</v>
      </c>
      <c r="E596" t="s">
        <v>138</v>
      </c>
      <c r="F596" s="9">
        <v>63968</v>
      </c>
      <c r="G596" s="9">
        <v>62773</v>
      </c>
      <c r="H596" s="1">
        <f t="shared" si="50"/>
        <v>1.9036847052076529</v>
      </c>
      <c r="I596" s="23">
        <v>38616</v>
      </c>
      <c r="J596" s="9">
        <v>1656.52</v>
      </c>
      <c r="K596" s="11">
        <v>1</v>
      </c>
      <c r="L596" s="11">
        <v>2</v>
      </c>
      <c r="M596" s="11">
        <v>1</v>
      </c>
    </row>
    <row r="597" spans="1:13" x14ac:dyDescent="0.25">
      <c r="A597" s="2">
        <f t="shared" si="49"/>
        <v>591</v>
      </c>
      <c r="B597" s="2">
        <v>199102</v>
      </c>
      <c r="C597" t="s">
        <v>1033</v>
      </c>
      <c r="D597" t="s">
        <v>491</v>
      </c>
      <c r="E597" t="s">
        <v>40</v>
      </c>
      <c r="F597" s="9">
        <v>63827</v>
      </c>
      <c r="G597" s="9">
        <v>55555</v>
      </c>
      <c r="H597" s="1">
        <f t="shared" si="50"/>
        <v>14.889748897488975</v>
      </c>
      <c r="I597" s="23">
        <v>10791</v>
      </c>
      <c r="J597" s="9">
        <f t="shared" ref="J597:J605" si="51">(F597*1000)/I597</f>
        <v>5914.8364377722173</v>
      </c>
      <c r="K597" s="11">
        <v>1</v>
      </c>
      <c r="L597" s="11">
        <v>1</v>
      </c>
      <c r="M597" s="11">
        <v>2</v>
      </c>
    </row>
    <row r="598" spans="1:13" x14ac:dyDescent="0.25">
      <c r="A598" s="2">
        <f t="shared" si="49"/>
        <v>592</v>
      </c>
      <c r="B598" s="2">
        <v>212601</v>
      </c>
      <c r="C598" t="s">
        <v>1034</v>
      </c>
      <c r="D598" t="s">
        <v>1035</v>
      </c>
      <c r="E598" t="s">
        <v>22</v>
      </c>
      <c r="F598" s="9">
        <v>63600</v>
      </c>
      <c r="G598" s="9">
        <v>60926</v>
      </c>
      <c r="H598" s="1">
        <f t="shared" si="50"/>
        <v>4.3889308341266453</v>
      </c>
      <c r="I598" s="19">
        <v>3477</v>
      </c>
      <c r="J598" s="9">
        <f t="shared" si="51"/>
        <v>18291.630716134598</v>
      </c>
      <c r="K598" s="11">
        <v>2</v>
      </c>
      <c r="L598" s="11">
        <v>2</v>
      </c>
      <c r="M598" s="11">
        <v>3</v>
      </c>
    </row>
    <row r="599" spans="1:13" x14ac:dyDescent="0.25">
      <c r="A599" s="2">
        <f t="shared" si="49"/>
        <v>593</v>
      </c>
      <c r="B599" s="2">
        <v>225548</v>
      </c>
      <c r="C599" t="s">
        <v>1036</v>
      </c>
      <c r="D599" t="s">
        <v>1037</v>
      </c>
      <c r="E599" t="s">
        <v>8</v>
      </c>
      <c r="F599" s="9">
        <v>63018</v>
      </c>
      <c r="G599" s="9">
        <v>55604</v>
      </c>
      <c r="H599" s="1">
        <f t="shared" si="50"/>
        <v>13.333573124235668</v>
      </c>
      <c r="I599" s="23">
        <v>911</v>
      </c>
      <c r="J599" s="9">
        <f t="shared" si="51"/>
        <v>69174.533479692647</v>
      </c>
      <c r="K599" s="11">
        <v>2</v>
      </c>
      <c r="L599" s="11">
        <v>2</v>
      </c>
      <c r="M599" s="11">
        <v>4</v>
      </c>
    </row>
    <row r="600" spans="1:13" x14ac:dyDescent="0.25">
      <c r="A600" s="2">
        <f t="shared" si="49"/>
        <v>594</v>
      </c>
      <c r="B600" s="2">
        <v>217536</v>
      </c>
      <c r="C600" t="s">
        <v>1038</v>
      </c>
      <c r="D600" t="s">
        <v>1039</v>
      </c>
      <c r="E600" t="s">
        <v>75</v>
      </c>
      <c r="F600" s="9">
        <v>62711</v>
      </c>
      <c r="G600" s="9">
        <v>59885</v>
      </c>
      <c r="H600" s="1">
        <f t="shared" si="50"/>
        <v>4.7190448359355432</v>
      </c>
      <c r="I600" s="23">
        <v>2558</v>
      </c>
      <c r="J600" s="9">
        <f t="shared" si="51"/>
        <v>24515.637216575451</v>
      </c>
      <c r="K600" s="11">
        <v>2</v>
      </c>
      <c r="L600" s="11">
        <v>2</v>
      </c>
      <c r="M600" s="11">
        <v>3</v>
      </c>
    </row>
    <row r="601" spans="1:13" x14ac:dyDescent="0.25">
      <c r="A601" s="2">
        <f t="shared" si="49"/>
        <v>595</v>
      </c>
      <c r="B601" s="2">
        <v>151777</v>
      </c>
      <c r="C601" t="s">
        <v>1040</v>
      </c>
      <c r="D601" t="s">
        <v>1041</v>
      </c>
      <c r="E601" t="s">
        <v>37</v>
      </c>
      <c r="F601" s="9">
        <v>62458</v>
      </c>
      <c r="G601" s="9">
        <v>60186</v>
      </c>
      <c r="H601" s="1">
        <f t="shared" si="50"/>
        <v>3.7749642774067063</v>
      </c>
      <c r="I601" s="23">
        <v>1554</v>
      </c>
      <c r="J601" s="9">
        <f t="shared" si="51"/>
        <v>40191.763191763195</v>
      </c>
      <c r="K601" s="11">
        <v>2</v>
      </c>
      <c r="L601" s="11">
        <v>2</v>
      </c>
      <c r="M601" s="11">
        <v>4</v>
      </c>
    </row>
    <row r="602" spans="1:13" x14ac:dyDescent="0.25">
      <c r="A602" s="2">
        <f t="shared" si="49"/>
        <v>596</v>
      </c>
      <c r="B602" s="2">
        <v>238458</v>
      </c>
      <c r="C602" t="s">
        <v>1042</v>
      </c>
      <c r="D602" t="s">
        <v>1043</v>
      </c>
      <c r="E602" t="s">
        <v>80</v>
      </c>
      <c r="F602" s="9">
        <v>62143</v>
      </c>
      <c r="G602" s="9">
        <v>57549</v>
      </c>
      <c r="H602" s="1">
        <f t="shared" si="50"/>
        <v>7.9827625154216406</v>
      </c>
      <c r="I602" s="23">
        <v>3259</v>
      </c>
      <c r="J602" s="9">
        <f t="shared" si="51"/>
        <v>19068.119054924824</v>
      </c>
      <c r="K602" s="11">
        <v>2</v>
      </c>
      <c r="L602" s="11">
        <v>2</v>
      </c>
      <c r="M602" s="11">
        <v>3</v>
      </c>
    </row>
    <row r="603" spans="1:13" x14ac:dyDescent="0.25">
      <c r="A603" s="2">
        <f t="shared" si="49"/>
        <v>597</v>
      </c>
      <c r="B603" s="2">
        <v>229160</v>
      </c>
      <c r="C603" t="s">
        <v>1044</v>
      </c>
      <c r="D603" t="s">
        <v>930</v>
      </c>
      <c r="E603" t="s">
        <v>8</v>
      </c>
      <c r="F603" s="9">
        <v>62012</v>
      </c>
      <c r="G603" s="9">
        <v>67252</v>
      </c>
      <c r="H603" s="1">
        <f t="shared" si="50"/>
        <v>-7.7915898411943143</v>
      </c>
      <c r="I603" s="23">
        <v>2127</v>
      </c>
      <c r="J603" s="9">
        <f t="shared" si="51"/>
        <v>29154.677950164551</v>
      </c>
      <c r="K603" s="11">
        <v>2</v>
      </c>
      <c r="L603" s="11">
        <v>2</v>
      </c>
      <c r="M603" s="11">
        <v>3</v>
      </c>
    </row>
    <row r="604" spans="1:13" x14ac:dyDescent="0.25">
      <c r="A604" s="2">
        <f t="shared" si="49"/>
        <v>598</v>
      </c>
      <c r="B604" s="18">
        <v>243665</v>
      </c>
      <c r="C604" s="19" t="s">
        <v>1067</v>
      </c>
      <c r="D604" s="19" t="s">
        <v>1068</v>
      </c>
      <c r="E604" s="19" t="s">
        <v>1069</v>
      </c>
      <c r="F604" s="23">
        <v>61491</v>
      </c>
      <c r="G604" s="23">
        <v>55549</v>
      </c>
      <c r="H604" s="22">
        <f t="shared" si="50"/>
        <v>10.696862229743109</v>
      </c>
      <c r="I604" s="23">
        <v>1628.64</v>
      </c>
      <c r="J604" s="9">
        <f t="shared" si="51"/>
        <v>37756.041850869435</v>
      </c>
      <c r="K604" s="11">
        <v>1</v>
      </c>
      <c r="L604" s="11">
        <v>1</v>
      </c>
      <c r="M604" s="11">
        <v>3</v>
      </c>
    </row>
    <row r="605" spans="1:13" x14ac:dyDescent="0.25">
      <c r="A605" s="2">
        <f t="shared" si="49"/>
        <v>599</v>
      </c>
      <c r="B605" s="2">
        <v>198695</v>
      </c>
      <c r="C605" t="s">
        <v>1045</v>
      </c>
      <c r="D605" t="s">
        <v>1046</v>
      </c>
      <c r="E605" t="s">
        <v>40</v>
      </c>
      <c r="F605" s="9">
        <v>60778</v>
      </c>
      <c r="G605" s="9">
        <v>54874</v>
      </c>
      <c r="H605" s="1">
        <f t="shared" si="50"/>
        <v>10.759193789408462</v>
      </c>
      <c r="I605" s="23">
        <v>4885</v>
      </c>
      <c r="J605" s="9">
        <f t="shared" si="51"/>
        <v>12441.760491299898</v>
      </c>
      <c r="K605" s="11">
        <v>2</v>
      </c>
      <c r="L605" s="11">
        <v>2</v>
      </c>
      <c r="M605" s="11">
        <v>4</v>
      </c>
    </row>
    <row r="606" spans="1:13" x14ac:dyDescent="0.25">
      <c r="A606" s="2">
        <f t="shared" si="49"/>
        <v>600</v>
      </c>
      <c r="B606" s="2">
        <v>163851</v>
      </c>
      <c r="C606" t="s">
        <v>1047</v>
      </c>
      <c r="D606" t="s">
        <v>1048</v>
      </c>
      <c r="E606" t="s">
        <v>66</v>
      </c>
      <c r="F606" s="9">
        <v>59874</v>
      </c>
      <c r="G606" s="9">
        <v>55087</v>
      </c>
      <c r="H606" s="1">
        <f t="shared" si="50"/>
        <v>8.6898905367872636</v>
      </c>
      <c r="I606" s="23">
        <v>7739</v>
      </c>
      <c r="J606" s="9">
        <v>7736.66</v>
      </c>
      <c r="K606" s="11">
        <v>1</v>
      </c>
      <c r="L606" s="11">
        <v>2</v>
      </c>
      <c r="M606" s="11">
        <v>3</v>
      </c>
    </row>
    <row r="607" spans="1:13" x14ac:dyDescent="0.25">
      <c r="A607" s="2">
        <f t="shared" si="49"/>
        <v>601</v>
      </c>
      <c r="B607" s="2">
        <v>173920</v>
      </c>
      <c r="C607" t="s">
        <v>1049</v>
      </c>
      <c r="D607" t="s">
        <v>1050</v>
      </c>
      <c r="E607" t="s">
        <v>72</v>
      </c>
      <c r="F607" s="9">
        <v>59778</v>
      </c>
      <c r="G607" s="9">
        <v>59916</v>
      </c>
      <c r="H607" s="1">
        <f t="shared" si="50"/>
        <v>-0.2303224514320048</v>
      </c>
      <c r="I607" s="23">
        <v>14712</v>
      </c>
      <c r="J607" s="9">
        <f t="shared" ref="J607:J616" si="52">(F607*1000)/I607</f>
        <v>4063.2137030995104</v>
      </c>
      <c r="K607" s="11">
        <v>1</v>
      </c>
      <c r="L607" s="11">
        <v>2</v>
      </c>
      <c r="M607" s="11">
        <v>3</v>
      </c>
    </row>
    <row r="608" spans="1:13" ht="17.25" x14ac:dyDescent="0.25">
      <c r="A608" s="2">
        <f t="shared" si="49"/>
        <v>602</v>
      </c>
      <c r="B608" s="12" t="s">
        <v>119</v>
      </c>
      <c r="C608" t="s">
        <v>1396</v>
      </c>
      <c r="D608" t="s">
        <v>1051</v>
      </c>
      <c r="E608" t="s">
        <v>158</v>
      </c>
      <c r="F608" s="9">
        <v>59019</v>
      </c>
      <c r="G608" s="9">
        <v>58330</v>
      </c>
      <c r="H608" s="1">
        <f t="shared" si="50"/>
        <v>1.1812103548774215</v>
      </c>
      <c r="I608" s="23">
        <v>2811</v>
      </c>
      <c r="J608" s="9">
        <f t="shared" si="52"/>
        <v>20995.731056563502</v>
      </c>
      <c r="K608" s="10" t="s">
        <v>119</v>
      </c>
      <c r="L608" s="10" t="s">
        <v>119</v>
      </c>
      <c r="M608" s="10" t="s">
        <v>119</v>
      </c>
    </row>
    <row r="609" spans="1:13" x14ac:dyDescent="0.25">
      <c r="A609" s="2">
        <f t="shared" si="49"/>
        <v>603</v>
      </c>
      <c r="B609" s="2">
        <v>216931</v>
      </c>
      <c r="C609" t="s">
        <v>1052</v>
      </c>
      <c r="D609" t="s">
        <v>1053</v>
      </c>
      <c r="E609" t="s">
        <v>22</v>
      </c>
      <c r="F609" s="9">
        <v>58819</v>
      </c>
      <c r="G609" s="9">
        <v>54760</v>
      </c>
      <c r="H609" s="1">
        <f t="shared" si="50"/>
        <v>7.4123447772096425</v>
      </c>
      <c r="I609" s="23">
        <v>3668</v>
      </c>
      <c r="J609" s="9">
        <f t="shared" si="52"/>
        <v>16035.714285714286</v>
      </c>
      <c r="K609" s="11">
        <v>2</v>
      </c>
      <c r="L609" s="11">
        <v>2</v>
      </c>
      <c r="M609" s="11">
        <v>3</v>
      </c>
    </row>
    <row r="610" spans="1:13" x14ac:dyDescent="0.25">
      <c r="A610" s="2">
        <f t="shared" si="49"/>
        <v>604</v>
      </c>
      <c r="B610" s="2">
        <v>221838</v>
      </c>
      <c r="C610" t="s">
        <v>1054</v>
      </c>
      <c r="D610" t="s">
        <v>62</v>
      </c>
      <c r="E610" t="s">
        <v>63</v>
      </c>
      <c r="F610" s="9">
        <v>58697</v>
      </c>
      <c r="G610" s="9">
        <v>55840</v>
      </c>
      <c r="H610" s="1">
        <f t="shared" si="50"/>
        <v>5.1164040114613183</v>
      </c>
      <c r="I610" s="23">
        <v>7323</v>
      </c>
      <c r="J610" s="9">
        <f t="shared" si="52"/>
        <v>8015.430834357504</v>
      </c>
      <c r="K610" s="11">
        <v>1</v>
      </c>
      <c r="L610" s="11">
        <v>1</v>
      </c>
      <c r="M610" s="11">
        <v>2</v>
      </c>
    </row>
    <row r="611" spans="1:13" x14ac:dyDescent="0.25">
      <c r="A611" s="2">
        <f t="shared" si="49"/>
        <v>605</v>
      </c>
      <c r="B611" s="2">
        <v>169716</v>
      </c>
      <c r="C611" t="s">
        <v>1055</v>
      </c>
      <c r="D611" t="s">
        <v>419</v>
      </c>
      <c r="E611" t="s">
        <v>26</v>
      </c>
      <c r="F611" s="9">
        <v>58674</v>
      </c>
      <c r="G611" s="9">
        <v>49067</v>
      </c>
      <c r="H611" s="1">
        <f t="shared" si="50"/>
        <v>19.579350683758943</v>
      </c>
      <c r="I611" s="23">
        <v>4395</v>
      </c>
      <c r="J611" s="9">
        <f t="shared" si="52"/>
        <v>13350.170648464164</v>
      </c>
      <c r="K611" s="11">
        <v>2</v>
      </c>
      <c r="L611" s="11">
        <v>2</v>
      </c>
      <c r="M611" s="11">
        <v>3</v>
      </c>
    </row>
    <row r="612" spans="1:13" x14ac:dyDescent="0.25">
      <c r="A612" s="2">
        <f t="shared" si="49"/>
        <v>606</v>
      </c>
      <c r="B612" s="2">
        <v>166850</v>
      </c>
      <c r="C612" t="s">
        <v>1056</v>
      </c>
      <c r="D612" t="s">
        <v>1057</v>
      </c>
      <c r="E612" t="s">
        <v>5</v>
      </c>
      <c r="F612" s="9">
        <v>58488</v>
      </c>
      <c r="G612" s="9">
        <v>54359</v>
      </c>
      <c r="H612" s="1">
        <f t="shared" si="50"/>
        <v>7.5957983038687242</v>
      </c>
      <c r="I612" s="23">
        <v>3963</v>
      </c>
      <c r="J612" s="9">
        <f t="shared" si="52"/>
        <v>14758.516275548827</v>
      </c>
      <c r="K612" s="11">
        <v>2</v>
      </c>
      <c r="L612" s="11">
        <v>2</v>
      </c>
      <c r="M612" s="11">
        <v>3</v>
      </c>
    </row>
    <row r="613" spans="1:13" x14ac:dyDescent="0.25">
      <c r="A613" s="2">
        <f t="shared" si="49"/>
        <v>607</v>
      </c>
      <c r="B613" s="2">
        <v>133492</v>
      </c>
      <c r="C613" t="s">
        <v>1058</v>
      </c>
      <c r="D613" t="s">
        <v>1059</v>
      </c>
      <c r="E613" t="s">
        <v>138</v>
      </c>
      <c r="F613" s="9">
        <v>58313</v>
      </c>
      <c r="G613" s="9">
        <v>55878</v>
      </c>
      <c r="H613" s="1">
        <f t="shared" si="50"/>
        <v>4.3577078635598978</v>
      </c>
      <c r="I613" s="23">
        <v>1956</v>
      </c>
      <c r="J613" s="9">
        <f t="shared" si="52"/>
        <v>29812.372188139059</v>
      </c>
      <c r="K613" s="11">
        <v>2</v>
      </c>
      <c r="L613" s="11">
        <v>2</v>
      </c>
      <c r="M613" s="11">
        <v>4</v>
      </c>
    </row>
    <row r="614" spans="1:13" x14ac:dyDescent="0.25">
      <c r="A614" s="2">
        <f t="shared" si="49"/>
        <v>608</v>
      </c>
      <c r="B614" s="2">
        <v>229063</v>
      </c>
      <c r="C614" t="s">
        <v>1060</v>
      </c>
      <c r="D614" t="s">
        <v>54</v>
      </c>
      <c r="E614" t="s">
        <v>8</v>
      </c>
      <c r="F614" s="9">
        <v>58158</v>
      </c>
      <c r="G614" s="9">
        <v>54171</v>
      </c>
      <c r="H614" s="1">
        <f t="shared" si="50"/>
        <v>7.3600265824887847</v>
      </c>
      <c r="I614" s="23">
        <v>9245</v>
      </c>
      <c r="J614" s="9">
        <f t="shared" si="52"/>
        <v>6290.7517577068684</v>
      </c>
      <c r="K614" s="11">
        <v>1</v>
      </c>
      <c r="L614" s="11">
        <v>1</v>
      </c>
      <c r="M614" s="11">
        <v>2</v>
      </c>
    </row>
    <row r="615" spans="1:13" x14ac:dyDescent="0.25">
      <c r="A615" s="2">
        <f t="shared" si="49"/>
        <v>609</v>
      </c>
      <c r="B615" s="2">
        <v>217013</v>
      </c>
      <c r="C615" t="s">
        <v>1061</v>
      </c>
      <c r="D615" t="s">
        <v>1062</v>
      </c>
      <c r="E615" t="s">
        <v>22</v>
      </c>
      <c r="F615" s="9">
        <v>58077</v>
      </c>
      <c r="G615" s="9">
        <v>56424</v>
      </c>
      <c r="H615" s="1">
        <f t="shared" si="50"/>
        <v>2.9296044236495109</v>
      </c>
      <c r="I615" s="19">
        <v>690</v>
      </c>
      <c r="J615" s="9">
        <f t="shared" si="52"/>
        <v>84169.565217391311</v>
      </c>
      <c r="K615" s="11">
        <v>2</v>
      </c>
      <c r="L615" s="11">
        <v>2</v>
      </c>
      <c r="M615" s="11">
        <v>4</v>
      </c>
    </row>
    <row r="616" spans="1:13" x14ac:dyDescent="0.25">
      <c r="A616" s="2">
        <f t="shared" si="49"/>
        <v>610</v>
      </c>
      <c r="B616" s="2">
        <v>193751</v>
      </c>
      <c r="C616" t="s">
        <v>1063</v>
      </c>
      <c r="D616" t="s">
        <v>1064</v>
      </c>
      <c r="E616" t="s">
        <v>34</v>
      </c>
      <c r="F616" s="9">
        <v>57950</v>
      </c>
      <c r="G616" s="9">
        <v>54286</v>
      </c>
      <c r="H616" s="1">
        <f t="shared" si="50"/>
        <v>6.7494381608517857</v>
      </c>
      <c r="I616" s="23">
        <v>793</v>
      </c>
      <c r="J616" s="9">
        <f t="shared" si="52"/>
        <v>73076.923076923078</v>
      </c>
      <c r="K616" s="11">
        <v>2</v>
      </c>
      <c r="L616" s="11">
        <v>2</v>
      </c>
      <c r="M616" s="11">
        <v>5</v>
      </c>
    </row>
    <row r="617" spans="1:13" x14ac:dyDescent="0.25">
      <c r="A617" s="2">
        <f t="shared" si="49"/>
        <v>611</v>
      </c>
      <c r="B617" s="2">
        <v>196185</v>
      </c>
      <c r="C617" t="s">
        <v>1468</v>
      </c>
      <c r="D617" t="s">
        <v>966</v>
      </c>
      <c r="E617" t="s">
        <v>34</v>
      </c>
      <c r="F617" s="9">
        <v>57634</v>
      </c>
      <c r="G617" s="9">
        <v>49086</v>
      </c>
      <c r="H617" s="1">
        <f t="shared" si="50"/>
        <v>17.414334025995192</v>
      </c>
      <c r="I617" s="28" t="s">
        <v>119</v>
      </c>
      <c r="J617" s="13" t="s">
        <v>119</v>
      </c>
      <c r="K617" s="11">
        <v>1</v>
      </c>
      <c r="L617" s="11">
        <v>2</v>
      </c>
      <c r="M617" s="11">
        <v>3</v>
      </c>
    </row>
    <row r="618" spans="1:13" x14ac:dyDescent="0.25">
      <c r="A618" s="2">
        <f t="shared" si="49"/>
        <v>612</v>
      </c>
      <c r="B618" s="2">
        <v>210571</v>
      </c>
      <c r="C618" t="s">
        <v>1065</v>
      </c>
      <c r="D618" t="s">
        <v>1474</v>
      </c>
      <c r="E618" t="s">
        <v>22</v>
      </c>
      <c r="F618" s="9">
        <v>57592</v>
      </c>
      <c r="G618" s="9">
        <v>56192</v>
      </c>
      <c r="H618" s="1">
        <f t="shared" si="50"/>
        <v>2.4914578587699316</v>
      </c>
      <c r="I618" s="28" t="s">
        <v>119</v>
      </c>
      <c r="J618" s="13" t="s">
        <v>119</v>
      </c>
      <c r="K618" s="11">
        <v>2</v>
      </c>
      <c r="L618" s="11">
        <v>2</v>
      </c>
      <c r="M618" s="11">
        <v>4</v>
      </c>
    </row>
    <row r="619" spans="1:13" x14ac:dyDescent="0.25">
      <c r="A619" s="2">
        <f t="shared" si="49"/>
        <v>613</v>
      </c>
      <c r="B619" s="2">
        <v>220215</v>
      </c>
      <c r="C619" t="s">
        <v>1070</v>
      </c>
      <c r="D619" t="s">
        <v>1071</v>
      </c>
      <c r="E619" t="s">
        <v>63</v>
      </c>
      <c r="F619" s="9">
        <v>56798</v>
      </c>
      <c r="G619" s="9">
        <v>52671</v>
      </c>
      <c r="H619" s="1">
        <f t="shared" si="50"/>
        <v>7.8354312619847741</v>
      </c>
      <c r="I619" s="23">
        <v>1564</v>
      </c>
      <c r="J619" s="9">
        <f>(F619*1000)/I619</f>
        <v>36315.856777493609</v>
      </c>
      <c r="K619" s="11">
        <v>2</v>
      </c>
      <c r="L619" s="11">
        <v>2</v>
      </c>
      <c r="M619" s="11">
        <v>3</v>
      </c>
    </row>
    <row r="620" spans="1:13" x14ac:dyDescent="0.25">
      <c r="A620" s="2">
        <f t="shared" si="49"/>
        <v>614</v>
      </c>
      <c r="B620" s="2">
        <v>233277</v>
      </c>
      <c r="C620" t="s">
        <v>1072</v>
      </c>
      <c r="D620" t="s">
        <v>1073</v>
      </c>
      <c r="E620" t="s">
        <v>52</v>
      </c>
      <c r="F620" s="9">
        <v>56530</v>
      </c>
      <c r="G620" s="9">
        <v>50153</v>
      </c>
      <c r="H620" s="1">
        <f t="shared" si="50"/>
        <v>12.715091819033757</v>
      </c>
      <c r="I620" s="28" t="s">
        <v>119</v>
      </c>
      <c r="J620" s="13" t="s">
        <v>119</v>
      </c>
      <c r="K620" s="11">
        <v>1</v>
      </c>
      <c r="L620" s="11">
        <v>2</v>
      </c>
      <c r="M620" s="11">
        <v>3</v>
      </c>
    </row>
    <row r="621" spans="1:13" x14ac:dyDescent="0.25">
      <c r="A621" s="2">
        <f t="shared" si="49"/>
        <v>615</v>
      </c>
      <c r="B621" s="2">
        <v>191676</v>
      </c>
      <c r="C621" t="s">
        <v>1074</v>
      </c>
      <c r="D621" t="s">
        <v>802</v>
      </c>
      <c r="E621" t="s">
        <v>34</v>
      </c>
      <c r="F621" s="9">
        <v>56151</v>
      </c>
      <c r="G621" s="9">
        <v>51283</v>
      </c>
      <c r="H621" s="1">
        <f t="shared" si="50"/>
        <v>9.4924243901487824</v>
      </c>
      <c r="I621" s="23">
        <v>1001.66</v>
      </c>
      <c r="J621" s="9">
        <f>(F621*1000)/I621</f>
        <v>56057.943813269972</v>
      </c>
      <c r="K621" s="11">
        <v>2</v>
      </c>
      <c r="L621" s="11">
        <v>2</v>
      </c>
      <c r="M621" s="11">
        <v>4</v>
      </c>
    </row>
    <row r="622" spans="1:13" x14ac:dyDescent="0.25">
      <c r="A622" s="2">
        <f t="shared" si="49"/>
        <v>616</v>
      </c>
      <c r="B622" s="2">
        <v>174127</v>
      </c>
      <c r="C622" t="s">
        <v>1075</v>
      </c>
      <c r="D622" t="s">
        <v>71</v>
      </c>
      <c r="E622" t="s">
        <v>72</v>
      </c>
      <c r="F622" s="9">
        <v>55570</v>
      </c>
      <c r="G622" s="9">
        <v>52832</v>
      </c>
      <c r="H622" s="1">
        <f t="shared" si="50"/>
        <v>5.1824651726226527</v>
      </c>
      <c r="I622" s="23">
        <v>728</v>
      </c>
      <c r="J622" s="9">
        <f>(F622*1000)/I622</f>
        <v>76332.417582417576</v>
      </c>
      <c r="K622" s="11">
        <v>2</v>
      </c>
      <c r="L622" s="11">
        <v>2</v>
      </c>
      <c r="M622" s="11">
        <v>5</v>
      </c>
    </row>
    <row r="623" spans="1:13" x14ac:dyDescent="0.25">
      <c r="A623" s="2">
        <f t="shared" si="49"/>
        <v>617</v>
      </c>
      <c r="B623" s="2">
        <v>165705</v>
      </c>
      <c r="C623" t="s">
        <v>1076</v>
      </c>
      <c r="D623" t="s">
        <v>33</v>
      </c>
      <c r="E623" t="s">
        <v>34</v>
      </c>
      <c r="F623" s="9">
        <v>55358</v>
      </c>
      <c r="G623" s="9">
        <v>56482</v>
      </c>
      <c r="H623" s="1">
        <f t="shared" si="50"/>
        <v>-1.9900145178995077</v>
      </c>
      <c r="I623" s="28" t="s">
        <v>119</v>
      </c>
      <c r="J623" s="10" t="s">
        <v>119</v>
      </c>
      <c r="K623" s="11">
        <v>2</v>
      </c>
      <c r="L623" s="11">
        <v>2</v>
      </c>
      <c r="M623" s="11">
        <v>5</v>
      </c>
    </row>
    <row r="624" spans="1:13" x14ac:dyDescent="0.25">
      <c r="A624" s="2">
        <f t="shared" si="49"/>
        <v>618</v>
      </c>
      <c r="B624" s="2">
        <v>178059</v>
      </c>
      <c r="C624" t="s">
        <v>1077</v>
      </c>
      <c r="D624" t="s">
        <v>1078</v>
      </c>
      <c r="E624" t="s">
        <v>45</v>
      </c>
      <c r="F624" s="9">
        <v>55046</v>
      </c>
      <c r="G624" s="9">
        <v>50672</v>
      </c>
      <c r="H624" s="1">
        <f t="shared" si="50"/>
        <v>8.6319861067256074</v>
      </c>
      <c r="I624" s="23">
        <v>4756</v>
      </c>
      <c r="J624" s="9">
        <v>13260.9</v>
      </c>
      <c r="K624" s="11">
        <v>2</v>
      </c>
      <c r="L624" s="11">
        <v>2</v>
      </c>
      <c r="M624" s="11">
        <v>2</v>
      </c>
    </row>
    <row r="625" spans="1:13" x14ac:dyDescent="0.25">
      <c r="A625" s="2">
        <f t="shared" si="49"/>
        <v>619</v>
      </c>
      <c r="B625" s="2">
        <v>184773</v>
      </c>
      <c r="C625" t="s">
        <v>1079</v>
      </c>
      <c r="D625" t="s">
        <v>1080</v>
      </c>
      <c r="E625" t="s">
        <v>17</v>
      </c>
      <c r="F625" s="9">
        <v>54635</v>
      </c>
      <c r="G625" s="9">
        <v>52523</v>
      </c>
      <c r="H625" s="1">
        <f t="shared" si="50"/>
        <v>4.0210955200578793</v>
      </c>
      <c r="I625" s="23">
        <v>1811</v>
      </c>
      <c r="J625" s="9">
        <f t="shared" ref="J625:J647" si="53">(F625*1000)/I625</f>
        <v>30168.415240198785</v>
      </c>
      <c r="K625" s="11">
        <v>2</v>
      </c>
      <c r="L625" s="11">
        <v>2</v>
      </c>
      <c r="M625" s="11">
        <v>3</v>
      </c>
    </row>
    <row r="626" spans="1:13" x14ac:dyDescent="0.25">
      <c r="A626" s="2">
        <f t="shared" si="49"/>
        <v>620</v>
      </c>
      <c r="B626" s="2">
        <v>218964</v>
      </c>
      <c r="C626" t="s">
        <v>1081</v>
      </c>
      <c r="D626" t="s">
        <v>1082</v>
      </c>
      <c r="E626" t="s">
        <v>278</v>
      </c>
      <c r="F626" s="9">
        <v>54521</v>
      </c>
      <c r="G626" s="9">
        <v>50277</v>
      </c>
      <c r="H626" s="1">
        <f t="shared" si="50"/>
        <v>8.4412355550251608</v>
      </c>
      <c r="I626" s="23">
        <v>5091</v>
      </c>
      <c r="J626" s="9">
        <f t="shared" si="53"/>
        <v>10709.290905519545</v>
      </c>
      <c r="K626" s="11">
        <v>1</v>
      </c>
      <c r="L626" s="11">
        <v>2</v>
      </c>
      <c r="M626" s="11">
        <v>3</v>
      </c>
    </row>
    <row r="627" spans="1:13" x14ac:dyDescent="0.25">
      <c r="A627" s="2">
        <f t="shared" si="49"/>
        <v>621</v>
      </c>
      <c r="B627" s="12" t="s">
        <v>119</v>
      </c>
      <c r="C627" t="s">
        <v>1083</v>
      </c>
      <c r="D627" t="s">
        <v>1084</v>
      </c>
      <c r="E627" t="s">
        <v>52</v>
      </c>
      <c r="F627" s="9">
        <v>54479</v>
      </c>
      <c r="G627" s="9">
        <v>51121</v>
      </c>
      <c r="H627" s="1">
        <f t="shared" si="50"/>
        <v>6.5687290937188241</v>
      </c>
      <c r="I627" s="23">
        <v>4584</v>
      </c>
      <c r="J627" s="9">
        <f t="shared" si="53"/>
        <v>11884.598603839442</v>
      </c>
      <c r="K627" s="10" t="s">
        <v>119</v>
      </c>
      <c r="L627" s="10" t="s">
        <v>119</v>
      </c>
      <c r="M627" s="10" t="s">
        <v>119</v>
      </c>
    </row>
    <row r="628" spans="1:13" x14ac:dyDescent="0.25">
      <c r="A628" s="2">
        <f t="shared" si="49"/>
        <v>622</v>
      </c>
      <c r="B628" s="2">
        <v>240107</v>
      </c>
      <c r="C628" t="s">
        <v>1085</v>
      </c>
      <c r="D628" t="s">
        <v>1086</v>
      </c>
      <c r="E628" t="s">
        <v>80</v>
      </c>
      <c r="F628" s="9">
        <v>53984</v>
      </c>
      <c r="G628" s="9">
        <v>50865</v>
      </c>
      <c r="H628" s="1">
        <f t="shared" si="50"/>
        <v>6.1319178216848522</v>
      </c>
      <c r="I628" s="23">
        <v>2182</v>
      </c>
      <c r="J628" s="9">
        <f t="shared" si="53"/>
        <v>24740.604949587534</v>
      </c>
      <c r="K628" s="11">
        <v>2</v>
      </c>
      <c r="L628" s="11">
        <v>2</v>
      </c>
      <c r="M628" s="11">
        <v>3</v>
      </c>
    </row>
    <row r="629" spans="1:13" x14ac:dyDescent="0.25">
      <c r="A629" s="2">
        <f t="shared" si="49"/>
        <v>623</v>
      </c>
      <c r="B629" s="2">
        <v>110361</v>
      </c>
      <c r="C629" t="s">
        <v>1087</v>
      </c>
      <c r="D629" t="s">
        <v>1088</v>
      </c>
      <c r="E629" t="s">
        <v>14</v>
      </c>
      <c r="F629" s="9">
        <v>53909</v>
      </c>
      <c r="G629" s="9">
        <v>47704</v>
      </c>
      <c r="H629" s="1">
        <f t="shared" si="50"/>
        <v>13.00729498574543</v>
      </c>
      <c r="I629" s="23">
        <v>10647</v>
      </c>
      <c r="J629" s="9">
        <f t="shared" si="53"/>
        <v>5063.3042171503712</v>
      </c>
      <c r="K629" s="11">
        <v>2</v>
      </c>
      <c r="L629" s="11">
        <v>2</v>
      </c>
      <c r="M629" s="11">
        <v>3</v>
      </c>
    </row>
    <row r="630" spans="1:13" x14ac:dyDescent="0.25">
      <c r="A630" s="2">
        <f t="shared" si="49"/>
        <v>624</v>
      </c>
      <c r="B630" s="2">
        <v>168254</v>
      </c>
      <c r="C630" t="s">
        <v>1089</v>
      </c>
      <c r="D630" t="s">
        <v>798</v>
      </c>
      <c r="E630" t="s">
        <v>5</v>
      </c>
      <c r="F630" s="9">
        <v>53770</v>
      </c>
      <c r="G630" s="9">
        <v>51376</v>
      </c>
      <c r="H630" s="1">
        <f t="shared" si="50"/>
        <v>4.659763313609468</v>
      </c>
      <c r="I630" s="23">
        <v>3426</v>
      </c>
      <c r="J630" s="9">
        <f t="shared" si="53"/>
        <v>15694.687682428488</v>
      </c>
      <c r="K630" s="11">
        <v>2</v>
      </c>
      <c r="L630" s="11">
        <v>2</v>
      </c>
      <c r="M630" s="11">
        <v>3</v>
      </c>
    </row>
    <row r="631" spans="1:13" x14ac:dyDescent="0.25">
      <c r="A631" s="2">
        <f t="shared" si="49"/>
        <v>625</v>
      </c>
      <c r="B631" s="2">
        <v>166018</v>
      </c>
      <c r="C631" t="s">
        <v>1090</v>
      </c>
      <c r="D631" t="s">
        <v>99</v>
      </c>
      <c r="E631" t="s">
        <v>5</v>
      </c>
      <c r="F631" s="9">
        <v>53436</v>
      </c>
      <c r="G631" s="9">
        <v>48462</v>
      </c>
      <c r="H631" s="1">
        <f t="shared" si="50"/>
        <v>10.263711774173579</v>
      </c>
      <c r="I631" s="19">
        <v>1244</v>
      </c>
      <c r="J631" s="9">
        <f t="shared" si="53"/>
        <v>42954.983922829582</v>
      </c>
      <c r="K631" s="11">
        <v>2</v>
      </c>
      <c r="L631" s="11">
        <v>2</v>
      </c>
      <c r="M631" s="11">
        <v>4</v>
      </c>
    </row>
    <row r="632" spans="1:13" x14ac:dyDescent="0.25">
      <c r="A632" s="2">
        <f t="shared" si="49"/>
        <v>626</v>
      </c>
      <c r="B632" s="2">
        <v>232089</v>
      </c>
      <c r="C632" t="s">
        <v>1091</v>
      </c>
      <c r="D632" t="s">
        <v>1092</v>
      </c>
      <c r="E632" t="s">
        <v>52</v>
      </c>
      <c r="F632" s="9">
        <v>52752</v>
      </c>
      <c r="G632" s="9">
        <v>50959</v>
      </c>
      <c r="H632" s="1">
        <f t="shared" si="50"/>
        <v>3.5185148845150027</v>
      </c>
      <c r="I632" s="23">
        <v>1076</v>
      </c>
      <c r="J632" s="9">
        <f t="shared" si="53"/>
        <v>49026.022304832717</v>
      </c>
      <c r="K632" s="11">
        <v>2</v>
      </c>
      <c r="L632" s="11">
        <v>2</v>
      </c>
      <c r="M632" s="11">
        <v>4</v>
      </c>
    </row>
    <row r="633" spans="1:13" x14ac:dyDescent="0.25">
      <c r="A633" s="2">
        <f t="shared" si="49"/>
        <v>627</v>
      </c>
      <c r="B633" s="2">
        <v>199865</v>
      </c>
      <c r="C633" t="s">
        <v>1093</v>
      </c>
      <c r="D633" t="s">
        <v>1094</v>
      </c>
      <c r="E633" t="s">
        <v>40</v>
      </c>
      <c r="F633" s="9">
        <v>52617</v>
      </c>
      <c r="G633" s="9">
        <v>53133</v>
      </c>
      <c r="H633" s="1">
        <f t="shared" si="50"/>
        <v>-0.97114787420247306</v>
      </c>
      <c r="I633" s="23">
        <v>690</v>
      </c>
      <c r="J633" s="9">
        <f t="shared" si="53"/>
        <v>76256.521739130432</v>
      </c>
      <c r="K633" s="11">
        <v>2</v>
      </c>
      <c r="L633" s="11">
        <v>2</v>
      </c>
      <c r="M633" s="11">
        <v>4</v>
      </c>
    </row>
    <row r="634" spans="1:13" x14ac:dyDescent="0.25">
      <c r="A634" s="2">
        <f t="shared" si="49"/>
        <v>628</v>
      </c>
      <c r="B634" s="2">
        <v>214069</v>
      </c>
      <c r="C634" t="s">
        <v>1095</v>
      </c>
      <c r="D634" t="s">
        <v>147</v>
      </c>
      <c r="E634" t="s">
        <v>22</v>
      </c>
      <c r="F634" s="9">
        <v>52359</v>
      </c>
      <c r="G634" s="9">
        <v>49224</v>
      </c>
      <c r="H634" s="1">
        <f t="shared" si="50"/>
        <v>6.3688444661140906</v>
      </c>
      <c r="I634" s="23">
        <v>2187</v>
      </c>
      <c r="J634" s="9">
        <f t="shared" si="53"/>
        <v>23941.015089163237</v>
      </c>
      <c r="K634" s="11">
        <v>2</v>
      </c>
      <c r="L634" s="11">
        <v>2</v>
      </c>
      <c r="M634" s="11">
        <v>3</v>
      </c>
    </row>
    <row r="635" spans="1:13" x14ac:dyDescent="0.25">
      <c r="A635" s="2">
        <f t="shared" si="49"/>
        <v>629</v>
      </c>
      <c r="B635" s="2">
        <v>203085</v>
      </c>
      <c r="C635" t="s">
        <v>1096</v>
      </c>
      <c r="D635" t="s">
        <v>1097</v>
      </c>
      <c r="E635" t="s">
        <v>60</v>
      </c>
      <c r="F635" s="9">
        <v>52246</v>
      </c>
      <c r="G635" s="9">
        <v>48937</v>
      </c>
      <c r="H635" s="1">
        <f t="shared" si="50"/>
        <v>6.7617549093732761</v>
      </c>
      <c r="I635" s="23">
        <v>1201</v>
      </c>
      <c r="J635" s="9">
        <f t="shared" si="53"/>
        <v>43502.081598667777</v>
      </c>
      <c r="K635" s="11">
        <v>2</v>
      </c>
      <c r="L635" s="11">
        <v>2</v>
      </c>
      <c r="M635" s="11">
        <v>3</v>
      </c>
    </row>
    <row r="636" spans="1:13" x14ac:dyDescent="0.25">
      <c r="A636" s="2">
        <f t="shared" si="49"/>
        <v>630</v>
      </c>
      <c r="B636" s="2">
        <v>115728</v>
      </c>
      <c r="C636" t="s">
        <v>1098</v>
      </c>
      <c r="D636" t="s">
        <v>31</v>
      </c>
      <c r="E636" t="s">
        <v>14</v>
      </c>
      <c r="F636" s="9">
        <v>51917</v>
      </c>
      <c r="G636" s="9">
        <v>50946</v>
      </c>
      <c r="H636" s="1">
        <f t="shared" si="50"/>
        <v>1.9059396223452283</v>
      </c>
      <c r="I636" s="23">
        <v>780</v>
      </c>
      <c r="J636" s="9">
        <f t="shared" si="53"/>
        <v>66560.256410256407</v>
      </c>
      <c r="K636" s="11">
        <v>2</v>
      </c>
      <c r="L636" s="11">
        <v>2</v>
      </c>
      <c r="M636" s="11">
        <v>3</v>
      </c>
    </row>
    <row r="637" spans="1:13" x14ac:dyDescent="0.25">
      <c r="A637" s="2">
        <f t="shared" si="49"/>
        <v>631</v>
      </c>
      <c r="B637" s="2">
        <v>214379</v>
      </c>
      <c r="C637" t="s">
        <v>1099</v>
      </c>
      <c r="D637" t="s">
        <v>1100</v>
      </c>
      <c r="E637" t="s">
        <v>22</v>
      </c>
      <c r="F637" s="9">
        <v>51901</v>
      </c>
      <c r="G637" s="9">
        <v>46060</v>
      </c>
      <c r="H637" s="1">
        <f t="shared" si="50"/>
        <v>12.681285280069474</v>
      </c>
      <c r="I637" s="23">
        <v>7300</v>
      </c>
      <c r="J637" s="9">
        <f t="shared" si="53"/>
        <v>7109.7260273972606</v>
      </c>
      <c r="K637" s="11">
        <v>4</v>
      </c>
      <c r="L637" s="11">
        <v>2</v>
      </c>
      <c r="M637" s="11">
        <v>1</v>
      </c>
    </row>
    <row r="638" spans="1:13" x14ac:dyDescent="0.25">
      <c r="A638" s="2">
        <f t="shared" si="49"/>
        <v>632</v>
      </c>
      <c r="B638" s="2">
        <v>155089</v>
      </c>
      <c r="C638" t="s">
        <v>1101</v>
      </c>
      <c r="D638" t="s">
        <v>519</v>
      </c>
      <c r="E638" t="s">
        <v>132</v>
      </c>
      <c r="F638" s="9">
        <v>51830</v>
      </c>
      <c r="G638" s="9">
        <v>49065</v>
      </c>
      <c r="H638" s="1">
        <f t="shared" si="50"/>
        <v>5.635381636604504</v>
      </c>
      <c r="I638" s="23">
        <v>1234</v>
      </c>
      <c r="J638" s="9">
        <f t="shared" si="53"/>
        <v>42001.620745542947</v>
      </c>
      <c r="K638" s="11">
        <v>2</v>
      </c>
      <c r="L638" s="11">
        <v>2</v>
      </c>
      <c r="M638" s="11">
        <v>3</v>
      </c>
    </row>
    <row r="639" spans="1:13" x14ac:dyDescent="0.25">
      <c r="A639" s="2">
        <f t="shared" si="49"/>
        <v>633</v>
      </c>
      <c r="B639" s="2">
        <v>115047</v>
      </c>
      <c r="C639" t="s">
        <v>1102</v>
      </c>
      <c r="D639" t="s">
        <v>1103</v>
      </c>
      <c r="E639" t="s">
        <v>14</v>
      </c>
      <c r="F639" s="9">
        <v>51745</v>
      </c>
      <c r="G639" s="9">
        <v>48475</v>
      </c>
      <c r="H639" s="1">
        <f t="shared" si="50"/>
        <v>6.7457452294997413</v>
      </c>
      <c r="I639" s="23">
        <v>234</v>
      </c>
      <c r="J639" s="9">
        <f t="shared" si="53"/>
        <v>221132.47863247863</v>
      </c>
      <c r="K639" s="10" t="s">
        <v>119</v>
      </c>
      <c r="L639" s="10" t="s">
        <v>119</v>
      </c>
      <c r="M639" s="10" t="s">
        <v>119</v>
      </c>
    </row>
    <row r="640" spans="1:13" x14ac:dyDescent="0.25">
      <c r="A640" s="2">
        <f t="shared" si="49"/>
        <v>634</v>
      </c>
      <c r="B640" s="2">
        <v>199111</v>
      </c>
      <c r="C640" t="s">
        <v>1104</v>
      </c>
      <c r="D640" t="s">
        <v>1094</v>
      </c>
      <c r="E640" t="s">
        <v>40</v>
      </c>
      <c r="F640" s="9">
        <v>51396</v>
      </c>
      <c r="G640" s="9">
        <v>44292</v>
      </c>
      <c r="H640" s="1">
        <f t="shared" si="50"/>
        <v>16.039013817393659</v>
      </c>
      <c r="I640" s="23">
        <v>3558</v>
      </c>
      <c r="J640" s="9">
        <f t="shared" si="53"/>
        <v>14445.193929173693</v>
      </c>
      <c r="K640" s="11">
        <v>1</v>
      </c>
      <c r="L640" s="11">
        <v>2</v>
      </c>
      <c r="M640" s="11">
        <v>4</v>
      </c>
    </row>
    <row r="641" spans="1:13" x14ac:dyDescent="0.25">
      <c r="A641" s="2">
        <f t="shared" si="49"/>
        <v>635</v>
      </c>
      <c r="B641" s="2">
        <v>211158</v>
      </c>
      <c r="C641" t="s">
        <v>1105</v>
      </c>
      <c r="D641" t="s">
        <v>1106</v>
      </c>
      <c r="E641" t="s">
        <v>22</v>
      </c>
      <c r="F641" s="9">
        <v>51000</v>
      </c>
      <c r="G641" s="9">
        <v>45000</v>
      </c>
      <c r="H641" s="1">
        <f t="shared" si="50"/>
        <v>13.333333333333334</v>
      </c>
      <c r="I641" s="23">
        <v>9000</v>
      </c>
      <c r="J641" s="9">
        <f t="shared" si="53"/>
        <v>5666.666666666667</v>
      </c>
      <c r="K641" s="11">
        <v>1</v>
      </c>
      <c r="L641" s="11">
        <v>2</v>
      </c>
      <c r="M641" s="11">
        <v>3</v>
      </c>
    </row>
    <row r="642" spans="1:13" x14ac:dyDescent="0.25">
      <c r="A642" s="2">
        <f t="shared" si="49"/>
        <v>636</v>
      </c>
      <c r="B642" s="2">
        <v>164632</v>
      </c>
      <c r="C642" t="s">
        <v>1107</v>
      </c>
      <c r="D642" t="s">
        <v>1108</v>
      </c>
      <c r="E642" t="s">
        <v>5</v>
      </c>
      <c r="F642" s="9">
        <v>50798</v>
      </c>
      <c r="G642" s="9">
        <v>46320</v>
      </c>
      <c r="H642" s="1">
        <f t="shared" si="50"/>
        <v>9.6675302245250432</v>
      </c>
      <c r="I642" s="23">
        <v>3030</v>
      </c>
      <c r="J642" s="9">
        <f t="shared" si="53"/>
        <v>16765.016501650163</v>
      </c>
      <c r="K642" s="11">
        <v>2</v>
      </c>
      <c r="L642" s="11">
        <v>2</v>
      </c>
      <c r="M642" s="11">
        <v>3</v>
      </c>
    </row>
    <row r="643" spans="1:13" x14ac:dyDescent="0.25">
      <c r="A643" s="2">
        <f t="shared" si="49"/>
        <v>637</v>
      </c>
      <c r="B643" s="2">
        <v>232681</v>
      </c>
      <c r="C643" t="s">
        <v>1109</v>
      </c>
      <c r="D643" t="s">
        <v>1110</v>
      </c>
      <c r="E643" t="s">
        <v>52</v>
      </c>
      <c r="F643" s="9">
        <v>50641</v>
      </c>
      <c r="G643" s="9">
        <v>47957</v>
      </c>
      <c r="H643" s="1">
        <f t="shared" si="50"/>
        <v>5.5966803594887082</v>
      </c>
      <c r="I643" s="23">
        <v>4180</v>
      </c>
      <c r="J643" s="9">
        <f t="shared" si="53"/>
        <v>12115.071770334927</v>
      </c>
      <c r="K643" s="11">
        <v>1</v>
      </c>
      <c r="L643" s="11">
        <v>2</v>
      </c>
      <c r="M643" s="11">
        <v>3</v>
      </c>
    </row>
    <row r="644" spans="1:13" x14ac:dyDescent="0.25">
      <c r="A644" s="2">
        <f t="shared" si="49"/>
        <v>638</v>
      </c>
      <c r="B644" s="2">
        <v>409254</v>
      </c>
      <c r="C644" t="s">
        <v>1111</v>
      </c>
      <c r="D644" t="s">
        <v>42</v>
      </c>
      <c r="E644" t="s">
        <v>29</v>
      </c>
      <c r="F644" s="9">
        <v>50470</v>
      </c>
      <c r="G644" s="9">
        <v>48895</v>
      </c>
      <c r="H644" s="1">
        <f t="shared" si="50"/>
        <v>3.2211882605583395</v>
      </c>
      <c r="I644" s="23">
        <v>150.69999999999999</v>
      </c>
      <c r="J644" s="9">
        <f t="shared" si="53"/>
        <v>334903.78234903782</v>
      </c>
      <c r="K644" s="11">
        <v>2</v>
      </c>
      <c r="L644" s="11">
        <v>2</v>
      </c>
      <c r="M644" s="11">
        <v>5</v>
      </c>
    </row>
    <row r="645" spans="1:13" x14ac:dyDescent="0.25">
      <c r="A645" s="2">
        <f t="shared" si="49"/>
        <v>639</v>
      </c>
      <c r="B645" s="2">
        <v>215743</v>
      </c>
      <c r="C645" t="s">
        <v>1112</v>
      </c>
      <c r="D645" t="s">
        <v>1113</v>
      </c>
      <c r="E645" t="s">
        <v>22</v>
      </c>
      <c r="F645" s="9">
        <v>50428</v>
      </c>
      <c r="G645" s="9">
        <v>48642</v>
      </c>
      <c r="H645" s="1">
        <f t="shared" si="50"/>
        <v>3.6717240245055711</v>
      </c>
      <c r="I645" s="23">
        <v>2138</v>
      </c>
      <c r="J645" s="9">
        <f t="shared" si="53"/>
        <v>23586.529466791395</v>
      </c>
      <c r="K645" s="11">
        <v>2</v>
      </c>
      <c r="L645" s="11">
        <v>2</v>
      </c>
      <c r="M645" s="11">
        <v>3</v>
      </c>
    </row>
    <row r="646" spans="1:13" x14ac:dyDescent="0.25">
      <c r="A646" s="2">
        <f t="shared" si="49"/>
        <v>640</v>
      </c>
      <c r="B646" s="2">
        <v>136774</v>
      </c>
      <c r="C646" t="s">
        <v>1114</v>
      </c>
      <c r="D646" t="s">
        <v>1115</v>
      </c>
      <c r="E646" t="s">
        <v>138</v>
      </c>
      <c r="F646" s="9">
        <v>50288</v>
      </c>
      <c r="G646" s="9">
        <v>45631</v>
      </c>
      <c r="H646" s="1">
        <f t="shared" si="50"/>
        <v>10.205781157546404</v>
      </c>
      <c r="I646" s="23">
        <v>1415</v>
      </c>
      <c r="J646" s="9">
        <f t="shared" si="53"/>
        <v>35539.22261484099</v>
      </c>
      <c r="K646" s="11">
        <v>2</v>
      </c>
      <c r="L646" s="11">
        <v>2</v>
      </c>
      <c r="M646" s="11">
        <v>5</v>
      </c>
    </row>
    <row r="647" spans="1:13" x14ac:dyDescent="0.25">
      <c r="A647" s="2">
        <f t="shared" si="49"/>
        <v>641</v>
      </c>
      <c r="B647" s="2">
        <v>133702</v>
      </c>
      <c r="C647" t="s">
        <v>1116</v>
      </c>
      <c r="D647" t="s">
        <v>742</v>
      </c>
      <c r="E647" t="s">
        <v>138</v>
      </c>
      <c r="F647" s="9">
        <v>50015</v>
      </c>
      <c r="G647" s="9">
        <v>48163</v>
      </c>
      <c r="H647" s="1">
        <f t="shared" si="50"/>
        <v>3.8452754188900191</v>
      </c>
      <c r="I647" s="29">
        <v>23070</v>
      </c>
      <c r="J647" s="9">
        <f t="shared" si="53"/>
        <v>2167.967056783702</v>
      </c>
      <c r="K647" s="11">
        <v>1</v>
      </c>
      <c r="L647" s="11">
        <v>2</v>
      </c>
      <c r="M647" s="11">
        <v>4</v>
      </c>
    </row>
    <row r="648" spans="1:13" x14ac:dyDescent="0.25">
      <c r="A648" s="2">
        <f t="shared" ref="A648:A711" si="54">RANK(F648,F$7:F$817,0)</f>
        <v>642</v>
      </c>
      <c r="B648" s="2">
        <v>139931</v>
      </c>
      <c r="C648" t="s">
        <v>1117</v>
      </c>
      <c r="D648" t="s">
        <v>1118</v>
      </c>
      <c r="E648" t="s">
        <v>48</v>
      </c>
      <c r="F648" s="9">
        <v>49747</v>
      </c>
      <c r="G648" s="9">
        <v>47746</v>
      </c>
      <c r="H648" s="1">
        <f t="shared" ref="H648:H711" si="55">((F648-G648)/G648)*100</f>
        <v>4.1909269886482639</v>
      </c>
      <c r="I648" s="28" t="s">
        <v>119</v>
      </c>
      <c r="J648" s="13" t="s">
        <v>119</v>
      </c>
      <c r="K648" s="11">
        <v>1</v>
      </c>
      <c r="L648" s="11">
        <v>2</v>
      </c>
      <c r="M648" s="11">
        <v>2</v>
      </c>
    </row>
    <row r="649" spans="1:13" x14ac:dyDescent="0.25">
      <c r="A649" s="2">
        <f t="shared" si="54"/>
        <v>643</v>
      </c>
      <c r="B649" s="2">
        <v>123572</v>
      </c>
      <c r="C649" t="s">
        <v>1119</v>
      </c>
      <c r="D649" t="s">
        <v>1120</v>
      </c>
      <c r="E649" t="s">
        <v>14</v>
      </c>
      <c r="F649" s="9">
        <v>49081</v>
      </c>
      <c r="G649" s="9">
        <v>47077</v>
      </c>
      <c r="H649" s="1">
        <f t="shared" si="55"/>
        <v>4.2568557894513237</v>
      </c>
      <c r="I649" s="23">
        <v>8646.2999999999993</v>
      </c>
      <c r="J649" s="9">
        <f>(F649*1000)/I649</f>
        <v>5676.5321582642291</v>
      </c>
      <c r="K649" s="11">
        <v>1</v>
      </c>
      <c r="L649" s="11">
        <v>2</v>
      </c>
      <c r="M649" s="11">
        <v>3</v>
      </c>
    </row>
    <row r="650" spans="1:13" x14ac:dyDescent="0.25">
      <c r="A650" s="2">
        <f t="shared" si="54"/>
        <v>644</v>
      </c>
      <c r="B650" s="2">
        <v>161873</v>
      </c>
      <c r="C650" t="s">
        <v>1121</v>
      </c>
      <c r="D650" t="s">
        <v>65</v>
      </c>
      <c r="E650" t="s">
        <v>66</v>
      </c>
      <c r="F650" s="9">
        <v>49001</v>
      </c>
      <c r="G650" s="9">
        <v>46082</v>
      </c>
      <c r="H650" s="1">
        <f t="shared" si="55"/>
        <v>6.3343604878260491</v>
      </c>
      <c r="I650" s="28" t="s">
        <v>119</v>
      </c>
      <c r="J650" s="13" t="s">
        <v>119</v>
      </c>
      <c r="K650" s="11">
        <v>1</v>
      </c>
      <c r="L650" s="11">
        <v>2</v>
      </c>
      <c r="M650" s="11">
        <v>3</v>
      </c>
    </row>
    <row r="651" spans="1:13" x14ac:dyDescent="0.25">
      <c r="A651" s="2">
        <f t="shared" si="54"/>
        <v>645</v>
      </c>
      <c r="B651" s="2">
        <v>129491</v>
      </c>
      <c r="C651" t="s">
        <v>1122</v>
      </c>
      <c r="D651" t="s">
        <v>332</v>
      </c>
      <c r="E651" t="s">
        <v>11</v>
      </c>
      <c r="F651" s="9">
        <v>48337</v>
      </c>
      <c r="G651" s="9">
        <v>46243</v>
      </c>
      <c r="H651" s="1">
        <f t="shared" si="55"/>
        <v>4.5282529247669911</v>
      </c>
      <c r="I651" s="23">
        <v>85.67</v>
      </c>
      <c r="J651" s="9">
        <f t="shared" ref="J651:J661" si="56">(F651*1000)/I651</f>
        <v>564223.18197735492</v>
      </c>
      <c r="K651" s="11">
        <v>2</v>
      </c>
      <c r="L651" s="11">
        <v>2</v>
      </c>
      <c r="M651" s="11">
        <v>5</v>
      </c>
    </row>
    <row r="652" spans="1:13" x14ac:dyDescent="0.25">
      <c r="A652" s="2">
        <f t="shared" si="54"/>
        <v>646</v>
      </c>
      <c r="B652" s="2">
        <v>115083</v>
      </c>
      <c r="C652" t="s">
        <v>1123</v>
      </c>
      <c r="D652" t="s">
        <v>145</v>
      </c>
      <c r="E652" t="s">
        <v>14</v>
      </c>
      <c r="F652" s="9">
        <v>48261</v>
      </c>
      <c r="G652" s="9">
        <v>46266</v>
      </c>
      <c r="H652" s="1">
        <f t="shared" si="55"/>
        <v>4.31202178705745</v>
      </c>
      <c r="I652" s="23">
        <v>1554</v>
      </c>
      <c r="J652" s="9">
        <f t="shared" si="56"/>
        <v>31055.984555984556</v>
      </c>
      <c r="K652" s="11">
        <v>2</v>
      </c>
      <c r="L652" s="11">
        <v>2</v>
      </c>
      <c r="M652" s="11">
        <v>3</v>
      </c>
    </row>
    <row r="653" spans="1:13" x14ac:dyDescent="0.25">
      <c r="A653" s="2">
        <f t="shared" si="54"/>
        <v>647</v>
      </c>
      <c r="B653" s="2">
        <v>173045</v>
      </c>
      <c r="C653" t="s">
        <v>1124</v>
      </c>
      <c r="D653" t="s">
        <v>71</v>
      </c>
      <c r="E653" t="s">
        <v>72</v>
      </c>
      <c r="F653" s="9">
        <v>48220</v>
      </c>
      <c r="G653" s="9">
        <v>43878</v>
      </c>
      <c r="H653" s="1">
        <f t="shared" si="55"/>
        <v>9.8956196727289303</v>
      </c>
      <c r="I653" s="23">
        <v>3110</v>
      </c>
      <c r="J653" s="9">
        <f t="shared" si="56"/>
        <v>15504.823151125402</v>
      </c>
      <c r="K653" s="11">
        <v>2</v>
      </c>
      <c r="L653" s="11">
        <v>2</v>
      </c>
      <c r="M653" s="11">
        <v>3</v>
      </c>
    </row>
    <row r="654" spans="1:13" x14ac:dyDescent="0.25">
      <c r="A654" s="2">
        <f t="shared" si="54"/>
        <v>648</v>
      </c>
      <c r="B654" s="2">
        <v>110617</v>
      </c>
      <c r="C654" t="s">
        <v>1125</v>
      </c>
      <c r="D654" t="s">
        <v>1126</v>
      </c>
      <c r="E654" t="s">
        <v>14</v>
      </c>
      <c r="F654" s="9">
        <v>48046</v>
      </c>
      <c r="G654" s="9">
        <v>45581</v>
      </c>
      <c r="H654" s="1">
        <f t="shared" si="55"/>
        <v>5.4079550689980476</v>
      </c>
      <c r="I654" s="23">
        <v>26412</v>
      </c>
      <c r="J654" s="9">
        <f t="shared" si="56"/>
        <v>1819.0973799787976</v>
      </c>
      <c r="K654" s="11">
        <v>1</v>
      </c>
      <c r="L654" s="11">
        <v>2</v>
      </c>
      <c r="M654" s="11">
        <v>3</v>
      </c>
    </row>
    <row r="655" spans="1:13" x14ac:dyDescent="0.25">
      <c r="A655" s="2">
        <f t="shared" si="54"/>
        <v>649</v>
      </c>
      <c r="B655" s="2">
        <v>139199</v>
      </c>
      <c r="C655" t="s">
        <v>1127</v>
      </c>
      <c r="D655" t="s">
        <v>137</v>
      </c>
      <c r="E655" t="s">
        <v>48</v>
      </c>
      <c r="F655" s="9">
        <v>47904</v>
      </c>
      <c r="G655" s="9">
        <v>45254</v>
      </c>
      <c r="H655" s="1">
        <f t="shared" si="55"/>
        <v>5.8558359482034739</v>
      </c>
      <c r="I655" s="23">
        <v>2010</v>
      </c>
      <c r="J655" s="9">
        <f t="shared" si="56"/>
        <v>23832.835820895521</v>
      </c>
      <c r="K655" s="11">
        <v>2</v>
      </c>
      <c r="L655" s="11">
        <v>2</v>
      </c>
      <c r="M655" s="11">
        <v>3</v>
      </c>
    </row>
    <row r="656" spans="1:13" x14ac:dyDescent="0.25">
      <c r="A656" s="2">
        <f t="shared" si="54"/>
        <v>650</v>
      </c>
      <c r="B656" s="2">
        <v>155511</v>
      </c>
      <c r="C656" t="s">
        <v>1128</v>
      </c>
      <c r="D656" t="s">
        <v>1129</v>
      </c>
      <c r="E656" t="s">
        <v>132</v>
      </c>
      <c r="F656" s="9">
        <v>47295</v>
      </c>
      <c r="G656" s="9">
        <v>46173</v>
      </c>
      <c r="H656" s="1">
        <f t="shared" si="55"/>
        <v>2.4299915535052952</v>
      </c>
      <c r="I656" s="19">
        <v>726</v>
      </c>
      <c r="J656" s="9">
        <f t="shared" si="56"/>
        <v>65144.628099173555</v>
      </c>
      <c r="K656" s="11">
        <v>2</v>
      </c>
      <c r="L656" s="11">
        <v>2</v>
      </c>
      <c r="M656" s="11">
        <v>4</v>
      </c>
    </row>
    <row r="657" spans="1:13" x14ac:dyDescent="0.25">
      <c r="A657" s="2">
        <f t="shared" si="54"/>
        <v>651</v>
      </c>
      <c r="B657" s="2">
        <v>224305</v>
      </c>
      <c r="C657" t="s">
        <v>1130</v>
      </c>
      <c r="D657" t="s">
        <v>147</v>
      </c>
      <c r="E657" t="s">
        <v>8</v>
      </c>
      <c r="F657" s="9">
        <v>47074</v>
      </c>
      <c r="G657" s="9">
        <v>43512</v>
      </c>
      <c r="H657" s="1">
        <f t="shared" si="55"/>
        <v>8.1862474719617584</v>
      </c>
      <c r="I657" s="23">
        <v>1043.67</v>
      </c>
      <c r="J657" s="9">
        <f t="shared" si="56"/>
        <v>45104.295419050082</v>
      </c>
      <c r="K657" s="11">
        <v>2</v>
      </c>
      <c r="L657" s="11">
        <v>2</v>
      </c>
      <c r="M657" s="11">
        <v>5</v>
      </c>
    </row>
    <row r="658" spans="1:13" x14ac:dyDescent="0.25">
      <c r="A658" s="2">
        <f t="shared" si="54"/>
        <v>652</v>
      </c>
      <c r="B658" s="2">
        <v>154004</v>
      </c>
      <c r="C658" t="s">
        <v>1131</v>
      </c>
      <c r="D658" t="s">
        <v>1132</v>
      </c>
      <c r="E658" t="s">
        <v>113</v>
      </c>
      <c r="F658" s="9">
        <v>46622</v>
      </c>
      <c r="G658" s="9">
        <v>45395</v>
      </c>
      <c r="H658" s="1">
        <f t="shared" si="55"/>
        <v>2.7029408525167971</v>
      </c>
      <c r="I658" s="23">
        <v>1968</v>
      </c>
      <c r="J658" s="9">
        <f t="shared" si="56"/>
        <v>23690.040650406503</v>
      </c>
      <c r="K658" s="11">
        <v>2</v>
      </c>
      <c r="L658" s="11">
        <v>2</v>
      </c>
      <c r="M658" s="11">
        <v>3</v>
      </c>
    </row>
    <row r="659" spans="1:13" x14ac:dyDescent="0.25">
      <c r="A659" s="2">
        <f t="shared" si="54"/>
        <v>653</v>
      </c>
      <c r="B659" s="2">
        <v>202073</v>
      </c>
      <c r="C659" t="s">
        <v>1133</v>
      </c>
      <c r="D659" t="s">
        <v>121</v>
      </c>
      <c r="E659" t="s">
        <v>60</v>
      </c>
      <c r="F659" s="9">
        <v>46352</v>
      </c>
      <c r="G659" s="9">
        <v>44635</v>
      </c>
      <c r="H659" s="1">
        <f t="shared" si="55"/>
        <v>3.8467570292371458</v>
      </c>
      <c r="I659" s="23">
        <v>415</v>
      </c>
      <c r="J659" s="9">
        <f t="shared" si="56"/>
        <v>111691.56626506025</v>
      </c>
      <c r="K659" s="11">
        <v>2</v>
      </c>
      <c r="L659" s="11">
        <v>2</v>
      </c>
      <c r="M659" s="11">
        <v>5</v>
      </c>
    </row>
    <row r="660" spans="1:13" x14ac:dyDescent="0.25">
      <c r="A660" s="2">
        <f t="shared" si="54"/>
        <v>654</v>
      </c>
      <c r="B660" s="2">
        <v>232706</v>
      </c>
      <c r="C660" t="s">
        <v>1134</v>
      </c>
      <c r="D660" t="s">
        <v>1135</v>
      </c>
      <c r="E660" t="s">
        <v>52</v>
      </c>
      <c r="F660" s="9">
        <v>46300</v>
      </c>
      <c r="G660" s="9">
        <v>43050</v>
      </c>
      <c r="H660" s="1">
        <f t="shared" si="55"/>
        <v>7.5493612078977934</v>
      </c>
      <c r="I660" s="23">
        <v>3042</v>
      </c>
      <c r="J660" s="9">
        <f t="shared" si="56"/>
        <v>15220.249835634451</v>
      </c>
      <c r="K660" s="11">
        <v>2</v>
      </c>
      <c r="L660" s="11">
        <v>2</v>
      </c>
      <c r="M660" s="11">
        <v>3</v>
      </c>
    </row>
    <row r="661" spans="1:13" x14ac:dyDescent="0.25">
      <c r="A661" s="2">
        <f t="shared" si="54"/>
        <v>655</v>
      </c>
      <c r="B661" s="2">
        <v>199999</v>
      </c>
      <c r="C661" t="s">
        <v>1136</v>
      </c>
      <c r="D661" t="s">
        <v>1137</v>
      </c>
      <c r="E661" t="s">
        <v>40</v>
      </c>
      <c r="F661" s="9">
        <v>46214</v>
      </c>
      <c r="G661" s="9">
        <v>42284</v>
      </c>
      <c r="H661" s="1">
        <f t="shared" si="55"/>
        <v>9.2942957146911365</v>
      </c>
      <c r="I661" s="23">
        <v>4751</v>
      </c>
      <c r="J661" s="9">
        <f t="shared" si="56"/>
        <v>9727.2153230898766</v>
      </c>
      <c r="K661" s="11">
        <v>1</v>
      </c>
      <c r="L661" s="11">
        <v>1</v>
      </c>
      <c r="M661" s="11">
        <v>3</v>
      </c>
    </row>
    <row r="662" spans="1:13" x14ac:dyDescent="0.25">
      <c r="A662" s="2">
        <f t="shared" si="54"/>
        <v>656</v>
      </c>
      <c r="B662" s="2">
        <v>100654</v>
      </c>
      <c r="C662" t="s">
        <v>1138</v>
      </c>
      <c r="D662" t="s">
        <v>766</v>
      </c>
      <c r="E662" t="s">
        <v>161</v>
      </c>
      <c r="F662" s="9">
        <v>46077</v>
      </c>
      <c r="G662" s="9">
        <v>43515</v>
      </c>
      <c r="H662" s="1">
        <f t="shared" si="55"/>
        <v>5.8876249569114103</v>
      </c>
      <c r="I662" s="28" t="s">
        <v>119</v>
      </c>
      <c r="J662" s="13" t="s">
        <v>119</v>
      </c>
      <c r="K662" s="11">
        <v>1</v>
      </c>
      <c r="L662" s="11">
        <v>1</v>
      </c>
      <c r="M662" s="11">
        <v>3</v>
      </c>
    </row>
    <row r="663" spans="1:13" x14ac:dyDescent="0.25">
      <c r="A663" s="2">
        <f t="shared" si="54"/>
        <v>657</v>
      </c>
      <c r="B663" s="2">
        <v>214564</v>
      </c>
      <c r="C663" t="s">
        <v>1139</v>
      </c>
      <c r="D663" t="s">
        <v>1444</v>
      </c>
      <c r="E663" t="s">
        <v>22</v>
      </c>
      <c r="F663" s="9">
        <v>46027</v>
      </c>
      <c r="G663" s="9">
        <v>43207</v>
      </c>
      <c r="H663" s="1">
        <f t="shared" si="55"/>
        <v>6.5267202073738053</v>
      </c>
      <c r="I663" s="23">
        <v>1111</v>
      </c>
      <c r="J663" s="9">
        <f>(F663*1000)/I663</f>
        <v>41428.442844284429</v>
      </c>
      <c r="K663" s="11">
        <v>2</v>
      </c>
      <c r="L663" s="11">
        <v>2</v>
      </c>
      <c r="M663" s="11">
        <v>5</v>
      </c>
    </row>
    <row r="664" spans="1:13" x14ac:dyDescent="0.25">
      <c r="A664" s="2">
        <f t="shared" si="54"/>
        <v>658</v>
      </c>
      <c r="B664" s="2">
        <v>217907</v>
      </c>
      <c r="C664" t="s">
        <v>1140</v>
      </c>
      <c r="D664" t="s">
        <v>1141</v>
      </c>
      <c r="E664" t="s">
        <v>278</v>
      </c>
      <c r="F664" s="9">
        <v>45713</v>
      </c>
      <c r="G664" s="9">
        <v>45027</v>
      </c>
      <c r="H664" s="1">
        <f t="shared" si="55"/>
        <v>1.5235303262486952</v>
      </c>
      <c r="I664" s="23">
        <v>994</v>
      </c>
      <c r="J664" s="9">
        <f>(F664*1000)/I664</f>
        <v>45988.933601609657</v>
      </c>
      <c r="K664" s="11">
        <v>2</v>
      </c>
      <c r="L664" s="11">
        <v>2</v>
      </c>
      <c r="M664" s="11">
        <v>4</v>
      </c>
    </row>
    <row r="665" spans="1:13" ht="17.25" x14ac:dyDescent="0.25">
      <c r="A665" s="2">
        <f t="shared" si="54"/>
        <v>659</v>
      </c>
      <c r="B665" s="2">
        <v>216764</v>
      </c>
      <c r="C665" t="s">
        <v>1467</v>
      </c>
      <c r="D665" t="s">
        <v>1142</v>
      </c>
      <c r="E665" t="s">
        <v>22</v>
      </c>
      <c r="F665" s="9">
        <v>45603</v>
      </c>
      <c r="G665" s="9">
        <v>38393</v>
      </c>
      <c r="H665" s="1">
        <f t="shared" si="55"/>
        <v>18.779465006641836</v>
      </c>
      <c r="I665" s="23">
        <v>15245</v>
      </c>
      <c r="J665" s="9">
        <f>(F665*1000)/I665</f>
        <v>2991.3414234175139</v>
      </c>
      <c r="K665" s="11">
        <v>1</v>
      </c>
      <c r="L665" s="11">
        <v>2</v>
      </c>
      <c r="M665" s="11">
        <v>3</v>
      </c>
    </row>
    <row r="666" spans="1:13" x14ac:dyDescent="0.25">
      <c r="A666" s="2">
        <f t="shared" si="54"/>
        <v>660</v>
      </c>
      <c r="B666" s="2">
        <v>201104</v>
      </c>
      <c r="C666" t="s">
        <v>1143</v>
      </c>
      <c r="D666" t="s">
        <v>703</v>
      </c>
      <c r="E666" t="s">
        <v>60</v>
      </c>
      <c r="F666" s="9">
        <v>45554</v>
      </c>
      <c r="G666" s="9">
        <v>41288</v>
      </c>
      <c r="H666" s="1">
        <f t="shared" si="55"/>
        <v>10.332299941871732</v>
      </c>
      <c r="I666" s="23">
        <v>3886</v>
      </c>
      <c r="J666" s="9">
        <f>(F666*1000)/I666</f>
        <v>11722.593926917138</v>
      </c>
      <c r="K666" s="11">
        <v>2</v>
      </c>
      <c r="L666" s="11">
        <v>2</v>
      </c>
      <c r="M666" s="11">
        <v>2</v>
      </c>
    </row>
    <row r="667" spans="1:13" x14ac:dyDescent="0.25">
      <c r="A667" s="2">
        <f t="shared" si="54"/>
        <v>661</v>
      </c>
      <c r="B667" s="2">
        <v>196149</v>
      </c>
      <c r="C667" t="s">
        <v>1144</v>
      </c>
      <c r="D667" t="s">
        <v>1145</v>
      </c>
      <c r="E667" t="s">
        <v>34</v>
      </c>
      <c r="F667" s="9">
        <v>45091</v>
      </c>
      <c r="G667" s="9">
        <v>42510</v>
      </c>
      <c r="H667" s="1">
        <f t="shared" si="55"/>
        <v>6.0715125852740535</v>
      </c>
      <c r="I667" s="28" t="s">
        <v>119</v>
      </c>
      <c r="J667" s="13" t="s">
        <v>119</v>
      </c>
      <c r="K667" s="11">
        <v>1</v>
      </c>
      <c r="L667" s="11">
        <v>2</v>
      </c>
      <c r="M667" s="11">
        <v>3</v>
      </c>
    </row>
    <row r="668" spans="1:13" x14ac:dyDescent="0.25">
      <c r="A668" s="2">
        <f t="shared" si="54"/>
        <v>662</v>
      </c>
      <c r="B668" s="2">
        <v>134945</v>
      </c>
      <c r="C668" t="s">
        <v>1146</v>
      </c>
      <c r="D668" t="s">
        <v>742</v>
      </c>
      <c r="E668" t="s">
        <v>138</v>
      </c>
      <c r="F668" s="9">
        <v>44737</v>
      </c>
      <c r="G668" s="9">
        <v>44286</v>
      </c>
      <c r="H668" s="1">
        <f t="shared" si="55"/>
        <v>1.0183805265772479</v>
      </c>
      <c r="I668" s="23">
        <v>4758</v>
      </c>
      <c r="J668" s="9">
        <f>(F668*1000)/I668</f>
        <v>9402.4800336275748</v>
      </c>
      <c r="K668" s="11">
        <v>2</v>
      </c>
      <c r="L668" s="11">
        <v>2</v>
      </c>
      <c r="M668" s="11">
        <v>3</v>
      </c>
    </row>
    <row r="669" spans="1:13" x14ac:dyDescent="0.25">
      <c r="A669" s="2">
        <f t="shared" si="54"/>
        <v>663</v>
      </c>
      <c r="B669" s="2">
        <v>195234</v>
      </c>
      <c r="C669" t="s">
        <v>1147</v>
      </c>
      <c r="D669" t="s">
        <v>995</v>
      </c>
      <c r="E669" t="s">
        <v>34</v>
      </c>
      <c r="F669" s="9">
        <v>44731</v>
      </c>
      <c r="G669" s="9">
        <v>42289</v>
      </c>
      <c r="H669" s="1">
        <f t="shared" si="55"/>
        <v>5.7745513017569579</v>
      </c>
      <c r="I669" s="23">
        <v>3259</v>
      </c>
      <c r="J669" s="9">
        <f>(F669*1000)/I669</f>
        <v>13725.375882172446</v>
      </c>
      <c r="K669" s="11">
        <v>2</v>
      </c>
      <c r="L669" s="11">
        <v>2</v>
      </c>
      <c r="M669" s="11">
        <v>3</v>
      </c>
    </row>
    <row r="670" spans="1:13" x14ac:dyDescent="0.25">
      <c r="A670" s="2">
        <f t="shared" si="54"/>
        <v>664</v>
      </c>
      <c r="B670" s="2">
        <v>218724</v>
      </c>
      <c r="C670" t="s">
        <v>1443</v>
      </c>
      <c r="D670" t="s">
        <v>603</v>
      </c>
      <c r="E670" t="s">
        <v>278</v>
      </c>
      <c r="F670" s="9">
        <v>44670</v>
      </c>
      <c r="G670" s="9">
        <v>39432</v>
      </c>
      <c r="H670" s="1">
        <f t="shared" si="55"/>
        <v>13.283627510651247</v>
      </c>
      <c r="I670" s="28" t="s">
        <v>119</v>
      </c>
      <c r="J670" s="13" t="s">
        <v>119</v>
      </c>
      <c r="K670" s="11">
        <v>1</v>
      </c>
      <c r="L670" s="11">
        <v>2</v>
      </c>
      <c r="M670" s="11">
        <v>3</v>
      </c>
    </row>
    <row r="671" spans="1:13" x14ac:dyDescent="0.25">
      <c r="A671" s="2">
        <f t="shared" si="54"/>
        <v>665</v>
      </c>
      <c r="B671" s="2">
        <v>173142</v>
      </c>
      <c r="C671" t="s">
        <v>1148</v>
      </c>
      <c r="D671" t="s">
        <v>1050</v>
      </c>
      <c r="E671" t="s">
        <v>72</v>
      </c>
      <c r="F671" s="9">
        <v>44480</v>
      </c>
      <c r="G671" s="9">
        <v>43296</v>
      </c>
      <c r="H671" s="1">
        <f t="shared" si="55"/>
        <v>2.7346637102734666</v>
      </c>
      <c r="I671" s="23">
        <v>566</v>
      </c>
      <c r="J671" s="9">
        <f t="shared" ref="J671:J681" si="57">(F671*1000)/I671</f>
        <v>78586.572438162548</v>
      </c>
      <c r="K671" s="11">
        <v>2</v>
      </c>
      <c r="L671" s="11">
        <v>2</v>
      </c>
      <c r="M671" s="11">
        <v>4</v>
      </c>
    </row>
    <row r="672" spans="1:13" x14ac:dyDescent="0.25">
      <c r="A672" s="2">
        <f t="shared" si="54"/>
        <v>666</v>
      </c>
      <c r="B672" s="2">
        <v>132471</v>
      </c>
      <c r="C672" t="s">
        <v>1149</v>
      </c>
      <c r="D672" t="s">
        <v>1150</v>
      </c>
      <c r="E672" t="s">
        <v>138</v>
      </c>
      <c r="F672" s="9">
        <v>43981</v>
      </c>
      <c r="G672" s="9">
        <v>40086</v>
      </c>
      <c r="H672" s="1">
        <f t="shared" si="55"/>
        <v>9.716609290026442</v>
      </c>
      <c r="I672" s="23">
        <v>6380</v>
      </c>
      <c r="J672" s="9">
        <f t="shared" si="57"/>
        <v>6893.5736677115983</v>
      </c>
      <c r="K672" s="11">
        <v>2</v>
      </c>
      <c r="L672" s="11">
        <v>2</v>
      </c>
      <c r="M672" s="11">
        <v>2</v>
      </c>
    </row>
    <row r="673" spans="1:13" x14ac:dyDescent="0.25">
      <c r="A673" s="2">
        <f t="shared" si="54"/>
        <v>667</v>
      </c>
      <c r="B673" s="2">
        <v>214166</v>
      </c>
      <c r="C673" t="s">
        <v>1151</v>
      </c>
      <c r="D673" t="s">
        <v>1152</v>
      </c>
      <c r="E673" t="s">
        <v>22</v>
      </c>
      <c r="F673" s="9">
        <v>43616</v>
      </c>
      <c r="G673" s="9">
        <v>41387</v>
      </c>
      <c r="H673" s="1">
        <f t="shared" si="55"/>
        <v>5.3857491482832778</v>
      </c>
      <c r="I673" s="23">
        <v>990</v>
      </c>
      <c r="J673" s="9">
        <f t="shared" si="57"/>
        <v>44056.565656565654</v>
      </c>
      <c r="K673" s="11">
        <v>2</v>
      </c>
      <c r="L673" s="11">
        <v>2</v>
      </c>
      <c r="M673" s="11">
        <v>4</v>
      </c>
    </row>
    <row r="674" spans="1:13" x14ac:dyDescent="0.25">
      <c r="A674" s="2">
        <f t="shared" si="54"/>
        <v>668</v>
      </c>
      <c r="B674" s="2">
        <v>147013</v>
      </c>
      <c r="C674" t="s">
        <v>1153</v>
      </c>
      <c r="D674" t="s">
        <v>1154</v>
      </c>
      <c r="E674" t="s">
        <v>29</v>
      </c>
      <c r="F674" s="9">
        <v>43336</v>
      </c>
      <c r="G674" s="9">
        <v>41669</v>
      </c>
      <c r="H674" s="1">
        <f t="shared" si="55"/>
        <v>4.0005759677458066</v>
      </c>
      <c r="I674" s="23">
        <v>2137</v>
      </c>
      <c r="J674" s="9">
        <f t="shared" si="57"/>
        <v>20278.895648104819</v>
      </c>
      <c r="K674" s="11">
        <v>2</v>
      </c>
      <c r="L674" s="11">
        <v>2</v>
      </c>
      <c r="M674" s="11">
        <v>3</v>
      </c>
    </row>
    <row r="675" spans="1:13" x14ac:dyDescent="0.25">
      <c r="A675" s="2">
        <f t="shared" si="54"/>
        <v>669</v>
      </c>
      <c r="B675" s="2">
        <v>221661</v>
      </c>
      <c r="C675" t="s">
        <v>1155</v>
      </c>
      <c r="D675" t="s">
        <v>1156</v>
      </c>
      <c r="E675" t="s">
        <v>63</v>
      </c>
      <c r="F675" s="9">
        <v>43220</v>
      </c>
      <c r="G675" s="9">
        <v>38434</v>
      </c>
      <c r="H675" s="1">
        <f t="shared" si="55"/>
        <v>12.452516001457044</v>
      </c>
      <c r="I675" s="23">
        <v>2704</v>
      </c>
      <c r="J675" s="9">
        <f t="shared" si="57"/>
        <v>15983.727810650887</v>
      </c>
      <c r="K675" s="11">
        <v>2</v>
      </c>
      <c r="L675" s="11">
        <v>2</v>
      </c>
      <c r="M675" s="11">
        <v>3</v>
      </c>
    </row>
    <row r="676" spans="1:13" x14ac:dyDescent="0.25">
      <c r="A676" s="2">
        <f t="shared" si="54"/>
        <v>670</v>
      </c>
      <c r="B676" s="2">
        <v>122506</v>
      </c>
      <c r="C676" t="s">
        <v>1157</v>
      </c>
      <c r="D676" t="s">
        <v>145</v>
      </c>
      <c r="E676" t="s">
        <v>14</v>
      </c>
      <c r="F676" s="9">
        <v>42635</v>
      </c>
      <c r="G676" s="9">
        <v>41026</v>
      </c>
      <c r="H676" s="1">
        <f t="shared" si="55"/>
        <v>3.9219031833471458</v>
      </c>
      <c r="I676" s="19">
        <v>413</v>
      </c>
      <c r="J676" s="9">
        <f t="shared" si="57"/>
        <v>103232.44552058111</v>
      </c>
      <c r="K676" s="11">
        <v>2</v>
      </c>
      <c r="L676" s="11">
        <v>2</v>
      </c>
      <c r="M676" s="11">
        <v>5</v>
      </c>
    </row>
    <row r="677" spans="1:13" x14ac:dyDescent="0.25">
      <c r="A677" s="2">
        <f t="shared" si="54"/>
        <v>671</v>
      </c>
      <c r="B677" s="2">
        <v>166391</v>
      </c>
      <c r="C677" t="s">
        <v>1158</v>
      </c>
      <c r="D677" t="s">
        <v>1159</v>
      </c>
      <c r="E677" t="s">
        <v>5</v>
      </c>
      <c r="F677" s="9">
        <v>42507</v>
      </c>
      <c r="G677" s="9">
        <v>41706</v>
      </c>
      <c r="H677" s="1">
        <f t="shared" si="55"/>
        <v>1.9205869659041863</v>
      </c>
      <c r="I677" s="23">
        <v>1819.7</v>
      </c>
      <c r="J677" s="9">
        <f t="shared" si="57"/>
        <v>23359.344946969279</v>
      </c>
      <c r="K677" s="11">
        <v>2</v>
      </c>
      <c r="L677" s="11">
        <v>2</v>
      </c>
      <c r="M677" s="11">
        <v>3</v>
      </c>
    </row>
    <row r="678" spans="1:13" x14ac:dyDescent="0.25">
      <c r="A678" s="2">
        <f t="shared" si="54"/>
        <v>672</v>
      </c>
      <c r="B678" s="2">
        <v>139393</v>
      </c>
      <c r="C678" t="s">
        <v>1160</v>
      </c>
      <c r="D678" t="s">
        <v>1161</v>
      </c>
      <c r="E678" t="s">
        <v>48</v>
      </c>
      <c r="F678" s="9">
        <v>42048</v>
      </c>
      <c r="G678" s="9">
        <v>39286</v>
      </c>
      <c r="H678" s="1">
        <f t="shared" si="55"/>
        <v>7.0304943236776456</v>
      </c>
      <c r="I678" s="23">
        <v>1033.1600000000001</v>
      </c>
      <c r="J678" s="9">
        <f t="shared" si="57"/>
        <v>40698.439738278677</v>
      </c>
      <c r="K678" s="11">
        <v>2</v>
      </c>
      <c r="L678" s="11">
        <v>2</v>
      </c>
      <c r="M678" s="11">
        <v>4</v>
      </c>
    </row>
    <row r="679" spans="1:13" x14ac:dyDescent="0.25">
      <c r="A679" s="2">
        <f t="shared" si="54"/>
        <v>673</v>
      </c>
      <c r="B679" s="2">
        <v>173328</v>
      </c>
      <c r="C679" t="s">
        <v>1162</v>
      </c>
      <c r="D679" t="s">
        <v>1163</v>
      </c>
      <c r="E679" t="s">
        <v>72</v>
      </c>
      <c r="F679" s="9">
        <v>41575</v>
      </c>
      <c r="G679" s="9">
        <v>41958</v>
      </c>
      <c r="H679" s="1">
        <f t="shared" si="55"/>
        <v>-0.91281757948424613</v>
      </c>
      <c r="I679" s="23">
        <v>4059</v>
      </c>
      <c r="J679" s="9">
        <f t="shared" si="57"/>
        <v>10242.670608524268</v>
      </c>
      <c r="K679" s="11">
        <v>2</v>
      </c>
      <c r="L679" s="11">
        <v>2</v>
      </c>
      <c r="M679" s="11">
        <v>3</v>
      </c>
    </row>
    <row r="680" spans="1:13" x14ac:dyDescent="0.25">
      <c r="A680" s="2">
        <f t="shared" si="54"/>
        <v>674</v>
      </c>
      <c r="B680" s="2">
        <v>180106</v>
      </c>
      <c r="C680" t="s">
        <v>1164</v>
      </c>
      <c r="D680" t="s">
        <v>1165</v>
      </c>
      <c r="E680" t="s">
        <v>612</v>
      </c>
      <c r="F680" s="9">
        <v>41412</v>
      </c>
      <c r="G680" s="9">
        <v>39537</v>
      </c>
      <c r="H680" s="1">
        <f t="shared" si="55"/>
        <v>4.7423932013051067</v>
      </c>
      <c r="I680" s="23">
        <v>1322</v>
      </c>
      <c r="J680" s="9">
        <f t="shared" si="57"/>
        <v>31325.264750378214</v>
      </c>
      <c r="K680" s="11">
        <v>2</v>
      </c>
      <c r="L680" s="11">
        <v>2</v>
      </c>
      <c r="M680" s="11">
        <v>4</v>
      </c>
    </row>
    <row r="681" spans="1:13" x14ac:dyDescent="0.25">
      <c r="A681" s="2">
        <f t="shared" si="54"/>
        <v>675</v>
      </c>
      <c r="B681" s="2">
        <v>200217</v>
      </c>
      <c r="C681" t="s">
        <v>1166</v>
      </c>
      <c r="D681" t="s">
        <v>1167</v>
      </c>
      <c r="E681" t="s">
        <v>507</v>
      </c>
      <c r="F681" s="9">
        <v>41158</v>
      </c>
      <c r="G681" s="9">
        <v>37252</v>
      </c>
      <c r="H681" s="1">
        <f t="shared" si="55"/>
        <v>10.485343068828518</v>
      </c>
      <c r="I681" s="29">
        <v>3396</v>
      </c>
      <c r="J681" s="9">
        <f t="shared" si="57"/>
        <v>12119.552414605418</v>
      </c>
      <c r="K681" s="11">
        <v>2</v>
      </c>
      <c r="L681" s="11">
        <v>2</v>
      </c>
      <c r="M681" s="11">
        <v>3</v>
      </c>
    </row>
    <row r="682" spans="1:13" x14ac:dyDescent="0.25">
      <c r="A682" s="2">
        <f t="shared" si="54"/>
        <v>676</v>
      </c>
      <c r="B682" s="2">
        <v>180416</v>
      </c>
      <c r="C682" t="s">
        <v>1168</v>
      </c>
      <c r="D682" t="s">
        <v>1169</v>
      </c>
      <c r="E682" t="s">
        <v>612</v>
      </c>
      <c r="F682" s="9">
        <v>40630</v>
      </c>
      <c r="G682" s="9">
        <v>38665</v>
      </c>
      <c r="H682" s="1">
        <f t="shared" si="55"/>
        <v>5.0821156084313976</v>
      </c>
      <c r="I682" s="28" t="s">
        <v>119</v>
      </c>
      <c r="J682" s="13" t="s">
        <v>119</v>
      </c>
      <c r="K682" s="11">
        <v>1</v>
      </c>
      <c r="L682" s="11">
        <v>2</v>
      </c>
      <c r="M682" s="11">
        <v>4</v>
      </c>
    </row>
    <row r="683" spans="1:13" x14ac:dyDescent="0.25">
      <c r="A683" s="2">
        <f t="shared" si="54"/>
        <v>677</v>
      </c>
      <c r="B683" s="2">
        <v>216010</v>
      </c>
      <c r="C683" t="s">
        <v>1170</v>
      </c>
      <c r="D683" t="s">
        <v>1171</v>
      </c>
      <c r="E683" t="s">
        <v>22</v>
      </c>
      <c r="F683" s="9">
        <v>40214</v>
      </c>
      <c r="G683" s="9">
        <v>36395</v>
      </c>
      <c r="H683" s="1">
        <f t="shared" si="55"/>
        <v>10.493199615331775</v>
      </c>
      <c r="I683" s="28" t="s">
        <v>119</v>
      </c>
      <c r="J683" s="13" t="s">
        <v>119</v>
      </c>
      <c r="K683" s="11">
        <v>1</v>
      </c>
      <c r="L683" s="11">
        <v>2</v>
      </c>
      <c r="M683" s="11">
        <v>3</v>
      </c>
    </row>
    <row r="684" spans="1:13" x14ac:dyDescent="0.25">
      <c r="A684" s="2">
        <f t="shared" si="54"/>
        <v>678</v>
      </c>
      <c r="B684" s="2">
        <v>176318</v>
      </c>
      <c r="C684" t="s">
        <v>1172</v>
      </c>
      <c r="D684" t="s">
        <v>1173</v>
      </c>
      <c r="E684" t="s">
        <v>316</v>
      </c>
      <c r="F684" s="9">
        <v>40135</v>
      </c>
      <c r="G684" s="9">
        <v>37065</v>
      </c>
      <c r="H684" s="1">
        <f t="shared" si="55"/>
        <v>8.2827465263725895</v>
      </c>
      <c r="I684" s="19">
        <v>779</v>
      </c>
      <c r="J684" s="9">
        <f>(F684*1000)/I684</f>
        <v>51521.181001283694</v>
      </c>
      <c r="K684" s="11">
        <v>2</v>
      </c>
      <c r="L684" s="11">
        <v>1</v>
      </c>
      <c r="M684" s="11">
        <v>4</v>
      </c>
    </row>
    <row r="685" spans="1:13" x14ac:dyDescent="0.25">
      <c r="A685" s="2">
        <f t="shared" si="54"/>
        <v>679</v>
      </c>
      <c r="B685" s="2">
        <v>110592</v>
      </c>
      <c r="C685" t="s">
        <v>1174</v>
      </c>
      <c r="D685" t="s">
        <v>56</v>
      </c>
      <c r="E685" t="s">
        <v>14</v>
      </c>
      <c r="F685" s="9">
        <v>40071</v>
      </c>
      <c r="G685" s="9">
        <v>38770</v>
      </c>
      <c r="H685" s="1">
        <f t="shared" si="55"/>
        <v>3.3556873871550166</v>
      </c>
      <c r="I685" s="28" t="s">
        <v>119</v>
      </c>
      <c r="J685" s="13" t="s">
        <v>119</v>
      </c>
      <c r="K685" s="11">
        <v>1</v>
      </c>
      <c r="L685" s="11">
        <v>2</v>
      </c>
      <c r="M685" s="11">
        <v>3</v>
      </c>
    </row>
    <row r="686" spans="1:13" x14ac:dyDescent="0.25">
      <c r="A686" s="2">
        <f t="shared" si="54"/>
        <v>680</v>
      </c>
      <c r="B686" s="2">
        <v>204200</v>
      </c>
      <c r="C686" t="s">
        <v>1175</v>
      </c>
      <c r="D686" t="s">
        <v>171</v>
      </c>
      <c r="E686" t="s">
        <v>60</v>
      </c>
      <c r="F686" s="9">
        <v>39715</v>
      </c>
      <c r="G686" s="9">
        <v>42689</v>
      </c>
      <c r="H686" s="1">
        <f t="shared" si="55"/>
        <v>-6.966665885825388</v>
      </c>
      <c r="I686" s="23">
        <v>1640</v>
      </c>
      <c r="J686" s="9">
        <f>(F686*1000)/I686</f>
        <v>24216.463414634145</v>
      </c>
      <c r="K686" s="11">
        <v>2</v>
      </c>
      <c r="L686" s="11">
        <v>2</v>
      </c>
      <c r="M686" s="11">
        <v>3</v>
      </c>
    </row>
    <row r="687" spans="1:13" x14ac:dyDescent="0.25">
      <c r="A687" s="2">
        <f t="shared" si="54"/>
        <v>681</v>
      </c>
      <c r="B687" s="2">
        <v>112525</v>
      </c>
      <c r="C687" t="s">
        <v>1176</v>
      </c>
      <c r="D687" t="s">
        <v>864</v>
      </c>
      <c r="E687" t="s">
        <v>14</v>
      </c>
      <c r="F687" s="9">
        <v>39644</v>
      </c>
      <c r="G687" s="9">
        <v>35909</v>
      </c>
      <c r="H687" s="1">
        <f t="shared" si="55"/>
        <v>10.401292155170012</v>
      </c>
      <c r="I687" s="23">
        <v>3840</v>
      </c>
      <c r="J687" s="9">
        <f>(F687*1000)/I687</f>
        <v>10323.958333333334</v>
      </c>
      <c r="K687" s="11">
        <v>2</v>
      </c>
      <c r="L687" s="11">
        <v>2</v>
      </c>
      <c r="M687" s="11">
        <v>5</v>
      </c>
    </row>
    <row r="688" spans="1:13" x14ac:dyDescent="0.25">
      <c r="A688" s="2">
        <f t="shared" si="54"/>
        <v>682</v>
      </c>
      <c r="B688" s="2">
        <v>110510</v>
      </c>
      <c r="C688" t="s">
        <v>1477</v>
      </c>
      <c r="D688" t="s">
        <v>1177</v>
      </c>
      <c r="E688" t="s">
        <v>14</v>
      </c>
      <c r="F688" s="9">
        <v>39642</v>
      </c>
      <c r="G688" s="9">
        <v>37702</v>
      </c>
      <c r="H688" s="1">
        <f t="shared" si="55"/>
        <v>5.1456156172086365</v>
      </c>
      <c r="I688" s="28" t="s">
        <v>119</v>
      </c>
      <c r="J688" s="13" t="s">
        <v>119</v>
      </c>
      <c r="K688" s="11">
        <v>1</v>
      </c>
      <c r="L688" s="11">
        <v>2</v>
      </c>
      <c r="M688" s="11">
        <v>3</v>
      </c>
    </row>
    <row r="689" spans="1:13" x14ac:dyDescent="0.25">
      <c r="A689" s="2">
        <f t="shared" si="54"/>
        <v>683</v>
      </c>
      <c r="B689" s="2">
        <v>240657</v>
      </c>
      <c r="C689" t="s">
        <v>1178</v>
      </c>
      <c r="D689" t="s">
        <v>1179</v>
      </c>
      <c r="E689" t="s">
        <v>363</v>
      </c>
      <c r="F689" s="9">
        <v>39624</v>
      </c>
      <c r="G689" s="9">
        <v>36773</v>
      </c>
      <c r="H689" s="1">
        <f t="shared" si="55"/>
        <v>7.7529709297582459</v>
      </c>
      <c r="I689" s="28" t="s">
        <v>119</v>
      </c>
      <c r="J689" s="13" t="s">
        <v>119</v>
      </c>
      <c r="K689" s="11">
        <v>4</v>
      </c>
      <c r="L689" s="11">
        <v>2</v>
      </c>
      <c r="M689" s="11">
        <v>1</v>
      </c>
    </row>
    <row r="690" spans="1:13" x14ac:dyDescent="0.25">
      <c r="A690" s="2">
        <f t="shared" si="54"/>
        <v>684</v>
      </c>
      <c r="B690" s="2">
        <v>153825</v>
      </c>
      <c r="C690" t="s">
        <v>1180</v>
      </c>
      <c r="D690" t="s">
        <v>1181</v>
      </c>
      <c r="E690" t="s">
        <v>113</v>
      </c>
      <c r="F690" s="9">
        <v>39066</v>
      </c>
      <c r="G690" s="9">
        <v>36104</v>
      </c>
      <c r="H690" s="1">
        <f t="shared" si="55"/>
        <v>8.2040771105694663</v>
      </c>
      <c r="I690" s="23">
        <v>1414</v>
      </c>
      <c r="J690" s="9">
        <f t="shared" ref="J690:J696" si="58">(F690*1000)/I690</f>
        <v>27628.005657708629</v>
      </c>
      <c r="K690" s="11">
        <v>2</v>
      </c>
      <c r="L690" s="11">
        <v>2</v>
      </c>
      <c r="M690" s="11">
        <v>4</v>
      </c>
    </row>
    <row r="691" spans="1:13" x14ac:dyDescent="0.25">
      <c r="A691" s="2">
        <f t="shared" si="54"/>
        <v>685</v>
      </c>
      <c r="B691" s="2">
        <v>200156</v>
      </c>
      <c r="C691" t="s">
        <v>1182</v>
      </c>
      <c r="D691" t="s">
        <v>1183</v>
      </c>
      <c r="E691" t="s">
        <v>507</v>
      </c>
      <c r="F691" s="9">
        <v>38244</v>
      </c>
      <c r="G691" s="9">
        <v>35583</v>
      </c>
      <c r="H691" s="1">
        <f t="shared" si="55"/>
        <v>7.4782901947559228</v>
      </c>
      <c r="I691" s="23">
        <v>1112</v>
      </c>
      <c r="J691" s="9">
        <f t="shared" si="58"/>
        <v>34392.08633093525</v>
      </c>
      <c r="K691" s="11">
        <v>2</v>
      </c>
      <c r="L691" s="11">
        <v>2</v>
      </c>
      <c r="M691" s="11">
        <v>4</v>
      </c>
    </row>
    <row r="692" spans="1:13" x14ac:dyDescent="0.25">
      <c r="A692" s="2">
        <f t="shared" si="54"/>
        <v>686</v>
      </c>
      <c r="B692" s="2">
        <v>213826</v>
      </c>
      <c r="C692" t="s">
        <v>1184</v>
      </c>
      <c r="D692" t="s">
        <v>601</v>
      </c>
      <c r="E692" t="s">
        <v>22</v>
      </c>
      <c r="F692" s="9">
        <v>37962</v>
      </c>
      <c r="G692" s="9">
        <v>34185</v>
      </c>
      <c r="H692" s="1">
        <f t="shared" si="55"/>
        <v>11.04870557261957</v>
      </c>
      <c r="I692" s="23">
        <v>2727.9</v>
      </c>
      <c r="J692" s="9">
        <f t="shared" si="58"/>
        <v>13916.199274166942</v>
      </c>
      <c r="K692" s="11">
        <v>2</v>
      </c>
      <c r="L692" s="11">
        <v>2</v>
      </c>
      <c r="M692" s="11">
        <v>3</v>
      </c>
    </row>
    <row r="693" spans="1:13" x14ac:dyDescent="0.25">
      <c r="A693" s="2">
        <f t="shared" si="54"/>
        <v>687</v>
      </c>
      <c r="B693" s="2">
        <v>240727</v>
      </c>
      <c r="C693" t="s">
        <v>1185</v>
      </c>
      <c r="D693" t="s">
        <v>362</v>
      </c>
      <c r="E693" t="s">
        <v>363</v>
      </c>
      <c r="F693" s="9">
        <v>37708</v>
      </c>
      <c r="G693" s="9">
        <v>36030</v>
      </c>
      <c r="H693" s="1">
        <f t="shared" si="55"/>
        <v>4.6572300860394114</v>
      </c>
      <c r="I693" s="23">
        <v>10702</v>
      </c>
      <c r="J693" s="9">
        <f t="shared" si="58"/>
        <v>3523.4535600822278</v>
      </c>
      <c r="K693" s="11">
        <v>1</v>
      </c>
      <c r="L693" s="11">
        <v>2</v>
      </c>
      <c r="M693" s="11">
        <v>2</v>
      </c>
    </row>
    <row r="694" spans="1:13" x14ac:dyDescent="0.25">
      <c r="A694" s="2">
        <f t="shared" si="54"/>
        <v>688</v>
      </c>
      <c r="B694" s="2">
        <v>161457</v>
      </c>
      <c r="C694" t="s">
        <v>1186</v>
      </c>
      <c r="D694" t="s">
        <v>1187</v>
      </c>
      <c r="E694" t="s">
        <v>150</v>
      </c>
      <c r="F694" s="9">
        <v>37614</v>
      </c>
      <c r="G694" s="9">
        <v>36506</v>
      </c>
      <c r="H694" s="1">
        <f t="shared" si="55"/>
        <v>3.0351175149290528</v>
      </c>
      <c r="I694" s="23">
        <v>6667</v>
      </c>
      <c r="J694" s="9">
        <f t="shared" si="58"/>
        <v>5641.8179091045449</v>
      </c>
      <c r="K694" s="11">
        <v>2</v>
      </c>
      <c r="L694" s="11">
        <v>2</v>
      </c>
      <c r="M694" s="11">
        <v>3</v>
      </c>
    </row>
    <row r="695" spans="1:13" x14ac:dyDescent="0.25">
      <c r="A695" s="2">
        <f t="shared" si="54"/>
        <v>689</v>
      </c>
      <c r="B695" s="2">
        <v>147828</v>
      </c>
      <c r="C695" t="s">
        <v>1188</v>
      </c>
      <c r="D695" t="s">
        <v>1189</v>
      </c>
      <c r="E695" t="s">
        <v>29</v>
      </c>
      <c r="F695" s="9">
        <v>37528</v>
      </c>
      <c r="G695" s="9">
        <v>33182</v>
      </c>
      <c r="H695" s="1">
        <f t="shared" si="55"/>
        <v>13.097462479657645</v>
      </c>
      <c r="I695" s="23">
        <v>450</v>
      </c>
      <c r="J695" s="9">
        <f t="shared" si="58"/>
        <v>83395.555555555562</v>
      </c>
      <c r="K695" s="11">
        <v>2</v>
      </c>
      <c r="L695" s="11">
        <v>2</v>
      </c>
      <c r="M695" s="11">
        <v>3</v>
      </c>
    </row>
    <row r="696" spans="1:13" x14ac:dyDescent="0.25">
      <c r="A696" s="2">
        <f t="shared" si="54"/>
        <v>690</v>
      </c>
      <c r="B696" s="2">
        <v>182634</v>
      </c>
      <c r="C696" t="s">
        <v>1190</v>
      </c>
      <c r="D696" t="s">
        <v>472</v>
      </c>
      <c r="E696" t="s">
        <v>287</v>
      </c>
      <c r="F696" s="9">
        <v>37515</v>
      </c>
      <c r="G696" s="9">
        <v>36058</v>
      </c>
      <c r="H696" s="1">
        <f t="shared" si="55"/>
        <v>4.04071218592268</v>
      </c>
      <c r="I696" s="19">
        <v>956</v>
      </c>
      <c r="J696" s="9">
        <f t="shared" si="58"/>
        <v>39241.63179916318</v>
      </c>
      <c r="K696" s="11">
        <v>2</v>
      </c>
      <c r="L696" s="11">
        <v>2</v>
      </c>
      <c r="M696" s="11">
        <v>4</v>
      </c>
    </row>
    <row r="697" spans="1:13" x14ac:dyDescent="0.25">
      <c r="A697" s="2">
        <f t="shared" si="54"/>
        <v>691</v>
      </c>
      <c r="B697" s="2">
        <v>196194</v>
      </c>
      <c r="C697" t="s">
        <v>1191</v>
      </c>
      <c r="D697" t="s">
        <v>1192</v>
      </c>
      <c r="E697" t="s">
        <v>34</v>
      </c>
      <c r="F697" s="9">
        <v>37418</v>
      </c>
      <c r="G697" s="9">
        <v>33616</v>
      </c>
      <c r="H697" s="1">
        <f t="shared" si="55"/>
        <v>11.310090433127082</v>
      </c>
      <c r="I697" s="28" t="s">
        <v>119</v>
      </c>
      <c r="J697" s="13" t="s">
        <v>119</v>
      </c>
      <c r="K697" s="11">
        <v>1</v>
      </c>
      <c r="L697" s="11">
        <v>2</v>
      </c>
      <c r="M697" s="11">
        <v>3</v>
      </c>
    </row>
    <row r="698" spans="1:13" x14ac:dyDescent="0.25">
      <c r="A698" s="2">
        <f t="shared" si="54"/>
        <v>692</v>
      </c>
      <c r="B698" s="2">
        <v>211644</v>
      </c>
      <c r="C698" t="s">
        <v>1193</v>
      </c>
      <c r="D698" t="s">
        <v>1194</v>
      </c>
      <c r="E698" t="s">
        <v>22</v>
      </c>
      <c r="F698" s="9">
        <v>36580</v>
      </c>
      <c r="G698" s="9">
        <v>34510</v>
      </c>
      <c r="H698" s="1">
        <f t="shared" si="55"/>
        <v>5.9982613735149233</v>
      </c>
      <c r="I698" s="28" t="s">
        <v>119</v>
      </c>
      <c r="J698" s="13" t="s">
        <v>119</v>
      </c>
      <c r="K698" s="11">
        <v>1</v>
      </c>
      <c r="L698" s="11">
        <v>2</v>
      </c>
      <c r="M698" s="11">
        <v>3</v>
      </c>
    </row>
    <row r="699" spans="1:13" x14ac:dyDescent="0.25">
      <c r="A699" s="2">
        <f t="shared" si="54"/>
        <v>693</v>
      </c>
      <c r="B699" s="2">
        <v>195128</v>
      </c>
      <c r="C699" t="s">
        <v>1195</v>
      </c>
      <c r="D699" t="s">
        <v>792</v>
      </c>
      <c r="E699" t="s">
        <v>34</v>
      </c>
      <c r="F699" s="9">
        <v>36494</v>
      </c>
      <c r="G699" s="9">
        <v>35099</v>
      </c>
      <c r="H699" s="1">
        <f t="shared" si="55"/>
        <v>3.9744722071853902</v>
      </c>
      <c r="I699" s="23">
        <v>2125</v>
      </c>
      <c r="J699" s="9">
        <f>(F699*1000)/I699</f>
        <v>17173.647058823528</v>
      </c>
      <c r="K699" s="11">
        <v>2</v>
      </c>
      <c r="L699" s="11">
        <v>2</v>
      </c>
      <c r="M699" s="11">
        <v>3</v>
      </c>
    </row>
    <row r="700" spans="1:13" x14ac:dyDescent="0.25">
      <c r="A700" s="2">
        <f t="shared" si="54"/>
        <v>694</v>
      </c>
      <c r="B700" s="2">
        <v>147536</v>
      </c>
      <c r="C700" t="s">
        <v>1478</v>
      </c>
      <c r="D700" t="s">
        <v>42</v>
      </c>
      <c r="E700" t="s">
        <v>29</v>
      </c>
      <c r="F700" s="9">
        <v>36458</v>
      </c>
      <c r="G700" s="9">
        <v>36561</v>
      </c>
      <c r="H700" s="1">
        <f t="shared" si="55"/>
        <v>-0.28172095949235526</v>
      </c>
      <c r="I700" s="28" t="s">
        <v>119</v>
      </c>
      <c r="J700" s="13" t="s">
        <v>119</v>
      </c>
      <c r="K700" s="11">
        <v>2</v>
      </c>
      <c r="L700" s="11">
        <v>2</v>
      </c>
      <c r="M700" s="11">
        <v>2</v>
      </c>
    </row>
    <row r="701" spans="1:13" x14ac:dyDescent="0.25">
      <c r="A701" s="2">
        <f t="shared" si="54"/>
        <v>695</v>
      </c>
      <c r="B701" s="2">
        <v>205470</v>
      </c>
      <c r="C701" t="s">
        <v>1196</v>
      </c>
      <c r="D701" t="s">
        <v>345</v>
      </c>
      <c r="E701" t="s">
        <v>60</v>
      </c>
      <c r="F701" s="9">
        <v>36322</v>
      </c>
      <c r="G701" s="9">
        <v>35133</v>
      </c>
      <c r="H701" s="1">
        <f t="shared" si="55"/>
        <v>3.3842825833262173</v>
      </c>
      <c r="I701" s="28" t="s">
        <v>119</v>
      </c>
      <c r="J701" s="13" t="s">
        <v>119</v>
      </c>
      <c r="K701" s="11">
        <v>4</v>
      </c>
      <c r="L701" s="11">
        <v>2</v>
      </c>
      <c r="M701" s="11">
        <v>1</v>
      </c>
    </row>
    <row r="702" spans="1:13" x14ac:dyDescent="0.25">
      <c r="A702" s="2">
        <f t="shared" si="54"/>
        <v>696</v>
      </c>
      <c r="B702" s="2">
        <v>215655</v>
      </c>
      <c r="C702" t="s">
        <v>1197</v>
      </c>
      <c r="D702" t="s">
        <v>1198</v>
      </c>
      <c r="E702" t="s">
        <v>22</v>
      </c>
      <c r="F702" s="9">
        <v>36296</v>
      </c>
      <c r="G702" s="9">
        <v>33434</v>
      </c>
      <c r="H702" s="1">
        <f t="shared" si="55"/>
        <v>8.5601483519770287</v>
      </c>
      <c r="I702" s="23">
        <v>4147</v>
      </c>
      <c r="J702" s="9">
        <f>(F702*1000)/I702</f>
        <v>8752.3510971786836</v>
      </c>
      <c r="K702" s="11">
        <v>2</v>
      </c>
      <c r="L702" s="11">
        <v>2</v>
      </c>
      <c r="M702" s="11">
        <v>2</v>
      </c>
    </row>
    <row r="703" spans="1:13" x14ac:dyDescent="0.25">
      <c r="A703" s="2">
        <f t="shared" si="54"/>
        <v>697</v>
      </c>
      <c r="B703" s="2">
        <v>163578</v>
      </c>
      <c r="C703" t="s">
        <v>1199</v>
      </c>
      <c r="D703" t="s">
        <v>65</v>
      </c>
      <c r="E703" t="s">
        <v>66</v>
      </c>
      <c r="F703" s="9">
        <v>36113</v>
      </c>
      <c r="G703" s="9">
        <v>34557</v>
      </c>
      <c r="H703" s="1">
        <f t="shared" si="55"/>
        <v>4.5027056746824083</v>
      </c>
      <c r="I703" s="23">
        <v>1384</v>
      </c>
      <c r="J703" s="9">
        <f>(F703*1000)/I703</f>
        <v>26093.208092485551</v>
      </c>
      <c r="K703" s="11">
        <v>2</v>
      </c>
      <c r="L703" s="11">
        <v>2</v>
      </c>
      <c r="M703" s="11">
        <v>3</v>
      </c>
    </row>
    <row r="704" spans="1:13" x14ac:dyDescent="0.25">
      <c r="A704" s="2">
        <f t="shared" si="54"/>
        <v>698</v>
      </c>
      <c r="B704" s="2">
        <v>196158</v>
      </c>
      <c r="C704" t="s">
        <v>1200</v>
      </c>
      <c r="D704" t="s">
        <v>1201</v>
      </c>
      <c r="E704" t="s">
        <v>34</v>
      </c>
      <c r="F704" s="9">
        <v>35354</v>
      </c>
      <c r="G704" s="9">
        <v>32369</v>
      </c>
      <c r="H704" s="1">
        <f t="shared" si="55"/>
        <v>9.22178627699342</v>
      </c>
      <c r="I704" s="28" t="s">
        <v>119</v>
      </c>
      <c r="J704" s="13" t="s">
        <v>119</v>
      </c>
      <c r="K704" s="11">
        <v>1</v>
      </c>
      <c r="L704" s="11">
        <v>2</v>
      </c>
      <c r="M704" s="11">
        <v>3</v>
      </c>
    </row>
    <row r="705" spans="1:13" x14ac:dyDescent="0.25">
      <c r="A705" s="2">
        <f t="shared" si="54"/>
        <v>699</v>
      </c>
      <c r="B705" s="2">
        <v>240338</v>
      </c>
      <c r="C705" t="s">
        <v>1202</v>
      </c>
      <c r="D705" t="s">
        <v>247</v>
      </c>
      <c r="E705" t="s">
        <v>80</v>
      </c>
      <c r="F705" s="9">
        <v>34597</v>
      </c>
      <c r="G705" s="9">
        <v>32941</v>
      </c>
      <c r="H705" s="1">
        <f t="shared" si="55"/>
        <v>5.027169788409581</v>
      </c>
      <c r="I705" s="23">
        <v>1043</v>
      </c>
      <c r="J705" s="9">
        <f>(F705*1000)/I705</f>
        <v>33170.661553211889</v>
      </c>
      <c r="K705" s="11">
        <v>2</v>
      </c>
      <c r="L705" s="11">
        <v>2</v>
      </c>
      <c r="M705" s="11">
        <v>4</v>
      </c>
    </row>
    <row r="706" spans="1:13" x14ac:dyDescent="0.25">
      <c r="A706" s="2">
        <f t="shared" si="54"/>
        <v>700</v>
      </c>
      <c r="B706" s="2">
        <v>113193</v>
      </c>
      <c r="C706" t="s">
        <v>1203</v>
      </c>
      <c r="D706" t="s">
        <v>572</v>
      </c>
      <c r="E706" t="s">
        <v>14</v>
      </c>
      <c r="F706" s="9">
        <v>33882</v>
      </c>
      <c r="G706" s="9">
        <v>29204</v>
      </c>
      <c r="H706" s="1">
        <f t="shared" si="55"/>
        <v>16.018353650184906</v>
      </c>
      <c r="I706" s="28" t="s">
        <v>119</v>
      </c>
      <c r="J706" s="13" t="s">
        <v>119</v>
      </c>
      <c r="K706" s="11">
        <v>4</v>
      </c>
      <c r="L706" s="11">
        <v>2</v>
      </c>
      <c r="M706" s="11">
        <v>1</v>
      </c>
    </row>
    <row r="707" spans="1:13" x14ac:dyDescent="0.25">
      <c r="A707" s="2">
        <f t="shared" si="54"/>
        <v>701</v>
      </c>
      <c r="B707" s="2">
        <v>194958</v>
      </c>
      <c r="C707" t="s">
        <v>1204</v>
      </c>
      <c r="D707" t="s">
        <v>251</v>
      </c>
      <c r="E707" t="s">
        <v>34</v>
      </c>
      <c r="F707" s="9">
        <v>33578</v>
      </c>
      <c r="G707" s="9">
        <v>29810</v>
      </c>
      <c r="H707" s="1">
        <f t="shared" si="55"/>
        <v>12.640053673264006</v>
      </c>
      <c r="I707" s="23">
        <v>1653</v>
      </c>
      <c r="J707" s="9">
        <f>(F707*1000)/I707</f>
        <v>20313.369630973986</v>
      </c>
      <c r="K707" s="11">
        <v>2</v>
      </c>
      <c r="L707" s="11">
        <v>2</v>
      </c>
      <c r="M707" s="11">
        <v>3</v>
      </c>
    </row>
    <row r="708" spans="1:13" x14ac:dyDescent="0.25">
      <c r="A708" s="2">
        <f t="shared" si="54"/>
        <v>702</v>
      </c>
      <c r="B708" s="2">
        <v>130314</v>
      </c>
      <c r="C708" t="s">
        <v>1205</v>
      </c>
      <c r="D708" t="s">
        <v>652</v>
      </c>
      <c r="E708" t="s">
        <v>11</v>
      </c>
      <c r="F708" s="9">
        <v>33519</v>
      </c>
      <c r="G708" s="9">
        <v>28710</v>
      </c>
      <c r="H708" s="1">
        <f t="shared" si="55"/>
        <v>16.750261233019852</v>
      </c>
      <c r="I708" s="23">
        <v>1659</v>
      </c>
      <c r="J708" s="9">
        <f>(F708*1000)/I708</f>
        <v>20204.339963833634</v>
      </c>
      <c r="K708" s="11">
        <v>2</v>
      </c>
      <c r="L708" s="11">
        <v>2</v>
      </c>
      <c r="M708" s="11">
        <v>3</v>
      </c>
    </row>
    <row r="709" spans="1:13" x14ac:dyDescent="0.25">
      <c r="A709" s="2">
        <f t="shared" si="54"/>
        <v>703</v>
      </c>
      <c r="B709" s="2">
        <v>232672</v>
      </c>
      <c r="C709" t="s">
        <v>1206</v>
      </c>
      <c r="D709" t="s">
        <v>1207</v>
      </c>
      <c r="E709" t="s">
        <v>52</v>
      </c>
      <c r="F709" s="9">
        <v>33353</v>
      </c>
      <c r="G709" s="9">
        <v>35172</v>
      </c>
      <c r="H709" s="1">
        <f t="shared" si="55"/>
        <v>-5.171727510519732</v>
      </c>
      <c r="I709" s="23">
        <v>1287</v>
      </c>
      <c r="J709" s="9">
        <f>(F709*1000)/I709</f>
        <v>25915.306915306915</v>
      </c>
      <c r="K709" s="11">
        <v>2</v>
      </c>
      <c r="L709" s="11">
        <v>2</v>
      </c>
      <c r="M709" s="11">
        <v>3</v>
      </c>
    </row>
    <row r="710" spans="1:13" x14ac:dyDescent="0.25">
      <c r="A710" s="2">
        <f t="shared" si="54"/>
        <v>704</v>
      </c>
      <c r="B710" s="2">
        <v>179043</v>
      </c>
      <c r="C710" t="s">
        <v>1208</v>
      </c>
      <c r="D710" t="s">
        <v>1209</v>
      </c>
      <c r="E710" t="s">
        <v>45</v>
      </c>
      <c r="F710" s="9">
        <v>33199</v>
      </c>
      <c r="G710" s="9">
        <v>33301</v>
      </c>
      <c r="H710" s="1">
        <f t="shared" si="55"/>
        <v>-0.3062971081949491</v>
      </c>
      <c r="I710" s="23">
        <v>2247</v>
      </c>
      <c r="J710" s="9">
        <f>(F710*1000)/I710</f>
        <v>14774.810858923009</v>
      </c>
      <c r="K710" s="11">
        <v>2</v>
      </c>
      <c r="L710" s="11">
        <v>2</v>
      </c>
      <c r="M710" s="11">
        <v>3</v>
      </c>
    </row>
    <row r="711" spans="1:13" x14ac:dyDescent="0.25">
      <c r="A711" s="2">
        <f t="shared" si="54"/>
        <v>705</v>
      </c>
      <c r="B711" s="2">
        <v>215099</v>
      </c>
      <c r="C711" t="s">
        <v>1210</v>
      </c>
      <c r="D711" t="s">
        <v>21</v>
      </c>
      <c r="E711" t="s">
        <v>22</v>
      </c>
      <c r="F711" s="9">
        <v>33136</v>
      </c>
      <c r="G711" s="9">
        <v>31493</v>
      </c>
      <c r="H711" s="1">
        <f t="shared" si="55"/>
        <v>5.2170323563966594</v>
      </c>
      <c r="I711" s="23">
        <v>3177</v>
      </c>
      <c r="J711" s="9">
        <f>(F711*1000)/I711</f>
        <v>10429.965376141014</v>
      </c>
      <c r="K711" s="11">
        <v>2</v>
      </c>
      <c r="L711" s="11">
        <v>2</v>
      </c>
      <c r="M711" s="11">
        <v>3</v>
      </c>
    </row>
    <row r="712" spans="1:13" x14ac:dyDescent="0.25">
      <c r="A712" s="2">
        <f t="shared" ref="A712:A775" si="59">RANK(F712,F$7:F$817,0)</f>
        <v>706</v>
      </c>
      <c r="B712" s="2">
        <v>196200</v>
      </c>
      <c r="C712" t="s">
        <v>1211</v>
      </c>
      <c r="D712" t="s">
        <v>609</v>
      </c>
      <c r="E712" t="s">
        <v>34</v>
      </c>
      <c r="F712" s="9">
        <v>33112</v>
      </c>
      <c r="G712" s="9">
        <v>29610</v>
      </c>
      <c r="H712" s="1">
        <f t="shared" ref="H712:H775" si="60">((F712-G712)/G712)*100</f>
        <v>11.82708544410672</v>
      </c>
      <c r="I712" s="28" t="s">
        <v>119</v>
      </c>
      <c r="J712" s="13" t="s">
        <v>119</v>
      </c>
      <c r="K712" s="11">
        <v>1</v>
      </c>
      <c r="L712" s="11">
        <v>2</v>
      </c>
      <c r="M712" s="11">
        <v>3</v>
      </c>
    </row>
    <row r="713" spans="1:13" x14ac:dyDescent="0.25">
      <c r="A713" s="2">
        <f t="shared" si="59"/>
        <v>707</v>
      </c>
      <c r="B713" s="2">
        <v>189547</v>
      </c>
      <c r="C713" t="s">
        <v>1212</v>
      </c>
      <c r="D713" t="s">
        <v>808</v>
      </c>
      <c r="E713" t="s">
        <v>34</v>
      </c>
      <c r="F713" s="9">
        <v>33096</v>
      </c>
      <c r="G713" s="9">
        <v>34615</v>
      </c>
      <c r="H713" s="1">
        <f t="shared" si="60"/>
        <v>-4.3882709807886755</v>
      </c>
      <c r="I713" s="28" t="s">
        <v>119</v>
      </c>
      <c r="J713" s="13" t="s">
        <v>119</v>
      </c>
      <c r="K713" s="11">
        <v>4</v>
      </c>
      <c r="L713" s="11">
        <v>2</v>
      </c>
      <c r="M713" s="11">
        <v>1</v>
      </c>
    </row>
    <row r="714" spans="1:13" x14ac:dyDescent="0.25">
      <c r="A714" s="2">
        <f t="shared" si="59"/>
        <v>708</v>
      </c>
      <c r="B714" s="2">
        <v>232043</v>
      </c>
      <c r="C714" t="s">
        <v>1213</v>
      </c>
      <c r="D714" t="s">
        <v>845</v>
      </c>
      <c r="E714" t="s">
        <v>52</v>
      </c>
      <c r="F714" s="9">
        <v>33068</v>
      </c>
      <c r="G714" s="9">
        <v>28793</v>
      </c>
      <c r="H714" s="1">
        <f t="shared" si="60"/>
        <v>14.847358733025388</v>
      </c>
      <c r="I714" s="23">
        <v>1462</v>
      </c>
      <c r="J714" s="9">
        <f>(F714*1000)/I714</f>
        <v>22618.331053351572</v>
      </c>
      <c r="K714" s="11">
        <v>2</v>
      </c>
      <c r="L714" s="11">
        <v>2</v>
      </c>
      <c r="M714" s="11">
        <v>3</v>
      </c>
    </row>
    <row r="715" spans="1:13" x14ac:dyDescent="0.25">
      <c r="A715" s="2">
        <f t="shared" si="59"/>
        <v>709</v>
      </c>
      <c r="B715" s="2">
        <v>163912</v>
      </c>
      <c r="C715" t="s">
        <v>1214</v>
      </c>
      <c r="D715" t="s">
        <v>1215</v>
      </c>
      <c r="E715" t="s">
        <v>66</v>
      </c>
      <c r="F715" s="9">
        <v>32872</v>
      </c>
      <c r="G715" s="9">
        <v>31675</v>
      </c>
      <c r="H715" s="1">
        <f t="shared" si="60"/>
        <v>3.7790055248618781</v>
      </c>
      <c r="I715" s="28" t="s">
        <v>119</v>
      </c>
      <c r="J715" s="13" t="s">
        <v>119</v>
      </c>
      <c r="K715" s="11">
        <v>1</v>
      </c>
      <c r="L715" s="11">
        <v>2</v>
      </c>
      <c r="M715" s="11">
        <v>4</v>
      </c>
    </row>
    <row r="716" spans="1:13" x14ac:dyDescent="0.25">
      <c r="A716" s="2">
        <f t="shared" si="59"/>
        <v>710</v>
      </c>
      <c r="B716" s="2">
        <v>211981</v>
      </c>
      <c r="C716" t="s">
        <v>1216</v>
      </c>
      <c r="D716" t="s">
        <v>1217</v>
      </c>
      <c r="E716" t="s">
        <v>22</v>
      </c>
      <c r="F716" s="9">
        <v>32859</v>
      </c>
      <c r="G716" s="9">
        <v>31661</v>
      </c>
      <c r="H716" s="1">
        <f t="shared" si="60"/>
        <v>3.7838350020529985</v>
      </c>
      <c r="I716" s="19">
        <v>2103</v>
      </c>
      <c r="J716" s="9">
        <f>(F716*1000)/I716</f>
        <v>15624.821683309558</v>
      </c>
      <c r="K716" s="11">
        <v>2</v>
      </c>
      <c r="L716" s="11">
        <v>2</v>
      </c>
      <c r="M716" s="11">
        <v>3</v>
      </c>
    </row>
    <row r="717" spans="1:13" x14ac:dyDescent="0.25">
      <c r="A717" s="2">
        <f t="shared" si="59"/>
        <v>711</v>
      </c>
      <c r="B717" s="2">
        <v>213987</v>
      </c>
      <c r="C717" t="s">
        <v>1218</v>
      </c>
      <c r="D717" t="s">
        <v>1035</v>
      </c>
      <c r="E717" t="s">
        <v>22</v>
      </c>
      <c r="F717" s="9">
        <v>31770</v>
      </c>
      <c r="G717" s="9">
        <v>30480</v>
      </c>
      <c r="H717" s="1">
        <f t="shared" si="60"/>
        <v>4.2322834645669296</v>
      </c>
      <c r="I717" s="23">
        <v>3263</v>
      </c>
      <c r="J717" s="9">
        <f>(F717*1000)/I717</f>
        <v>9736.4388599448357</v>
      </c>
      <c r="K717" s="11">
        <v>2</v>
      </c>
      <c r="L717" s="11">
        <v>2</v>
      </c>
      <c r="M717" s="11">
        <v>3</v>
      </c>
    </row>
    <row r="718" spans="1:13" x14ac:dyDescent="0.25">
      <c r="A718" s="2">
        <f t="shared" si="59"/>
        <v>712</v>
      </c>
      <c r="B718" s="2">
        <v>180595</v>
      </c>
      <c r="C718" t="s">
        <v>1219</v>
      </c>
      <c r="D718" t="s">
        <v>1220</v>
      </c>
      <c r="E718" t="s">
        <v>612</v>
      </c>
      <c r="F718" s="9">
        <v>30891</v>
      </c>
      <c r="G718" s="9">
        <v>29723</v>
      </c>
      <c r="H718" s="1">
        <f t="shared" si="60"/>
        <v>3.9296167950745211</v>
      </c>
      <c r="I718" s="23">
        <v>971</v>
      </c>
      <c r="J718" s="9">
        <f>(F718*1000)/I718</f>
        <v>31813.594232749743</v>
      </c>
      <c r="K718" s="11">
        <v>2</v>
      </c>
      <c r="L718" s="11">
        <v>2</v>
      </c>
      <c r="M718" s="11">
        <v>4</v>
      </c>
    </row>
    <row r="719" spans="1:13" x14ac:dyDescent="0.25">
      <c r="A719" s="2">
        <f t="shared" si="59"/>
        <v>713</v>
      </c>
      <c r="B719" s="2">
        <v>192749</v>
      </c>
      <c r="C719" t="s">
        <v>1221</v>
      </c>
      <c r="D719" t="s">
        <v>1222</v>
      </c>
      <c r="E719" t="s">
        <v>34</v>
      </c>
      <c r="F719" s="9">
        <v>30839</v>
      </c>
      <c r="G719" s="9">
        <v>29593</v>
      </c>
      <c r="H719" s="1">
        <f t="shared" si="60"/>
        <v>4.2104551752103534</v>
      </c>
      <c r="I719" s="23">
        <v>2178</v>
      </c>
      <c r="J719" s="9">
        <f>(F719*1000)/I719</f>
        <v>14159.320477502295</v>
      </c>
      <c r="K719" s="11">
        <v>2</v>
      </c>
      <c r="L719" s="11">
        <v>2</v>
      </c>
      <c r="M719" s="11">
        <v>3</v>
      </c>
    </row>
    <row r="720" spans="1:13" x14ac:dyDescent="0.25">
      <c r="A720" s="2">
        <f t="shared" si="59"/>
        <v>714</v>
      </c>
      <c r="B720" s="2">
        <v>139764</v>
      </c>
      <c r="C720" t="s">
        <v>1223</v>
      </c>
      <c r="D720" t="s">
        <v>1224</v>
      </c>
      <c r="E720" t="s">
        <v>48</v>
      </c>
      <c r="F720" s="9">
        <v>30730</v>
      </c>
      <c r="G720" s="9">
        <v>28944</v>
      </c>
      <c r="H720" s="1">
        <f t="shared" si="60"/>
        <v>6.17053620784964</v>
      </c>
      <c r="I720" s="28" t="s">
        <v>119</v>
      </c>
      <c r="J720" s="13" t="s">
        <v>119</v>
      </c>
      <c r="K720" s="11">
        <v>1</v>
      </c>
      <c r="L720" s="11">
        <v>2</v>
      </c>
      <c r="M720" s="11">
        <v>3</v>
      </c>
    </row>
    <row r="721" spans="1:13" x14ac:dyDescent="0.25">
      <c r="A721" s="2">
        <f t="shared" si="59"/>
        <v>715</v>
      </c>
      <c r="B721" s="2">
        <v>198260</v>
      </c>
      <c r="C721" t="s">
        <v>1225</v>
      </c>
      <c r="D721" t="s">
        <v>576</v>
      </c>
      <c r="E721" t="s">
        <v>40</v>
      </c>
      <c r="F721" s="9">
        <v>30399</v>
      </c>
      <c r="G721" s="9">
        <v>28731</v>
      </c>
      <c r="H721" s="1">
        <f t="shared" si="60"/>
        <v>5.8055758588284432</v>
      </c>
      <c r="I721" s="28" t="s">
        <v>119</v>
      </c>
      <c r="J721" s="13" t="s">
        <v>119</v>
      </c>
      <c r="K721" s="11">
        <v>4</v>
      </c>
      <c r="L721" s="11">
        <v>2</v>
      </c>
      <c r="M721" s="11">
        <v>1</v>
      </c>
    </row>
    <row r="722" spans="1:13" x14ac:dyDescent="0.25">
      <c r="A722" s="2">
        <f t="shared" si="59"/>
        <v>716</v>
      </c>
      <c r="B722" s="2">
        <v>201654</v>
      </c>
      <c r="C722" t="s">
        <v>1226</v>
      </c>
      <c r="D722" t="s">
        <v>1227</v>
      </c>
      <c r="E722" t="s">
        <v>60</v>
      </c>
      <c r="F722" s="9">
        <v>30202</v>
      </c>
      <c r="G722" s="9">
        <v>28843</v>
      </c>
      <c r="H722" s="1">
        <f t="shared" si="60"/>
        <v>4.7117151475227956</v>
      </c>
      <c r="I722" s="23">
        <v>3636</v>
      </c>
      <c r="J722" s="9">
        <f>(F722*1000)/I722</f>
        <v>8306.3806380638071</v>
      </c>
      <c r="K722" s="11">
        <v>2</v>
      </c>
      <c r="L722" s="11">
        <v>2</v>
      </c>
      <c r="M722" s="11">
        <v>4</v>
      </c>
    </row>
    <row r="723" spans="1:13" x14ac:dyDescent="0.25">
      <c r="A723" s="2">
        <f t="shared" si="59"/>
        <v>717</v>
      </c>
      <c r="B723" s="2">
        <v>127556</v>
      </c>
      <c r="C723" t="s">
        <v>1228</v>
      </c>
      <c r="D723" t="s">
        <v>1229</v>
      </c>
      <c r="E723" t="s">
        <v>175</v>
      </c>
      <c r="F723" s="9">
        <v>30158</v>
      </c>
      <c r="G723" s="9">
        <v>27698</v>
      </c>
      <c r="H723" s="1">
        <f t="shared" si="60"/>
        <v>8.8815076900859271</v>
      </c>
      <c r="I723" s="28" t="s">
        <v>119</v>
      </c>
      <c r="J723" s="13" t="s">
        <v>119</v>
      </c>
      <c r="K723" s="11">
        <v>1</v>
      </c>
      <c r="L723" s="11">
        <v>2</v>
      </c>
      <c r="M723" s="11">
        <v>4</v>
      </c>
    </row>
    <row r="724" spans="1:13" x14ac:dyDescent="0.25">
      <c r="A724" s="2">
        <f t="shared" si="59"/>
        <v>718</v>
      </c>
      <c r="B724" s="2">
        <v>213349</v>
      </c>
      <c r="C724" t="s">
        <v>1230</v>
      </c>
      <c r="D724" t="s">
        <v>1231</v>
      </c>
      <c r="E724" t="s">
        <v>22</v>
      </c>
      <c r="F724" s="9">
        <v>30069</v>
      </c>
      <c r="G724" s="9">
        <v>27940</v>
      </c>
      <c r="H724" s="1">
        <f t="shared" si="60"/>
        <v>7.6198997852541153</v>
      </c>
      <c r="I724" s="23">
        <v>7826</v>
      </c>
      <c r="J724" s="9">
        <f>(F724*1000)/I724</f>
        <v>3842.1926910299003</v>
      </c>
      <c r="K724" s="11">
        <v>1</v>
      </c>
      <c r="L724" s="11">
        <v>2</v>
      </c>
      <c r="M724" s="11">
        <v>3</v>
      </c>
    </row>
    <row r="725" spans="1:13" x14ac:dyDescent="0.25">
      <c r="A725" s="2">
        <f t="shared" si="59"/>
        <v>719</v>
      </c>
      <c r="B725" s="2">
        <v>115755</v>
      </c>
      <c r="C725" t="s">
        <v>1232</v>
      </c>
      <c r="D725" t="s">
        <v>1233</v>
      </c>
      <c r="E725" t="s">
        <v>14</v>
      </c>
      <c r="F725" s="9">
        <v>30059</v>
      </c>
      <c r="G725" s="9">
        <v>30086</v>
      </c>
      <c r="H725" s="1">
        <f t="shared" si="60"/>
        <v>-8.974273748587383E-2</v>
      </c>
      <c r="I725" s="28" t="s">
        <v>119</v>
      </c>
      <c r="J725" s="13" t="s">
        <v>119</v>
      </c>
      <c r="K725" s="11">
        <v>1</v>
      </c>
      <c r="L725" s="11">
        <v>2</v>
      </c>
      <c r="M725" s="11">
        <v>3</v>
      </c>
    </row>
    <row r="726" spans="1:13" x14ac:dyDescent="0.25">
      <c r="A726" s="2">
        <f t="shared" si="59"/>
        <v>720</v>
      </c>
      <c r="B726" s="2">
        <v>178624</v>
      </c>
      <c r="C726" t="s">
        <v>1479</v>
      </c>
      <c r="D726" t="s">
        <v>1234</v>
      </c>
      <c r="E726" t="s">
        <v>45</v>
      </c>
      <c r="F726" s="9">
        <v>29813</v>
      </c>
      <c r="G726" s="9">
        <v>29097</v>
      </c>
      <c r="H726" s="1">
        <f t="shared" si="60"/>
        <v>2.4607347836546722</v>
      </c>
      <c r="I726" s="28" t="s">
        <v>119</v>
      </c>
      <c r="J726" s="13" t="s">
        <v>119</v>
      </c>
      <c r="K726" s="11">
        <v>1</v>
      </c>
      <c r="L726" s="11">
        <v>2</v>
      </c>
      <c r="M726" s="11">
        <v>3</v>
      </c>
    </row>
    <row r="727" spans="1:13" x14ac:dyDescent="0.25">
      <c r="A727" s="2">
        <f t="shared" si="59"/>
        <v>721</v>
      </c>
      <c r="B727" s="2">
        <v>153126</v>
      </c>
      <c r="C727" t="s">
        <v>1235</v>
      </c>
      <c r="D727" t="s">
        <v>1181</v>
      </c>
      <c r="E727" t="s">
        <v>113</v>
      </c>
      <c r="F727" s="9">
        <v>29217</v>
      </c>
      <c r="G727" s="9">
        <v>28364</v>
      </c>
      <c r="H727" s="1">
        <f t="shared" si="60"/>
        <v>3.0073332393174446</v>
      </c>
      <c r="I727" s="23">
        <v>937</v>
      </c>
      <c r="J727" s="9">
        <f>(F727*1000)/I727</f>
        <v>31181.430096051226</v>
      </c>
      <c r="K727" s="11">
        <v>2</v>
      </c>
      <c r="L727" s="11">
        <v>2</v>
      </c>
      <c r="M727" s="11">
        <v>4</v>
      </c>
    </row>
    <row r="728" spans="1:13" x14ac:dyDescent="0.25">
      <c r="A728" s="2">
        <f t="shared" si="59"/>
        <v>722</v>
      </c>
      <c r="B728" s="2">
        <v>137476</v>
      </c>
      <c r="C728" t="s">
        <v>1236</v>
      </c>
      <c r="D728" t="s">
        <v>1237</v>
      </c>
      <c r="E728" t="s">
        <v>138</v>
      </c>
      <c r="F728" s="9">
        <v>29003</v>
      </c>
      <c r="G728" s="9">
        <v>27003</v>
      </c>
      <c r="H728" s="1">
        <f t="shared" si="60"/>
        <v>7.4065844535792316</v>
      </c>
      <c r="I728" s="23">
        <v>2833</v>
      </c>
      <c r="J728" s="9">
        <f>(F728*1000)/I728</f>
        <v>10237.557359689376</v>
      </c>
      <c r="K728" s="11">
        <v>2</v>
      </c>
      <c r="L728" s="11">
        <v>2</v>
      </c>
      <c r="M728" s="11">
        <v>3</v>
      </c>
    </row>
    <row r="729" spans="1:13" x14ac:dyDescent="0.25">
      <c r="A729" s="2">
        <f t="shared" si="59"/>
        <v>723</v>
      </c>
      <c r="B729" s="2">
        <v>150941</v>
      </c>
      <c r="C729" t="s">
        <v>1238</v>
      </c>
      <c r="D729" t="s">
        <v>770</v>
      </c>
      <c r="E729" t="s">
        <v>37</v>
      </c>
      <c r="F729" s="9">
        <v>28492</v>
      </c>
      <c r="G729" s="9">
        <v>27119</v>
      </c>
      <c r="H729" s="1">
        <f t="shared" si="60"/>
        <v>5.0628710498174714</v>
      </c>
      <c r="I729" s="23">
        <v>1217</v>
      </c>
      <c r="J729" s="9">
        <f>(F729*1000)/I729</f>
        <v>23411.668036154479</v>
      </c>
      <c r="K729" s="11">
        <v>2</v>
      </c>
      <c r="L729" s="11">
        <v>2</v>
      </c>
      <c r="M729" s="11">
        <v>4</v>
      </c>
    </row>
    <row r="730" spans="1:13" x14ac:dyDescent="0.25">
      <c r="A730" s="2">
        <f t="shared" si="59"/>
        <v>724</v>
      </c>
      <c r="B730" s="2">
        <v>236896</v>
      </c>
      <c r="C730" t="s">
        <v>1239</v>
      </c>
      <c r="D730" t="s">
        <v>1240</v>
      </c>
      <c r="E730" t="s">
        <v>87</v>
      </c>
      <c r="F730" s="9">
        <v>28260</v>
      </c>
      <c r="G730" s="9">
        <v>24725</v>
      </c>
      <c r="H730" s="1">
        <f t="shared" si="60"/>
        <v>14.297269969666329</v>
      </c>
      <c r="I730" s="23">
        <v>1694</v>
      </c>
      <c r="J730" s="9">
        <f>(F730*1000)/I730</f>
        <v>16682.408500590318</v>
      </c>
      <c r="K730" s="11">
        <v>2</v>
      </c>
      <c r="L730" s="11">
        <v>2</v>
      </c>
      <c r="M730" s="11">
        <v>3</v>
      </c>
    </row>
    <row r="731" spans="1:13" x14ac:dyDescent="0.25">
      <c r="A731" s="2">
        <f t="shared" si="59"/>
        <v>725</v>
      </c>
      <c r="B731" s="2">
        <v>130493</v>
      </c>
      <c r="C731" t="s">
        <v>1241</v>
      </c>
      <c r="D731" t="s">
        <v>10</v>
      </c>
      <c r="E731" t="s">
        <v>11</v>
      </c>
      <c r="F731" s="9">
        <v>28192</v>
      </c>
      <c r="G731" s="9">
        <v>25715</v>
      </c>
      <c r="H731" s="1">
        <f t="shared" si="60"/>
        <v>9.6325102080497764</v>
      </c>
      <c r="I731" s="28" t="s">
        <v>119</v>
      </c>
      <c r="J731" s="13" t="s">
        <v>119</v>
      </c>
      <c r="K731" s="11">
        <v>1</v>
      </c>
      <c r="L731" s="11">
        <v>2</v>
      </c>
      <c r="M731" s="11">
        <v>3</v>
      </c>
    </row>
    <row r="732" spans="1:13" x14ac:dyDescent="0.25">
      <c r="A732" s="2">
        <f t="shared" si="59"/>
        <v>726</v>
      </c>
      <c r="B732" s="2">
        <v>177144</v>
      </c>
      <c r="C732" t="s">
        <v>1242</v>
      </c>
      <c r="D732" t="s">
        <v>485</v>
      </c>
      <c r="E732" t="s">
        <v>45</v>
      </c>
      <c r="F732" s="9">
        <v>28129</v>
      </c>
      <c r="G732" s="9">
        <v>24455</v>
      </c>
      <c r="H732" s="1">
        <f t="shared" si="60"/>
        <v>15.023512574115722</v>
      </c>
      <c r="I732" s="23">
        <v>1095</v>
      </c>
      <c r="J732" s="9">
        <f>(F732*1000)/I732</f>
        <v>25688.584474885844</v>
      </c>
      <c r="K732" s="11">
        <v>2</v>
      </c>
      <c r="L732" s="11">
        <v>2</v>
      </c>
      <c r="M732" s="11">
        <v>4</v>
      </c>
    </row>
    <row r="733" spans="1:13" x14ac:dyDescent="0.25">
      <c r="A733" s="2">
        <f t="shared" si="59"/>
        <v>727</v>
      </c>
      <c r="B733" s="10" t="s">
        <v>119</v>
      </c>
      <c r="C733" t="s">
        <v>1243</v>
      </c>
      <c r="D733" t="s">
        <v>128</v>
      </c>
      <c r="E733" t="s">
        <v>129</v>
      </c>
      <c r="F733" s="9">
        <v>27409</v>
      </c>
      <c r="G733" s="9">
        <v>26179</v>
      </c>
      <c r="H733" s="1">
        <f t="shared" si="60"/>
        <v>4.6984223996332934</v>
      </c>
      <c r="I733" s="19">
        <v>871</v>
      </c>
      <c r="J733" s="9">
        <f>(F733*1000)/I733</f>
        <v>31468.427095292765</v>
      </c>
      <c r="K733" s="10" t="s">
        <v>119</v>
      </c>
      <c r="L733" s="10" t="s">
        <v>119</v>
      </c>
      <c r="M733" s="10" t="s">
        <v>119</v>
      </c>
    </row>
    <row r="734" spans="1:13" x14ac:dyDescent="0.25">
      <c r="A734" s="2">
        <f t="shared" si="59"/>
        <v>728</v>
      </c>
      <c r="B734" s="2">
        <v>154013</v>
      </c>
      <c r="C734" t="s">
        <v>1245</v>
      </c>
      <c r="D734" t="s">
        <v>1246</v>
      </c>
      <c r="E734" t="s">
        <v>113</v>
      </c>
      <c r="F734" s="9">
        <v>27276</v>
      </c>
      <c r="G734" s="9">
        <v>25778</v>
      </c>
      <c r="H734" s="1">
        <f t="shared" si="60"/>
        <v>5.8111568003724106</v>
      </c>
      <c r="I734" s="23">
        <v>1620</v>
      </c>
      <c r="J734" s="9">
        <f>(F734*1000)/I734</f>
        <v>16837.037037037036</v>
      </c>
      <c r="K734" s="11">
        <v>2</v>
      </c>
      <c r="L734" s="11">
        <v>2</v>
      </c>
      <c r="M734" s="11">
        <v>3</v>
      </c>
    </row>
    <row r="735" spans="1:13" x14ac:dyDescent="0.25">
      <c r="A735" s="2">
        <f t="shared" si="59"/>
        <v>729</v>
      </c>
      <c r="B735" s="2">
        <v>187134</v>
      </c>
      <c r="C735" t="s">
        <v>1247</v>
      </c>
      <c r="D735" t="s">
        <v>1248</v>
      </c>
      <c r="E735" t="s">
        <v>17</v>
      </c>
      <c r="F735" s="9">
        <v>26788</v>
      </c>
      <c r="G735" s="9">
        <v>24013</v>
      </c>
      <c r="H735" s="1">
        <f t="shared" si="60"/>
        <v>11.556240369799692</v>
      </c>
      <c r="I735" s="28" t="s">
        <v>119</v>
      </c>
      <c r="J735" s="13" t="s">
        <v>119</v>
      </c>
      <c r="K735" s="11">
        <v>1</v>
      </c>
      <c r="L735" s="11">
        <v>2</v>
      </c>
      <c r="M735" s="11">
        <v>3</v>
      </c>
    </row>
    <row r="736" spans="1:13" x14ac:dyDescent="0.25">
      <c r="A736" s="2">
        <f t="shared" si="59"/>
        <v>730</v>
      </c>
      <c r="B736" s="2">
        <v>215266</v>
      </c>
      <c r="C736" t="s">
        <v>1249</v>
      </c>
      <c r="D736" t="s">
        <v>1250</v>
      </c>
      <c r="E736" t="s">
        <v>22</v>
      </c>
      <c r="F736" s="9">
        <v>26710</v>
      </c>
      <c r="G736" s="9">
        <v>24751</v>
      </c>
      <c r="H736" s="1">
        <f t="shared" si="60"/>
        <v>7.9148317239707486</v>
      </c>
      <c r="I736" s="28" t="s">
        <v>119</v>
      </c>
      <c r="J736" s="13" t="s">
        <v>119</v>
      </c>
      <c r="K736" s="11">
        <v>1</v>
      </c>
      <c r="L736" s="11">
        <v>2</v>
      </c>
      <c r="M736" s="11">
        <v>4</v>
      </c>
    </row>
    <row r="737" spans="1:13" x14ac:dyDescent="0.25">
      <c r="A737" s="2">
        <f t="shared" si="59"/>
        <v>731</v>
      </c>
      <c r="B737" s="2">
        <v>161165</v>
      </c>
      <c r="C737" t="s">
        <v>1251</v>
      </c>
      <c r="D737" t="s">
        <v>1252</v>
      </c>
      <c r="E737" t="s">
        <v>150</v>
      </c>
      <c r="F737" s="9">
        <v>26448</v>
      </c>
      <c r="G737" s="9">
        <v>24017</v>
      </c>
      <c r="H737" s="1">
        <f t="shared" si="60"/>
        <v>10.121996918849147</v>
      </c>
      <c r="I737" s="28" t="s">
        <v>119</v>
      </c>
      <c r="J737" s="13" t="s">
        <v>119</v>
      </c>
      <c r="K737" s="10" t="s">
        <v>119</v>
      </c>
      <c r="L737" s="10" t="s">
        <v>119</v>
      </c>
      <c r="M737" s="10" t="s">
        <v>119</v>
      </c>
    </row>
    <row r="738" spans="1:13" x14ac:dyDescent="0.25">
      <c r="A738" s="2">
        <f t="shared" si="59"/>
        <v>732</v>
      </c>
      <c r="B738" s="2">
        <v>110486</v>
      </c>
      <c r="C738" t="s">
        <v>1253</v>
      </c>
      <c r="D738" t="s">
        <v>1254</v>
      </c>
      <c r="E738" t="s">
        <v>14</v>
      </c>
      <c r="F738" s="9">
        <v>25730</v>
      </c>
      <c r="G738" s="9">
        <v>23940</v>
      </c>
      <c r="H738" s="1">
        <f t="shared" si="60"/>
        <v>7.4770258980785291</v>
      </c>
      <c r="I738" s="28" t="s">
        <v>119</v>
      </c>
      <c r="J738" s="13" t="s">
        <v>119</v>
      </c>
      <c r="K738" s="11">
        <v>1</v>
      </c>
      <c r="L738" s="11">
        <v>2</v>
      </c>
      <c r="M738" s="11">
        <v>3</v>
      </c>
    </row>
    <row r="739" spans="1:13" x14ac:dyDescent="0.25">
      <c r="A739" s="2">
        <f t="shared" si="59"/>
        <v>733</v>
      </c>
      <c r="B739" s="2">
        <v>218885</v>
      </c>
      <c r="C739" t="s">
        <v>1255</v>
      </c>
      <c r="D739" t="s">
        <v>1256</v>
      </c>
      <c r="E739" t="s">
        <v>278</v>
      </c>
      <c r="F739" s="9">
        <v>25599</v>
      </c>
      <c r="G739" s="9">
        <v>23637</v>
      </c>
      <c r="H739" s="1">
        <f t="shared" si="60"/>
        <v>8.300545754537378</v>
      </c>
      <c r="I739" s="28" t="s">
        <v>119</v>
      </c>
      <c r="J739" s="13" t="s">
        <v>119</v>
      </c>
      <c r="K739" s="11">
        <v>4</v>
      </c>
      <c r="L739" s="11">
        <v>2</v>
      </c>
      <c r="M739" s="11">
        <v>1</v>
      </c>
    </row>
    <row r="740" spans="1:13" x14ac:dyDescent="0.25">
      <c r="A740" s="2">
        <f t="shared" si="59"/>
        <v>734</v>
      </c>
      <c r="B740" s="2">
        <v>147031</v>
      </c>
      <c r="C740" t="s">
        <v>1257</v>
      </c>
      <c r="D740" t="s">
        <v>42</v>
      </c>
      <c r="E740" t="s">
        <v>29</v>
      </c>
      <c r="F740" s="9">
        <v>25182</v>
      </c>
      <c r="G740" s="9">
        <v>24586</v>
      </c>
      <c r="H740" s="1">
        <f t="shared" si="60"/>
        <v>2.4241438216871392</v>
      </c>
      <c r="I740" s="23">
        <v>87</v>
      </c>
      <c r="J740" s="9">
        <f>(F740*1000)/I740</f>
        <v>289448.27586206899</v>
      </c>
      <c r="K740" s="11">
        <v>2</v>
      </c>
      <c r="L740" s="11">
        <v>2</v>
      </c>
      <c r="M740" s="11">
        <v>5</v>
      </c>
    </row>
    <row r="741" spans="1:13" x14ac:dyDescent="0.25">
      <c r="A741" s="2">
        <f t="shared" si="59"/>
        <v>735</v>
      </c>
      <c r="B741" s="2">
        <v>110501</v>
      </c>
      <c r="C741" t="s">
        <v>1258</v>
      </c>
      <c r="D741" t="s">
        <v>968</v>
      </c>
      <c r="E741" t="s">
        <v>14</v>
      </c>
      <c r="F741" s="9">
        <v>25070</v>
      </c>
      <c r="G741" s="9">
        <v>23615</v>
      </c>
      <c r="H741" s="1">
        <f t="shared" si="60"/>
        <v>6.1613381325428751</v>
      </c>
      <c r="I741" s="28" t="s">
        <v>119</v>
      </c>
      <c r="J741" s="13" t="s">
        <v>119</v>
      </c>
      <c r="K741" s="11">
        <v>0</v>
      </c>
      <c r="L741" s="11">
        <v>2</v>
      </c>
      <c r="M741" s="11">
        <v>0</v>
      </c>
    </row>
    <row r="742" spans="1:13" x14ac:dyDescent="0.25">
      <c r="A742" s="2">
        <f t="shared" si="59"/>
        <v>736</v>
      </c>
      <c r="B742" s="2">
        <v>226091</v>
      </c>
      <c r="C742" t="s">
        <v>1259</v>
      </c>
      <c r="D742" t="s">
        <v>1260</v>
      </c>
      <c r="E742" t="s">
        <v>8</v>
      </c>
      <c r="F742" s="9">
        <v>25055</v>
      </c>
      <c r="G742" s="9">
        <v>23361</v>
      </c>
      <c r="H742" s="1">
        <f t="shared" si="60"/>
        <v>7.2514019091648478</v>
      </c>
      <c r="I742" s="23">
        <v>9182</v>
      </c>
      <c r="J742" s="9">
        <f>(F742*1000)/I742</f>
        <v>2728.7083424090611</v>
      </c>
      <c r="K742" s="11">
        <v>1</v>
      </c>
      <c r="L742" s="11">
        <v>2</v>
      </c>
      <c r="M742" s="11">
        <v>2</v>
      </c>
    </row>
    <row r="743" spans="1:13" x14ac:dyDescent="0.25">
      <c r="A743" s="2">
        <f t="shared" si="59"/>
        <v>737</v>
      </c>
      <c r="B743" s="2">
        <v>153375</v>
      </c>
      <c r="C743" t="s">
        <v>1261</v>
      </c>
      <c r="D743" t="s">
        <v>574</v>
      </c>
      <c r="E743" t="s">
        <v>113</v>
      </c>
      <c r="F743" s="9">
        <v>25022</v>
      </c>
      <c r="G743" s="9">
        <v>22564</v>
      </c>
      <c r="H743" s="1">
        <f t="shared" si="60"/>
        <v>10.893458606630031</v>
      </c>
      <c r="I743" s="23">
        <v>1669</v>
      </c>
      <c r="J743" s="9">
        <f>(F743*1000)/I743</f>
        <v>14992.210904733372</v>
      </c>
      <c r="K743" s="11">
        <v>2</v>
      </c>
      <c r="L743" s="11">
        <v>2</v>
      </c>
      <c r="M743" s="11">
        <v>4</v>
      </c>
    </row>
    <row r="744" spans="1:13" x14ac:dyDescent="0.25">
      <c r="A744" s="2">
        <f t="shared" si="59"/>
        <v>738</v>
      </c>
      <c r="B744" s="2">
        <v>366711</v>
      </c>
      <c r="C744" t="s">
        <v>1262</v>
      </c>
      <c r="D744" t="s">
        <v>605</v>
      </c>
      <c r="E744" t="s">
        <v>14</v>
      </c>
      <c r="F744" s="9">
        <v>24933</v>
      </c>
      <c r="G744" s="9">
        <v>24097</v>
      </c>
      <c r="H744" s="1">
        <f t="shared" si="60"/>
        <v>3.4693115325559201</v>
      </c>
      <c r="I744" s="28" t="s">
        <v>119</v>
      </c>
      <c r="J744" s="13" t="s">
        <v>119</v>
      </c>
      <c r="K744" s="11">
        <v>1</v>
      </c>
      <c r="L744" s="11">
        <v>2</v>
      </c>
      <c r="M744" s="11">
        <v>3</v>
      </c>
    </row>
    <row r="745" spans="1:13" x14ac:dyDescent="0.25">
      <c r="A745" s="2">
        <f t="shared" si="59"/>
        <v>739</v>
      </c>
      <c r="B745" s="2">
        <v>232937</v>
      </c>
      <c r="C745" t="s">
        <v>1263</v>
      </c>
      <c r="D745" t="s">
        <v>532</v>
      </c>
      <c r="E745" t="s">
        <v>52</v>
      </c>
      <c r="F745" s="9">
        <v>24755</v>
      </c>
      <c r="G745" s="9">
        <v>19493</v>
      </c>
      <c r="H745" s="1">
        <f t="shared" si="60"/>
        <v>26.994305648181399</v>
      </c>
      <c r="I745" s="28" t="s">
        <v>119</v>
      </c>
      <c r="J745" s="13" t="s">
        <v>119</v>
      </c>
      <c r="K745" s="11">
        <v>1</v>
      </c>
      <c r="L745" s="11">
        <v>1</v>
      </c>
      <c r="M745" s="11">
        <v>3</v>
      </c>
    </row>
    <row r="746" spans="1:13" x14ac:dyDescent="0.25">
      <c r="A746" s="2">
        <f t="shared" si="59"/>
        <v>740</v>
      </c>
      <c r="B746" s="2">
        <v>197045</v>
      </c>
      <c r="C746" t="s">
        <v>1264</v>
      </c>
      <c r="D746" t="s">
        <v>1265</v>
      </c>
      <c r="E746" t="s">
        <v>34</v>
      </c>
      <c r="F746" s="9">
        <v>24456</v>
      </c>
      <c r="G746" s="9">
        <v>23578</v>
      </c>
      <c r="H746" s="1">
        <f t="shared" si="60"/>
        <v>3.7238103316651117</v>
      </c>
      <c r="I746" s="23">
        <v>4653</v>
      </c>
      <c r="J746" s="9">
        <f t="shared" ref="J746:J753" si="61">(F746*1000)/I746</f>
        <v>5255.9638942617667</v>
      </c>
      <c r="K746" s="11">
        <v>2</v>
      </c>
      <c r="L746" s="11">
        <v>2</v>
      </c>
      <c r="M746" s="11">
        <v>3</v>
      </c>
    </row>
    <row r="747" spans="1:13" x14ac:dyDescent="0.25">
      <c r="A747" s="2">
        <f t="shared" si="59"/>
        <v>741</v>
      </c>
      <c r="B747" s="2">
        <v>111391</v>
      </c>
      <c r="C747" t="s">
        <v>1266</v>
      </c>
      <c r="D747" t="s">
        <v>352</v>
      </c>
      <c r="E747" t="s">
        <v>14</v>
      </c>
      <c r="F747" s="9">
        <v>24380</v>
      </c>
      <c r="G747" s="9">
        <v>23969</v>
      </c>
      <c r="H747" s="1">
        <f t="shared" si="60"/>
        <v>1.7147148400016687</v>
      </c>
      <c r="I747" s="19">
        <v>603</v>
      </c>
      <c r="J747" s="9">
        <f t="shared" si="61"/>
        <v>40431.177446102818</v>
      </c>
      <c r="K747" s="11">
        <v>2</v>
      </c>
      <c r="L747" s="11">
        <v>2</v>
      </c>
      <c r="M747" s="11">
        <v>5</v>
      </c>
    </row>
    <row r="748" spans="1:13" x14ac:dyDescent="0.25">
      <c r="A748" s="2">
        <f t="shared" si="59"/>
        <v>742</v>
      </c>
      <c r="B748" s="2">
        <v>123943</v>
      </c>
      <c r="C748" t="s">
        <v>1267</v>
      </c>
      <c r="D748" t="s">
        <v>1025</v>
      </c>
      <c r="E748" t="s">
        <v>14</v>
      </c>
      <c r="F748" s="9">
        <v>24209</v>
      </c>
      <c r="G748" s="9">
        <v>23635</v>
      </c>
      <c r="H748" s="1">
        <f t="shared" si="60"/>
        <v>2.4286016500951977</v>
      </c>
      <c r="I748" s="23">
        <v>606</v>
      </c>
      <c r="J748" s="9">
        <f t="shared" si="61"/>
        <v>39948.844884488448</v>
      </c>
      <c r="K748" s="11">
        <v>2</v>
      </c>
      <c r="L748" s="11">
        <v>2</v>
      </c>
      <c r="M748" s="11">
        <v>5</v>
      </c>
    </row>
    <row r="749" spans="1:13" x14ac:dyDescent="0.25">
      <c r="A749" s="2">
        <f t="shared" si="59"/>
        <v>743</v>
      </c>
      <c r="B749" s="2">
        <v>169521</v>
      </c>
      <c r="C749" t="s">
        <v>1268</v>
      </c>
      <c r="D749" t="s">
        <v>923</v>
      </c>
      <c r="E749" t="s">
        <v>26</v>
      </c>
      <c r="F749" s="9">
        <v>24145</v>
      </c>
      <c r="G749" s="9">
        <v>22302</v>
      </c>
      <c r="H749" s="1">
        <f t="shared" si="60"/>
        <v>8.2638328401040262</v>
      </c>
      <c r="I749" s="23">
        <v>4980.3</v>
      </c>
      <c r="J749" s="9">
        <f t="shared" si="61"/>
        <v>4848.1015199887552</v>
      </c>
      <c r="K749" s="11">
        <v>4</v>
      </c>
      <c r="L749" s="11">
        <v>2</v>
      </c>
      <c r="M749" s="11">
        <v>1</v>
      </c>
    </row>
    <row r="750" spans="1:13" x14ac:dyDescent="0.25">
      <c r="A750" s="2">
        <f t="shared" si="59"/>
        <v>744</v>
      </c>
      <c r="B750" s="2">
        <v>199281</v>
      </c>
      <c r="C750" t="s">
        <v>1269</v>
      </c>
      <c r="D750" t="s">
        <v>1270</v>
      </c>
      <c r="E750" t="s">
        <v>40</v>
      </c>
      <c r="F750" s="9">
        <v>24028</v>
      </c>
      <c r="G750" s="9">
        <v>22705</v>
      </c>
      <c r="H750" s="1">
        <f t="shared" si="60"/>
        <v>5.826910372164722</v>
      </c>
      <c r="I750" s="23">
        <v>5219</v>
      </c>
      <c r="J750" s="9">
        <f t="shared" si="61"/>
        <v>4603.947116305806</v>
      </c>
      <c r="K750" s="11">
        <v>1</v>
      </c>
      <c r="L750" s="11">
        <v>2</v>
      </c>
      <c r="M750" s="11">
        <v>3</v>
      </c>
    </row>
    <row r="751" spans="1:13" x14ac:dyDescent="0.25">
      <c r="A751" s="2">
        <f t="shared" si="59"/>
        <v>745</v>
      </c>
      <c r="B751" s="2">
        <v>188340</v>
      </c>
      <c r="C751" t="s">
        <v>1271</v>
      </c>
      <c r="D751" t="s">
        <v>1272</v>
      </c>
      <c r="E751" t="s">
        <v>34</v>
      </c>
      <c r="F751" s="9">
        <v>23979</v>
      </c>
      <c r="G751" s="9">
        <v>22593</v>
      </c>
      <c r="H751" s="1">
        <f t="shared" si="60"/>
        <v>6.1346434736422788</v>
      </c>
      <c r="I751" s="23">
        <v>1366</v>
      </c>
      <c r="J751" s="9">
        <f t="shared" si="61"/>
        <v>17554.172767203512</v>
      </c>
      <c r="K751" s="11">
        <v>2</v>
      </c>
      <c r="L751" s="11">
        <v>2</v>
      </c>
      <c r="M751" s="11">
        <v>4</v>
      </c>
    </row>
    <row r="752" spans="1:13" x14ac:dyDescent="0.25">
      <c r="A752" s="2">
        <f t="shared" si="59"/>
        <v>746</v>
      </c>
      <c r="B752" s="2">
        <v>409698</v>
      </c>
      <c r="C752" t="s">
        <v>1273</v>
      </c>
      <c r="D752" t="s">
        <v>1274</v>
      </c>
      <c r="E752" t="s">
        <v>14</v>
      </c>
      <c r="F752" s="9">
        <v>23915</v>
      </c>
      <c r="G752" s="9">
        <v>22839</v>
      </c>
      <c r="H752" s="1">
        <f t="shared" si="60"/>
        <v>4.7112395463899466</v>
      </c>
      <c r="I752" s="19">
        <v>6886</v>
      </c>
      <c r="J752" s="9">
        <f t="shared" si="61"/>
        <v>3472.9886726691839</v>
      </c>
      <c r="K752" s="11">
        <v>1</v>
      </c>
      <c r="L752" s="11">
        <v>2</v>
      </c>
      <c r="M752" s="11">
        <v>3</v>
      </c>
    </row>
    <row r="753" spans="1:13" x14ac:dyDescent="0.25">
      <c r="A753" s="2">
        <f t="shared" si="59"/>
        <v>747</v>
      </c>
      <c r="B753" s="2">
        <v>205203</v>
      </c>
      <c r="C753" t="s">
        <v>1275</v>
      </c>
      <c r="D753" t="s">
        <v>1276</v>
      </c>
      <c r="E753" t="s">
        <v>60</v>
      </c>
      <c r="F753" s="9">
        <v>23746</v>
      </c>
      <c r="G753" s="9">
        <v>23163</v>
      </c>
      <c r="H753" s="1">
        <f t="shared" si="60"/>
        <v>2.5169451280058714</v>
      </c>
      <c r="I753" s="23">
        <v>1496</v>
      </c>
      <c r="J753" s="9">
        <f t="shared" si="61"/>
        <v>15872.994652406416</v>
      </c>
      <c r="K753" s="11">
        <v>2</v>
      </c>
      <c r="L753" s="11">
        <v>2</v>
      </c>
      <c r="M753" s="11">
        <v>4</v>
      </c>
    </row>
    <row r="754" spans="1:13" x14ac:dyDescent="0.25">
      <c r="A754" s="2">
        <f t="shared" si="59"/>
        <v>748</v>
      </c>
      <c r="B754" s="2">
        <v>149231</v>
      </c>
      <c r="C754" t="s">
        <v>1469</v>
      </c>
      <c r="D754" t="s">
        <v>1277</v>
      </c>
      <c r="E754" t="s">
        <v>29</v>
      </c>
      <c r="F754" s="9">
        <v>23680</v>
      </c>
      <c r="G754" s="9">
        <v>22378</v>
      </c>
      <c r="H754" s="1">
        <f t="shared" si="60"/>
        <v>5.81821431763339</v>
      </c>
      <c r="I754" s="28" t="s">
        <v>119</v>
      </c>
      <c r="J754" s="13" t="s">
        <v>119</v>
      </c>
      <c r="K754" s="11">
        <v>1</v>
      </c>
      <c r="L754" s="11">
        <v>2</v>
      </c>
      <c r="M754" s="11">
        <v>3</v>
      </c>
    </row>
    <row r="755" spans="1:13" x14ac:dyDescent="0.25">
      <c r="A755" s="2">
        <f t="shared" si="59"/>
        <v>749</v>
      </c>
      <c r="B755" s="2">
        <v>226383</v>
      </c>
      <c r="C755" t="s">
        <v>1278</v>
      </c>
      <c r="D755" t="s">
        <v>1279</v>
      </c>
      <c r="E755" t="s">
        <v>8</v>
      </c>
      <c r="F755" s="9">
        <v>23598</v>
      </c>
      <c r="G755" s="9">
        <v>22982</v>
      </c>
      <c r="H755" s="1">
        <f t="shared" si="60"/>
        <v>2.6803585414672355</v>
      </c>
      <c r="I755" s="23">
        <v>1556</v>
      </c>
      <c r="J755" s="9">
        <f>(F755*1000)/I755</f>
        <v>15165.809768637531</v>
      </c>
      <c r="K755" s="11">
        <v>2</v>
      </c>
      <c r="L755" s="11">
        <v>2</v>
      </c>
      <c r="M755" s="11">
        <v>3</v>
      </c>
    </row>
    <row r="756" spans="1:13" x14ac:dyDescent="0.25">
      <c r="A756" s="2">
        <f t="shared" si="59"/>
        <v>750</v>
      </c>
      <c r="B756" s="2">
        <v>102234</v>
      </c>
      <c r="C756" t="s">
        <v>1280</v>
      </c>
      <c r="D756" t="s">
        <v>425</v>
      </c>
      <c r="E756" t="s">
        <v>161</v>
      </c>
      <c r="F756" s="9">
        <v>23347</v>
      </c>
      <c r="G756" s="9">
        <v>24330</v>
      </c>
      <c r="H756" s="1">
        <f t="shared" si="60"/>
        <v>-4.0402794903411428</v>
      </c>
      <c r="I756" s="23">
        <v>1501</v>
      </c>
      <c r="J756" s="9">
        <f>(F756*1000)/I756</f>
        <v>15554.29713524317</v>
      </c>
      <c r="K756" s="11">
        <v>2</v>
      </c>
      <c r="L756" s="11">
        <v>2</v>
      </c>
      <c r="M756" s="11">
        <v>4</v>
      </c>
    </row>
    <row r="757" spans="1:13" x14ac:dyDescent="0.25">
      <c r="A757" s="2">
        <f t="shared" si="59"/>
        <v>751</v>
      </c>
      <c r="B757" s="2">
        <v>214883</v>
      </c>
      <c r="C757" t="s">
        <v>1281</v>
      </c>
      <c r="D757" t="s">
        <v>21</v>
      </c>
      <c r="E757" t="s">
        <v>22</v>
      </c>
      <c r="F757" s="9">
        <v>23261</v>
      </c>
      <c r="G757" s="9">
        <v>24829</v>
      </c>
      <c r="H757" s="1">
        <f t="shared" si="60"/>
        <v>-6.3151959402311819</v>
      </c>
      <c r="I757" s="23">
        <v>705</v>
      </c>
      <c r="J757" s="9">
        <f>(F757*1000)/I757</f>
        <v>32994.326241134753</v>
      </c>
      <c r="K757" s="11">
        <v>2</v>
      </c>
      <c r="L757" s="11">
        <v>2</v>
      </c>
      <c r="M757" s="11">
        <v>4</v>
      </c>
    </row>
    <row r="758" spans="1:13" x14ac:dyDescent="0.25">
      <c r="A758" s="2">
        <f t="shared" si="59"/>
        <v>752</v>
      </c>
      <c r="B758" s="18">
        <v>206941</v>
      </c>
      <c r="C758" s="19" t="s">
        <v>1244</v>
      </c>
      <c r="D758" s="19" t="s">
        <v>237</v>
      </c>
      <c r="E758" s="19" t="s">
        <v>135</v>
      </c>
      <c r="F758" s="23">
        <v>23253</v>
      </c>
      <c r="G758" s="23">
        <v>22201</v>
      </c>
      <c r="H758" s="22">
        <f t="shared" si="60"/>
        <v>4.738525291653529</v>
      </c>
      <c r="I758" s="28" t="s">
        <v>119</v>
      </c>
      <c r="J758" s="13" t="s">
        <v>119</v>
      </c>
      <c r="K758" s="11">
        <v>1</v>
      </c>
      <c r="L758" s="11">
        <v>2</v>
      </c>
      <c r="M758" s="11">
        <v>3</v>
      </c>
    </row>
    <row r="759" spans="1:13" x14ac:dyDescent="0.25">
      <c r="A759" s="2">
        <f t="shared" si="59"/>
        <v>753</v>
      </c>
      <c r="B759" s="2">
        <v>199184</v>
      </c>
      <c r="C759" t="s">
        <v>1282</v>
      </c>
      <c r="D759" t="s">
        <v>1137</v>
      </c>
      <c r="E759" t="s">
        <v>40</v>
      </c>
      <c r="F759" s="9">
        <v>22898</v>
      </c>
      <c r="G759" s="9">
        <v>19825</v>
      </c>
      <c r="H759" s="1">
        <f t="shared" si="60"/>
        <v>15.500630517023959</v>
      </c>
      <c r="I759" s="23">
        <v>1290</v>
      </c>
      <c r="J759" s="9">
        <f t="shared" ref="J759:J765" si="62">(F759*1000)/I759</f>
        <v>17750.387596899225</v>
      </c>
      <c r="K759" s="11">
        <v>1</v>
      </c>
      <c r="L759" s="11">
        <v>2</v>
      </c>
      <c r="M759" s="11">
        <v>5</v>
      </c>
    </row>
    <row r="760" spans="1:13" x14ac:dyDescent="0.25">
      <c r="A760" s="2">
        <f t="shared" si="59"/>
        <v>754</v>
      </c>
      <c r="B760" s="2">
        <v>141486</v>
      </c>
      <c r="C760" t="s">
        <v>1283</v>
      </c>
      <c r="D760" t="s">
        <v>467</v>
      </c>
      <c r="E760" t="s">
        <v>468</v>
      </c>
      <c r="F760" s="9">
        <v>22793</v>
      </c>
      <c r="G760" s="9">
        <v>21579</v>
      </c>
      <c r="H760" s="1">
        <f t="shared" si="60"/>
        <v>5.6258399369757637</v>
      </c>
      <c r="I760" s="23">
        <v>2182</v>
      </c>
      <c r="J760" s="9">
        <f t="shared" si="62"/>
        <v>10445.921173235563</v>
      </c>
      <c r="K760" s="11">
        <v>2</v>
      </c>
      <c r="L760" s="11">
        <v>2</v>
      </c>
      <c r="M760" s="11">
        <v>3</v>
      </c>
    </row>
    <row r="761" spans="1:13" x14ac:dyDescent="0.25">
      <c r="A761" s="2">
        <f t="shared" si="59"/>
        <v>755</v>
      </c>
      <c r="B761" s="2">
        <v>198543</v>
      </c>
      <c r="C761" t="s">
        <v>1284</v>
      </c>
      <c r="D761" t="s">
        <v>200</v>
      </c>
      <c r="E761" t="s">
        <v>40</v>
      </c>
      <c r="F761" s="9">
        <v>22688</v>
      </c>
      <c r="G761" s="9">
        <v>21212</v>
      </c>
      <c r="H761" s="1">
        <f t="shared" si="60"/>
        <v>6.9583254761455784</v>
      </c>
      <c r="I761" s="23">
        <v>5345</v>
      </c>
      <c r="J761" s="9">
        <f t="shared" si="62"/>
        <v>4244.7146866230123</v>
      </c>
      <c r="K761" s="11">
        <v>1</v>
      </c>
      <c r="L761" s="11">
        <v>1</v>
      </c>
      <c r="M761" s="11">
        <v>3</v>
      </c>
    </row>
    <row r="762" spans="1:13" x14ac:dyDescent="0.25">
      <c r="A762" s="2">
        <f t="shared" si="59"/>
        <v>756</v>
      </c>
      <c r="B762" s="2">
        <v>204617</v>
      </c>
      <c r="C762" t="s">
        <v>1285</v>
      </c>
      <c r="D762" t="s">
        <v>59</v>
      </c>
      <c r="E762" t="s">
        <v>60</v>
      </c>
      <c r="F762" s="9">
        <v>22588</v>
      </c>
      <c r="G762" s="9">
        <v>24106</v>
      </c>
      <c r="H762" s="1">
        <f t="shared" si="60"/>
        <v>-6.2971874222185349</v>
      </c>
      <c r="I762" s="23">
        <v>1714</v>
      </c>
      <c r="J762" s="9">
        <f t="shared" si="62"/>
        <v>13178.52975495916</v>
      </c>
      <c r="K762" s="11">
        <v>2</v>
      </c>
      <c r="L762" s="11">
        <v>2</v>
      </c>
      <c r="M762" s="11">
        <v>3</v>
      </c>
    </row>
    <row r="763" spans="1:13" x14ac:dyDescent="0.25">
      <c r="A763" s="2">
        <f t="shared" si="59"/>
        <v>757</v>
      </c>
      <c r="B763" s="2">
        <v>155210</v>
      </c>
      <c r="C763" t="s">
        <v>1286</v>
      </c>
      <c r="D763" t="s">
        <v>1287</v>
      </c>
      <c r="E763" t="s">
        <v>132</v>
      </c>
      <c r="F763" s="9">
        <v>22374</v>
      </c>
      <c r="G763" s="9">
        <v>21405</v>
      </c>
      <c r="H763" s="1">
        <f t="shared" si="60"/>
        <v>4.5269796776454099</v>
      </c>
      <c r="I763" s="23">
        <v>13500</v>
      </c>
      <c r="J763" s="9">
        <f t="shared" si="62"/>
        <v>1657.3333333333333</v>
      </c>
      <c r="K763" s="11">
        <v>4</v>
      </c>
      <c r="L763" s="11">
        <v>2</v>
      </c>
      <c r="M763" s="11">
        <v>1</v>
      </c>
    </row>
    <row r="764" spans="1:13" x14ac:dyDescent="0.25">
      <c r="A764" s="2">
        <f t="shared" si="59"/>
        <v>758</v>
      </c>
      <c r="B764" s="2">
        <v>231420</v>
      </c>
      <c r="C764" t="s">
        <v>1288</v>
      </c>
      <c r="D764" t="s">
        <v>465</v>
      </c>
      <c r="E764" t="s">
        <v>52</v>
      </c>
      <c r="F764" s="9">
        <v>22369</v>
      </c>
      <c r="G764" s="9">
        <v>20264</v>
      </c>
      <c r="H764" s="1">
        <f t="shared" si="60"/>
        <v>10.387879984208448</v>
      </c>
      <c r="I764" s="23">
        <v>898</v>
      </c>
      <c r="J764" s="9">
        <f t="shared" si="62"/>
        <v>24909.799554565703</v>
      </c>
      <c r="K764" s="11">
        <v>2</v>
      </c>
      <c r="L764" s="11">
        <v>2</v>
      </c>
      <c r="M764" s="11">
        <v>4</v>
      </c>
    </row>
    <row r="765" spans="1:13" x14ac:dyDescent="0.25">
      <c r="A765" s="2">
        <f t="shared" si="59"/>
        <v>759</v>
      </c>
      <c r="B765" s="2">
        <v>218821</v>
      </c>
      <c r="C765" t="s">
        <v>1291</v>
      </c>
      <c r="D765" t="s">
        <v>598</v>
      </c>
      <c r="E765" t="s">
        <v>278</v>
      </c>
      <c r="F765" s="9">
        <v>22227</v>
      </c>
      <c r="G765" s="9">
        <v>21168</v>
      </c>
      <c r="H765" s="1">
        <f t="shared" si="60"/>
        <v>5.0028344671201808</v>
      </c>
      <c r="I765" s="19">
        <v>787</v>
      </c>
      <c r="J765" s="9">
        <f t="shared" si="62"/>
        <v>28242.693773824649</v>
      </c>
      <c r="K765" s="11">
        <v>5</v>
      </c>
      <c r="L765" s="11">
        <v>2</v>
      </c>
      <c r="M765" s="11">
        <v>1</v>
      </c>
    </row>
    <row r="766" spans="1:13" x14ac:dyDescent="0.25">
      <c r="A766" s="2">
        <f t="shared" si="59"/>
        <v>760</v>
      </c>
      <c r="B766" s="2">
        <v>235097</v>
      </c>
      <c r="C766" t="s">
        <v>1289</v>
      </c>
      <c r="D766" t="s">
        <v>1290</v>
      </c>
      <c r="E766" t="s">
        <v>87</v>
      </c>
      <c r="F766" s="9">
        <v>22170</v>
      </c>
      <c r="G766" s="9">
        <v>20379</v>
      </c>
      <c r="H766" s="1">
        <f t="shared" si="60"/>
        <v>8.7884587074930067</v>
      </c>
      <c r="I766" s="28" t="s">
        <v>119</v>
      </c>
      <c r="J766" s="13" t="s">
        <v>119</v>
      </c>
      <c r="K766" s="11">
        <v>1</v>
      </c>
      <c r="L766" s="11">
        <v>2</v>
      </c>
      <c r="M766" s="11">
        <v>3</v>
      </c>
    </row>
    <row r="767" spans="1:13" x14ac:dyDescent="0.25">
      <c r="A767" s="2">
        <f t="shared" si="59"/>
        <v>761</v>
      </c>
      <c r="B767" s="2">
        <v>226231</v>
      </c>
      <c r="C767" t="s">
        <v>1292</v>
      </c>
      <c r="D767" t="s">
        <v>1293</v>
      </c>
      <c r="E767" t="s">
        <v>8</v>
      </c>
      <c r="F767" s="9">
        <v>21707</v>
      </c>
      <c r="G767" s="9">
        <v>20349</v>
      </c>
      <c r="H767" s="1">
        <f t="shared" si="60"/>
        <v>6.6735466116271072</v>
      </c>
      <c r="I767" s="23">
        <v>1906</v>
      </c>
      <c r="J767" s="9">
        <f>(F767*1000)/I767</f>
        <v>11388.772298006295</v>
      </c>
      <c r="K767" s="11">
        <v>2</v>
      </c>
      <c r="L767" s="11">
        <v>2</v>
      </c>
      <c r="M767" s="11">
        <v>3</v>
      </c>
    </row>
    <row r="768" spans="1:13" x14ac:dyDescent="0.25">
      <c r="A768" s="2">
        <f t="shared" si="59"/>
        <v>762</v>
      </c>
      <c r="B768" s="2">
        <v>208318</v>
      </c>
      <c r="C768" t="s">
        <v>1294</v>
      </c>
      <c r="D768" t="s">
        <v>1295</v>
      </c>
      <c r="E768" t="s">
        <v>254</v>
      </c>
      <c r="F768" s="9">
        <v>21122</v>
      </c>
      <c r="G768" s="9">
        <v>20099</v>
      </c>
      <c r="H768" s="1">
        <f t="shared" si="60"/>
        <v>5.0898054629583562</v>
      </c>
      <c r="I768" s="28" t="s">
        <v>119</v>
      </c>
      <c r="J768" s="13" t="s">
        <v>119</v>
      </c>
      <c r="K768" s="11">
        <v>4</v>
      </c>
      <c r="L768" s="11">
        <v>2</v>
      </c>
      <c r="M768" s="11">
        <v>1</v>
      </c>
    </row>
    <row r="769" spans="1:13" x14ac:dyDescent="0.25">
      <c r="A769" s="2">
        <f t="shared" si="59"/>
        <v>763</v>
      </c>
      <c r="B769" s="2">
        <v>196246</v>
      </c>
      <c r="C769" t="s">
        <v>1296</v>
      </c>
      <c r="D769" t="s">
        <v>1297</v>
      </c>
      <c r="E769" t="s">
        <v>34</v>
      </c>
      <c r="F769" s="9">
        <v>21105</v>
      </c>
      <c r="G769" s="9">
        <v>19893</v>
      </c>
      <c r="H769" s="1">
        <f t="shared" si="60"/>
        <v>6.0925953853114159</v>
      </c>
      <c r="I769" s="28" t="s">
        <v>119</v>
      </c>
      <c r="J769" s="13" t="s">
        <v>119</v>
      </c>
      <c r="K769" s="11">
        <v>1</v>
      </c>
      <c r="L769" s="11">
        <v>2</v>
      </c>
      <c r="M769" s="11">
        <v>3</v>
      </c>
    </row>
    <row r="770" spans="1:13" x14ac:dyDescent="0.25">
      <c r="A770" s="2">
        <f t="shared" si="59"/>
        <v>764</v>
      </c>
      <c r="B770" s="2">
        <v>186201</v>
      </c>
      <c r="C770" t="s">
        <v>1298</v>
      </c>
      <c r="D770" t="s">
        <v>1299</v>
      </c>
      <c r="E770" t="s">
        <v>17</v>
      </c>
      <c r="F770" s="9">
        <v>20657</v>
      </c>
      <c r="G770" s="9">
        <v>19107</v>
      </c>
      <c r="H770" s="1">
        <f t="shared" si="60"/>
        <v>8.1122101847490455</v>
      </c>
      <c r="I770" s="23">
        <v>5438</v>
      </c>
      <c r="J770" s="9">
        <f>(F770*1000)/I770</f>
        <v>3798.6392055902907</v>
      </c>
      <c r="K770" s="11">
        <v>1</v>
      </c>
      <c r="L770" s="11">
        <v>2</v>
      </c>
      <c r="M770" s="11">
        <v>3</v>
      </c>
    </row>
    <row r="771" spans="1:13" x14ac:dyDescent="0.25">
      <c r="A771" s="2">
        <f t="shared" si="59"/>
        <v>765</v>
      </c>
      <c r="B771" s="2">
        <v>228431</v>
      </c>
      <c r="C771" t="s">
        <v>1300</v>
      </c>
      <c r="D771" t="s">
        <v>1301</v>
      </c>
      <c r="E771" t="s">
        <v>8</v>
      </c>
      <c r="F771" s="9">
        <v>20243</v>
      </c>
      <c r="G771" s="9">
        <v>18932</v>
      </c>
      <c r="H771" s="1">
        <f t="shared" si="60"/>
        <v>6.9247834354532012</v>
      </c>
      <c r="I771" s="23">
        <v>10955</v>
      </c>
      <c r="J771" s="9">
        <f>(F771*1000)/I771</f>
        <v>1847.8320401643086</v>
      </c>
      <c r="K771" s="11">
        <v>1</v>
      </c>
      <c r="L771" s="11">
        <v>2</v>
      </c>
      <c r="M771" s="11">
        <v>3</v>
      </c>
    </row>
    <row r="772" spans="1:13" x14ac:dyDescent="0.25">
      <c r="A772" s="2">
        <f t="shared" si="59"/>
        <v>766</v>
      </c>
      <c r="B772" s="2">
        <v>165820</v>
      </c>
      <c r="C772" t="s">
        <v>1302</v>
      </c>
      <c r="D772" t="s">
        <v>1303</v>
      </c>
      <c r="E772" t="s">
        <v>5</v>
      </c>
      <c r="F772" s="9">
        <v>19987</v>
      </c>
      <c r="G772" s="9">
        <v>17792</v>
      </c>
      <c r="H772" s="1">
        <f t="shared" si="60"/>
        <v>12.337005395683454</v>
      </c>
      <c r="I772" s="28" t="s">
        <v>119</v>
      </c>
      <c r="J772" s="13" t="s">
        <v>119</v>
      </c>
      <c r="K772" s="11">
        <v>1</v>
      </c>
      <c r="L772" s="11">
        <v>2</v>
      </c>
      <c r="M772" s="11">
        <v>3</v>
      </c>
    </row>
    <row r="773" spans="1:13" x14ac:dyDescent="0.25">
      <c r="A773" s="2">
        <f t="shared" si="59"/>
        <v>767</v>
      </c>
      <c r="B773" s="2">
        <v>148584</v>
      </c>
      <c r="C773" t="s">
        <v>1304</v>
      </c>
      <c r="D773" t="s">
        <v>1305</v>
      </c>
      <c r="E773" t="s">
        <v>29</v>
      </c>
      <c r="F773" s="9">
        <v>19786</v>
      </c>
      <c r="G773" s="9">
        <v>18540</v>
      </c>
      <c r="H773" s="1">
        <f t="shared" si="60"/>
        <v>6.7206040992448752</v>
      </c>
      <c r="I773" s="23">
        <v>2404</v>
      </c>
      <c r="J773" s="9">
        <f>(F773*1000)/I773</f>
        <v>8230.449251247921</v>
      </c>
      <c r="K773" s="11">
        <v>2</v>
      </c>
      <c r="L773" s="11">
        <v>2</v>
      </c>
      <c r="M773" s="11">
        <v>3</v>
      </c>
    </row>
    <row r="774" spans="1:13" x14ac:dyDescent="0.25">
      <c r="A774" s="2">
        <f t="shared" si="59"/>
        <v>768</v>
      </c>
      <c r="B774" s="2">
        <v>205443</v>
      </c>
      <c r="C774" t="s">
        <v>1306</v>
      </c>
      <c r="D774" t="s">
        <v>1066</v>
      </c>
      <c r="E774" t="s">
        <v>60</v>
      </c>
      <c r="F774" s="9">
        <v>19393</v>
      </c>
      <c r="G774" s="9">
        <v>18780</v>
      </c>
      <c r="H774" s="1">
        <f t="shared" si="60"/>
        <v>3.2641107561235359</v>
      </c>
      <c r="I774" s="28" t="s">
        <v>119</v>
      </c>
      <c r="J774" s="13" t="s">
        <v>119</v>
      </c>
      <c r="K774" s="11">
        <v>1</v>
      </c>
      <c r="L774" s="11">
        <v>2</v>
      </c>
      <c r="M774" s="11">
        <v>4</v>
      </c>
    </row>
    <row r="775" spans="1:13" x14ac:dyDescent="0.25">
      <c r="A775" s="2">
        <f t="shared" si="59"/>
        <v>769</v>
      </c>
      <c r="B775" s="2">
        <v>202514</v>
      </c>
      <c r="C775" t="s">
        <v>1307</v>
      </c>
      <c r="D775" t="s">
        <v>1308</v>
      </c>
      <c r="E775" t="s">
        <v>60</v>
      </c>
      <c r="F775" s="9">
        <v>18898</v>
      </c>
      <c r="G775" s="9">
        <v>18000</v>
      </c>
      <c r="H775" s="1">
        <f t="shared" si="60"/>
        <v>4.9888888888888889</v>
      </c>
      <c r="I775" s="23">
        <v>571</v>
      </c>
      <c r="J775" s="9">
        <f>(F775*1000)/I775</f>
        <v>33096.322241681264</v>
      </c>
      <c r="K775" s="11">
        <v>2</v>
      </c>
      <c r="L775" s="11">
        <v>2</v>
      </c>
      <c r="M775" s="11">
        <v>4</v>
      </c>
    </row>
    <row r="776" spans="1:13" x14ac:dyDescent="0.25">
      <c r="A776" s="2">
        <f t="shared" ref="A776:A816" si="63">RANK(F776,F$7:F$817,0)</f>
        <v>770</v>
      </c>
      <c r="B776" s="2">
        <v>172334</v>
      </c>
      <c r="C776" t="s">
        <v>1309</v>
      </c>
      <c r="D776" t="s">
        <v>1310</v>
      </c>
      <c r="E776" t="s">
        <v>26</v>
      </c>
      <c r="F776" s="9">
        <v>17842</v>
      </c>
      <c r="G776" s="9">
        <v>16062</v>
      </c>
      <c r="H776" s="1">
        <f t="shared" ref="H776:H816" si="64">((F776-G776)/G776)*100</f>
        <v>11.082057029012576</v>
      </c>
      <c r="I776" s="23">
        <v>2821</v>
      </c>
      <c r="J776" s="9">
        <f>(F776*1000)/I776</f>
        <v>6324.7075505140019</v>
      </c>
      <c r="K776" s="11">
        <v>2</v>
      </c>
      <c r="L776" s="11">
        <v>2</v>
      </c>
      <c r="M776" s="11">
        <v>3</v>
      </c>
    </row>
    <row r="777" spans="1:13" x14ac:dyDescent="0.25">
      <c r="A777" s="2">
        <f t="shared" si="63"/>
        <v>771</v>
      </c>
      <c r="B777" s="2">
        <v>238430</v>
      </c>
      <c r="C777" t="s">
        <v>1311</v>
      </c>
      <c r="D777" t="s">
        <v>1312</v>
      </c>
      <c r="E777" t="s">
        <v>80</v>
      </c>
      <c r="F777" s="9">
        <v>17823</v>
      </c>
      <c r="G777" s="9">
        <v>19842</v>
      </c>
      <c r="H777" s="1">
        <f t="shared" si="64"/>
        <v>-10.175385545811915</v>
      </c>
      <c r="I777" s="23">
        <v>2525</v>
      </c>
      <c r="J777" s="9">
        <f>(F777*1000)/I777</f>
        <v>7058.6138613861385</v>
      </c>
      <c r="K777" s="11">
        <v>2</v>
      </c>
      <c r="L777" s="11">
        <v>2</v>
      </c>
      <c r="M777" s="11">
        <v>2</v>
      </c>
    </row>
    <row r="778" spans="1:13" x14ac:dyDescent="0.25">
      <c r="A778" s="2">
        <f t="shared" si="63"/>
        <v>772</v>
      </c>
      <c r="B778" s="2">
        <v>170541</v>
      </c>
      <c r="C778" t="s">
        <v>1313</v>
      </c>
      <c r="D778" t="s">
        <v>409</v>
      </c>
      <c r="E778" t="s">
        <v>26</v>
      </c>
      <c r="F778" s="9">
        <v>17789</v>
      </c>
      <c r="G778" s="9">
        <v>16345</v>
      </c>
      <c r="H778" s="1">
        <f t="shared" si="64"/>
        <v>8.8345059651269509</v>
      </c>
      <c r="I778" s="23">
        <v>2336</v>
      </c>
      <c r="J778" s="9">
        <f>(F778*1000)/I778</f>
        <v>7615.1541095890407</v>
      </c>
      <c r="K778" s="11">
        <v>4</v>
      </c>
      <c r="L778" s="11">
        <v>2</v>
      </c>
      <c r="M778" s="11">
        <v>1</v>
      </c>
    </row>
    <row r="779" spans="1:13" x14ac:dyDescent="0.25">
      <c r="A779" s="2">
        <f t="shared" si="63"/>
        <v>773</v>
      </c>
      <c r="B779" s="2">
        <v>112127</v>
      </c>
      <c r="C779" t="s">
        <v>1320</v>
      </c>
      <c r="D779" t="s">
        <v>116</v>
      </c>
      <c r="E779" t="s">
        <v>14</v>
      </c>
      <c r="F779" s="9">
        <v>17669</v>
      </c>
      <c r="G779" s="9">
        <v>16023</v>
      </c>
      <c r="H779" s="1">
        <f t="shared" si="64"/>
        <v>10.272732946389565</v>
      </c>
      <c r="I779" s="23">
        <v>67</v>
      </c>
      <c r="J779" s="9">
        <f>(F779*1000)/I779</f>
        <v>263716.41791044775</v>
      </c>
      <c r="K779" s="11">
        <v>2</v>
      </c>
      <c r="L779" s="11">
        <v>2</v>
      </c>
      <c r="M779" s="11">
        <v>5</v>
      </c>
    </row>
    <row r="780" spans="1:13" x14ac:dyDescent="0.25">
      <c r="A780" s="2">
        <f t="shared" si="63"/>
        <v>774</v>
      </c>
      <c r="B780" s="2">
        <v>110574</v>
      </c>
      <c r="C780" t="s">
        <v>1314</v>
      </c>
      <c r="D780" t="s">
        <v>1315</v>
      </c>
      <c r="E780" t="s">
        <v>14</v>
      </c>
      <c r="F780" s="9">
        <v>17091</v>
      </c>
      <c r="G780" s="9">
        <v>16173</v>
      </c>
      <c r="H780" s="1">
        <f t="shared" si="64"/>
        <v>5.6761268781302174</v>
      </c>
      <c r="I780" s="28" t="s">
        <v>119</v>
      </c>
      <c r="J780" s="13" t="s">
        <v>119</v>
      </c>
      <c r="K780" s="11">
        <v>1</v>
      </c>
      <c r="L780" s="11">
        <v>2</v>
      </c>
      <c r="M780" s="11">
        <v>3</v>
      </c>
    </row>
    <row r="781" spans="1:13" x14ac:dyDescent="0.25">
      <c r="A781" s="2">
        <f t="shared" si="63"/>
        <v>775</v>
      </c>
      <c r="B781" s="2">
        <v>238980</v>
      </c>
      <c r="C781" t="s">
        <v>1316</v>
      </c>
      <c r="D781" t="s">
        <v>1317</v>
      </c>
      <c r="E781" t="s">
        <v>80</v>
      </c>
      <c r="F781" s="9">
        <v>17032</v>
      </c>
      <c r="G781" s="9">
        <v>16044</v>
      </c>
      <c r="H781" s="1">
        <f t="shared" si="64"/>
        <v>6.1580653203689852</v>
      </c>
      <c r="I781" s="28" t="s">
        <v>119</v>
      </c>
      <c r="J781" s="13" t="s">
        <v>119</v>
      </c>
      <c r="K781" s="11">
        <v>2</v>
      </c>
      <c r="L781" s="11">
        <v>2</v>
      </c>
      <c r="M781" s="11">
        <v>3</v>
      </c>
    </row>
    <row r="782" spans="1:13" x14ac:dyDescent="0.25">
      <c r="A782" s="2">
        <f t="shared" si="63"/>
        <v>776</v>
      </c>
      <c r="B782" s="2">
        <v>110495</v>
      </c>
      <c r="C782" t="s">
        <v>1318</v>
      </c>
      <c r="D782" t="s">
        <v>1319</v>
      </c>
      <c r="E782" t="s">
        <v>14</v>
      </c>
      <c r="F782" s="9">
        <v>16359</v>
      </c>
      <c r="G782" s="9">
        <v>13538</v>
      </c>
      <c r="H782" s="1">
        <f t="shared" si="64"/>
        <v>20.837642192347467</v>
      </c>
      <c r="I782" s="28" t="s">
        <v>119</v>
      </c>
      <c r="J782" s="13" t="s">
        <v>119</v>
      </c>
      <c r="K782" s="11">
        <v>1</v>
      </c>
      <c r="L782" s="11">
        <v>2</v>
      </c>
      <c r="M782" s="11">
        <v>3</v>
      </c>
    </row>
    <row r="783" spans="1:13" x14ac:dyDescent="0.25">
      <c r="A783" s="2">
        <f t="shared" si="63"/>
        <v>777</v>
      </c>
      <c r="B783" s="2">
        <v>237792</v>
      </c>
      <c r="C783" t="s">
        <v>1321</v>
      </c>
      <c r="D783" t="s">
        <v>1322</v>
      </c>
      <c r="E783" t="s">
        <v>335</v>
      </c>
      <c r="F783" s="9">
        <v>16080</v>
      </c>
      <c r="G783" s="9">
        <v>22912</v>
      </c>
      <c r="H783" s="1">
        <f t="shared" si="64"/>
        <v>-29.818435754189942</v>
      </c>
      <c r="I783" s="23">
        <v>2747</v>
      </c>
      <c r="J783" s="9">
        <f>(F783*1000)/I783</f>
        <v>5853.6585365853662</v>
      </c>
      <c r="K783" s="11">
        <v>1</v>
      </c>
      <c r="L783" s="11">
        <v>2</v>
      </c>
      <c r="M783" s="11">
        <v>4</v>
      </c>
    </row>
    <row r="784" spans="1:13" ht="17.25" x14ac:dyDescent="0.25">
      <c r="A784" s="2">
        <f t="shared" si="63"/>
        <v>778</v>
      </c>
      <c r="B784" s="10" t="s">
        <v>119</v>
      </c>
      <c r="C784" t="s">
        <v>1397</v>
      </c>
      <c r="D784" t="s">
        <v>1323</v>
      </c>
      <c r="E784" t="s">
        <v>158</v>
      </c>
      <c r="F784" s="9">
        <v>16033</v>
      </c>
      <c r="G784" s="9">
        <v>15343</v>
      </c>
      <c r="H784" s="1">
        <f t="shared" si="64"/>
        <v>4.4971648308674963</v>
      </c>
      <c r="I784" s="23">
        <v>2776</v>
      </c>
      <c r="J784" s="9">
        <f>(F784*1000)/I784</f>
        <v>5775.5763688760808</v>
      </c>
      <c r="K784" s="10" t="s">
        <v>119</v>
      </c>
      <c r="L784" s="10" t="s">
        <v>119</v>
      </c>
      <c r="M784" s="10" t="s">
        <v>119</v>
      </c>
    </row>
    <row r="785" spans="1:13" x14ac:dyDescent="0.25">
      <c r="A785" s="2">
        <f t="shared" si="63"/>
        <v>779</v>
      </c>
      <c r="B785" s="2">
        <v>219082</v>
      </c>
      <c r="C785" t="s">
        <v>1324</v>
      </c>
      <c r="D785" t="s">
        <v>79</v>
      </c>
      <c r="E785" t="s">
        <v>542</v>
      </c>
      <c r="F785" s="9">
        <v>15914</v>
      </c>
      <c r="G785" s="9">
        <v>11818</v>
      </c>
      <c r="H785" s="1">
        <f t="shared" si="64"/>
        <v>34.658994753765441</v>
      </c>
      <c r="I785" s="28" t="s">
        <v>119</v>
      </c>
      <c r="J785" s="13" t="s">
        <v>119</v>
      </c>
      <c r="K785" s="11">
        <v>1</v>
      </c>
      <c r="L785" s="11">
        <v>2</v>
      </c>
      <c r="M785" s="11">
        <v>3</v>
      </c>
    </row>
    <row r="786" spans="1:13" x14ac:dyDescent="0.25">
      <c r="A786" s="2">
        <f t="shared" si="63"/>
        <v>780</v>
      </c>
      <c r="B786" s="2">
        <v>441937</v>
      </c>
      <c r="C786" t="s">
        <v>1325</v>
      </c>
      <c r="D786" t="s">
        <v>1326</v>
      </c>
      <c r="E786" t="s">
        <v>14</v>
      </c>
      <c r="F786" s="9">
        <v>15718</v>
      </c>
      <c r="G786" s="9">
        <v>15137</v>
      </c>
      <c r="H786" s="1">
        <f t="shared" si="64"/>
        <v>3.8382770694325163</v>
      </c>
      <c r="I786" s="28" t="s">
        <v>119</v>
      </c>
      <c r="J786" s="13" t="s">
        <v>119</v>
      </c>
      <c r="K786" s="11">
        <v>1</v>
      </c>
      <c r="L786" s="11">
        <v>2</v>
      </c>
      <c r="M786" s="11">
        <v>3</v>
      </c>
    </row>
    <row r="787" spans="1:13" x14ac:dyDescent="0.25">
      <c r="A787" s="2">
        <f t="shared" si="63"/>
        <v>781</v>
      </c>
      <c r="B787" s="2">
        <v>135160</v>
      </c>
      <c r="C787" t="s">
        <v>1327</v>
      </c>
      <c r="D787" t="s">
        <v>1328</v>
      </c>
      <c r="E787" t="s">
        <v>138</v>
      </c>
      <c r="F787" s="9">
        <v>15515</v>
      </c>
      <c r="G787" s="9">
        <v>14606</v>
      </c>
      <c r="H787" s="1">
        <f t="shared" si="64"/>
        <v>6.2234698069286596</v>
      </c>
      <c r="I787" s="28" t="s">
        <v>119</v>
      </c>
      <c r="J787" s="13" t="s">
        <v>119</v>
      </c>
      <c r="K787" s="11">
        <v>1</v>
      </c>
      <c r="L787" s="11">
        <v>2</v>
      </c>
      <c r="M787" s="11">
        <v>1</v>
      </c>
    </row>
    <row r="788" spans="1:13" x14ac:dyDescent="0.25">
      <c r="A788" s="2">
        <f t="shared" si="63"/>
        <v>782</v>
      </c>
      <c r="B788" s="2">
        <v>171456</v>
      </c>
      <c r="C788" t="s">
        <v>1329</v>
      </c>
      <c r="D788" t="s">
        <v>1330</v>
      </c>
      <c r="E788" t="s">
        <v>26</v>
      </c>
      <c r="F788" s="9">
        <v>15436</v>
      </c>
      <c r="G788" s="9">
        <v>14949</v>
      </c>
      <c r="H788" s="1">
        <f t="shared" si="64"/>
        <v>3.2577429928423309</v>
      </c>
      <c r="I788" s="23">
        <v>6799</v>
      </c>
      <c r="J788" s="9">
        <f>(F788*1000)/I788</f>
        <v>2270.3338726283278</v>
      </c>
      <c r="K788" s="11">
        <v>1</v>
      </c>
      <c r="L788" s="11">
        <v>2</v>
      </c>
      <c r="M788" s="11">
        <v>3</v>
      </c>
    </row>
    <row r="789" spans="1:13" x14ac:dyDescent="0.25">
      <c r="A789" s="2">
        <f t="shared" si="63"/>
        <v>783</v>
      </c>
      <c r="B789" s="2">
        <v>167260</v>
      </c>
      <c r="C789" t="s">
        <v>1331</v>
      </c>
      <c r="D789" t="s">
        <v>1332</v>
      </c>
      <c r="E789" t="s">
        <v>5</v>
      </c>
      <c r="F789" s="9">
        <v>15417</v>
      </c>
      <c r="G789" s="9">
        <v>13754</v>
      </c>
      <c r="H789" s="1">
        <f t="shared" si="64"/>
        <v>12.091028064563037</v>
      </c>
      <c r="I789" s="23">
        <v>1366</v>
      </c>
      <c r="J789" s="9">
        <f>(F789*1000)/I789</f>
        <v>11286.237188872621</v>
      </c>
      <c r="K789" s="11">
        <v>2</v>
      </c>
      <c r="L789" s="11">
        <v>2</v>
      </c>
      <c r="M789" s="11">
        <v>5</v>
      </c>
    </row>
    <row r="790" spans="1:13" x14ac:dyDescent="0.25">
      <c r="A790" s="2">
        <f t="shared" si="63"/>
        <v>784</v>
      </c>
      <c r="B790" s="2">
        <v>243577</v>
      </c>
      <c r="C790" t="s">
        <v>1333</v>
      </c>
      <c r="D790" t="s">
        <v>545</v>
      </c>
      <c r="E790" t="s">
        <v>546</v>
      </c>
      <c r="F790" s="9">
        <v>14578</v>
      </c>
      <c r="G790" s="9">
        <v>14324</v>
      </c>
      <c r="H790" s="1">
        <f t="shared" si="64"/>
        <v>1.7732476961742529</v>
      </c>
      <c r="I790" s="23">
        <v>3533</v>
      </c>
      <c r="J790" s="9">
        <f>(F790*1000)/I790</f>
        <v>4126.2383243702234</v>
      </c>
      <c r="K790" s="11">
        <v>2</v>
      </c>
      <c r="L790" s="11">
        <v>2</v>
      </c>
      <c r="M790" s="11">
        <v>5</v>
      </c>
    </row>
    <row r="791" spans="1:13" x14ac:dyDescent="0.25">
      <c r="A791" s="2">
        <f t="shared" si="63"/>
        <v>785</v>
      </c>
      <c r="B791" s="2">
        <v>192192</v>
      </c>
      <c r="C791" t="s">
        <v>1334</v>
      </c>
      <c r="D791" t="s">
        <v>1335</v>
      </c>
      <c r="E791" t="s">
        <v>34</v>
      </c>
      <c r="F791" s="9">
        <v>14350</v>
      </c>
      <c r="G791" s="9">
        <v>13866</v>
      </c>
      <c r="H791" s="1">
        <f t="shared" si="64"/>
        <v>3.4905524304053079</v>
      </c>
      <c r="I791" s="23">
        <v>1115</v>
      </c>
      <c r="J791" s="9">
        <f>(F791*1000)/I791</f>
        <v>12869.955156950673</v>
      </c>
      <c r="K791" s="11">
        <v>2</v>
      </c>
      <c r="L791" s="11">
        <v>2</v>
      </c>
      <c r="M791" s="11">
        <v>3</v>
      </c>
    </row>
    <row r="792" spans="1:13" x14ac:dyDescent="0.25">
      <c r="A792" s="2">
        <f t="shared" si="63"/>
        <v>786</v>
      </c>
      <c r="B792" s="2">
        <v>182980</v>
      </c>
      <c r="C792" t="s">
        <v>1336</v>
      </c>
      <c r="D792" t="s">
        <v>1337</v>
      </c>
      <c r="E792" t="s">
        <v>287</v>
      </c>
      <c r="F792" s="9">
        <v>14053</v>
      </c>
      <c r="G792" s="9">
        <v>13095</v>
      </c>
      <c r="H792" s="1">
        <f t="shared" si="64"/>
        <v>7.3157693776250472</v>
      </c>
      <c r="I792" s="28" t="s">
        <v>119</v>
      </c>
      <c r="J792" s="13" t="s">
        <v>119</v>
      </c>
      <c r="K792" s="11">
        <v>2</v>
      </c>
      <c r="L792" s="11">
        <v>2</v>
      </c>
      <c r="M792" s="11">
        <v>3</v>
      </c>
    </row>
    <row r="793" spans="1:13" x14ac:dyDescent="0.25">
      <c r="A793" s="2">
        <f t="shared" si="63"/>
        <v>787</v>
      </c>
      <c r="B793" s="2">
        <v>196015</v>
      </c>
      <c r="C793" t="s">
        <v>1338</v>
      </c>
      <c r="D793" t="s">
        <v>485</v>
      </c>
      <c r="E793" t="s">
        <v>34</v>
      </c>
      <c r="F793" s="9">
        <v>12878</v>
      </c>
      <c r="G793" s="9">
        <v>12000</v>
      </c>
      <c r="H793" s="1">
        <f t="shared" si="64"/>
        <v>7.3166666666666673</v>
      </c>
      <c r="I793" s="28" t="s">
        <v>119</v>
      </c>
      <c r="J793" s="13" t="s">
        <v>119</v>
      </c>
      <c r="K793" s="11">
        <v>1</v>
      </c>
      <c r="L793" s="11">
        <v>2</v>
      </c>
      <c r="M793" s="11">
        <v>4</v>
      </c>
    </row>
    <row r="794" spans="1:13" x14ac:dyDescent="0.25">
      <c r="A794" s="2">
        <f t="shared" si="63"/>
        <v>788</v>
      </c>
      <c r="B794" s="2">
        <v>167288</v>
      </c>
      <c r="C794" t="s">
        <v>1339</v>
      </c>
      <c r="D794" t="s">
        <v>1340</v>
      </c>
      <c r="E794" t="s">
        <v>5</v>
      </c>
      <c r="F794" s="9">
        <v>12840</v>
      </c>
      <c r="G794" s="9">
        <v>12140</v>
      </c>
      <c r="H794" s="1">
        <f t="shared" si="64"/>
        <v>5.7660626029654036</v>
      </c>
      <c r="I794" s="28" t="s">
        <v>119</v>
      </c>
      <c r="J794" s="13" t="s">
        <v>119</v>
      </c>
      <c r="K794" s="11">
        <v>1</v>
      </c>
      <c r="L794" s="11">
        <v>2</v>
      </c>
      <c r="M794" s="11">
        <v>4</v>
      </c>
    </row>
    <row r="795" spans="1:13" x14ac:dyDescent="0.25">
      <c r="A795" s="2">
        <f t="shared" si="63"/>
        <v>789</v>
      </c>
      <c r="B795" s="2">
        <v>154059</v>
      </c>
      <c r="C795" t="s">
        <v>1341</v>
      </c>
      <c r="D795" t="s">
        <v>1342</v>
      </c>
      <c r="E795" t="s">
        <v>113</v>
      </c>
      <c r="F795" s="9">
        <v>12262</v>
      </c>
      <c r="G795" s="9">
        <v>11698</v>
      </c>
      <c r="H795" s="1">
        <f t="shared" si="64"/>
        <v>4.8213369806804582</v>
      </c>
      <c r="I795" s="28" t="s">
        <v>119</v>
      </c>
      <c r="J795" s="13" t="s">
        <v>119</v>
      </c>
      <c r="K795" s="11">
        <v>4</v>
      </c>
      <c r="L795" s="11">
        <v>2</v>
      </c>
      <c r="M795" s="11">
        <v>1</v>
      </c>
    </row>
    <row r="796" spans="1:13" x14ac:dyDescent="0.25">
      <c r="A796" s="2">
        <f t="shared" si="63"/>
        <v>790</v>
      </c>
      <c r="B796" s="2">
        <v>164872</v>
      </c>
      <c r="C796" t="s">
        <v>1343</v>
      </c>
      <c r="D796" t="s">
        <v>4</v>
      </c>
      <c r="E796" t="s">
        <v>5</v>
      </c>
      <c r="F796" s="9">
        <v>11841</v>
      </c>
      <c r="G796" s="9">
        <v>11133</v>
      </c>
      <c r="H796" s="1">
        <f t="shared" si="64"/>
        <v>6.3594718404742654</v>
      </c>
      <c r="I796" s="19">
        <v>695</v>
      </c>
      <c r="J796" s="9">
        <f>(F796*1000)/I796</f>
        <v>17037.410071942446</v>
      </c>
      <c r="K796" s="11">
        <v>2</v>
      </c>
      <c r="L796" s="11">
        <v>2</v>
      </c>
      <c r="M796" s="11">
        <v>5</v>
      </c>
    </row>
    <row r="797" spans="1:13" x14ac:dyDescent="0.25">
      <c r="A797" s="2">
        <f t="shared" si="63"/>
        <v>791</v>
      </c>
      <c r="B797" s="10" t="s">
        <v>119</v>
      </c>
      <c r="C797" t="s">
        <v>1344</v>
      </c>
      <c r="D797" t="s">
        <v>736</v>
      </c>
      <c r="E797" t="s">
        <v>206</v>
      </c>
      <c r="F797" s="9">
        <v>11263</v>
      </c>
      <c r="G797" s="9">
        <v>11217</v>
      </c>
      <c r="H797" s="1">
        <f t="shared" si="64"/>
        <v>0.41009182490862084</v>
      </c>
      <c r="I797" s="31" t="s">
        <v>119</v>
      </c>
      <c r="J797" s="10" t="s">
        <v>119</v>
      </c>
      <c r="K797" s="10" t="s">
        <v>119</v>
      </c>
      <c r="L797" s="10" t="s">
        <v>119</v>
      </c>
      <c r="M797" s="10" t="s">
        <v>119</v>
      </c>
    </row>
    <row r="798" spans="1:13" x14ac:dyDescent="0.25">
      <c r="A798" s="2">
        <f t="shared" si="63"/>
        <v>792</v>
      </c>
      <c r="B798" s="2">
        <v>221908</v>
      </c>
      <c r="C798" t="s">
        <v>1345</v>
      </c>
      <c r="D798" t="s">
        <v>1346</v>
      </c>
      <c r="E798" t="s">
        <v>63</v>
      </c>
      <c r="F798" s="9">
        <v>10679</v>
      </c>
      <c r="G798" s="9">
        <v>9759</v>
      </c>
      <c r="H798" s="1">
        <f t="shared" si="64"/>
        <v>9.427195409365714</v>
      </c>
      <c r="I798" s="31" t="s">
        <v>119</v>
      </c>
      <c r="J798" s="10" t="s">
        <v>119</v>
      </c>
      <c r="K798" s="11">
        <v>4</v>
      </c>
      <c r="L798" s="11">
        <v>2</v>
      </c>
      <c r="M798" s="11">
        <v>1</v>
      </c>
    </row>
    <row r="799" spans="1:13" x14ac:dyDescent="0.25">
      <c r="A799" s="2">
        <f t="shared" si="63"/>
        <v>793</v>
      </c>
      <c r="B799" s="2">
        <v>221643</v>
      </c>
      <c r="C799" t="s">
        <v>1347</v>
      </c>
      <c r="D799" t="s">
        <v>187</v>
      </c>
      <c r="E799" t="s">
        <v>63</v>
      </c>
      <c r="F799" s="9">
        <v>10601</v>
      </c>
      <c r="G799" s="9">
        <v>9486</v>
      </c>
      <c r="H799" s="1">
        <f t="shared" si="64"/>
        <v>11.75416403120388</v>
      </c>
      <c r="I799" s="31" t="s">
        <v>119</v>
      </c>
      <c r="J799" s="10" t="s">
        <v>119</v>
      </c>
      <c r="K799" s="11">
        <v>4</v>
      </c>
      <c r="L799" s="11">
        <v>2</v>
      </c>
      <c r="M799" s="11">
        <v>1</v>
      </c>
    </row>
    <row r="800" spans="1:13" x14ac:dyDescent="0.25">
      <c r="A800" s="2">
        <f t="shared" si="63"/>
        <v>794</v>
      </c>
      <c r="B800" s="2">
        <v>232414</v>
      </c>
      <c r="C800" t="s">
        <v>1348</v>
      </c>
      <c r="D800" t="s">
        <v>93</v>
      </c>
      <c r="E800" t="s">
        <v>52</v>
      </c>
      <c r="F800" s="9">
        <v>10574</v>
      </c>
      <c r="G800" s="9">
        <v>9513</v>
      </c>
      <c r="H800" s="1">
        <f t="shared" si="64"/>
        <v>11.15315883527804</v>
      </c>
      <c r="I800" s="31" t="s">
        <v>119</v>
      </c>
      <c r="J800" s="10" t="s">
        <v>119</v>
      </c>
      <c r="K800" s="11">
        <v>4</v>
      </c>
      <c r="L800" s="11">
        <v>2</v>
      </c>
      <c r="M800" s="11">
        <v>1</v>
      </c>
    </row>
    <row r="801" spans="1:13" x14ac:dyDescent="0.25">
      <c r="A801" s="2">
        <f t="shared" si="63"/>
        <v>795</v>
      </c>
      <c r="B801" s="2">
        <v>170037</v>
      </c>
      <c r="C801" t="s">
        <v>1349</v>
      </c>
      <c r="D801" t="s">
        <v>688</v>
      </c>
      <c r="E801" t="s">
        <v>26</v>
      </c>
      <c r="F801" s="9">
        <v>10570</v>
      </c>
      <c r="G801" s="9">
        <v>9497</v>
      </c>
      <c r="H801" s="1">
        <f t="shared" si="64"/>
        <v>11.298304727808782</v>
      </c>
      <c r="I801" s="23">
        <v>1815</v>
      </c>
      <c r="J801" s="9">
        <f>(F801*1000)/I801</f>
        <v>5823.6914600550963</v>
      </c>
      <c r="K801" s="11">
        <v>2</v>
      </c>
      <c r="L801" s="11">
        <v>2</v>
      </c>
      <c r="M801" s="11">
        <v>3</v>
      </c>
    </row>
    <row r="802" spans="1:13" x14ac:dyDescent="0.25">
      <c r="A802" s="2">
        <f t="shared" si="63"/>
        <v>796</v>
      </c>
      <c r="B802" s="2">
        <v>110547</v>
      </c>
      <c r="C802" t="s">
        <v>1350</v>
      </c>
      <c r="D802" t="s">
        <v>1351</v>
      </c>
      <c r="E802" t="s">
        <v>14</v>
      </c>
      <c r="F802" s="9">
        <v>10394</v>
      </c>
      <c r="G802" s="9">
        <v>9943</v>
      </c>
      <c r="H802" s="1">
        <f t="shared" si="64"/>
        <v>4.5358543699084786</v>
      </c>
      <c r="I802" s="31" t="s">
        <v>119</v>
      </c>
      <c r="J802" s="10" t="s">
        <v>119</v>
      </c>
      <c r="K802" s="11">
        <v>1</v>
      </c>
      <c r="L802" s="11">
        <v>2</v>
      </c>
      <c r="M802" s="11">
        <v>3</v>
      </c>
    </row>
    <row r="803" spans="1:13" x14ac:dyDescent="0.25">
      <c r="A803" s="2">
        <f t="shared" si="63"/>
        <v>797</v>
      </c>
      <c r="B803" s="2">
        <v>222992</v>
      </c>
      <c r="C803" t="s">
        <v>1352</v>
      </c>
      <c r="D803" t="s">
        <v>7</v>
      </c>
      <c r="E803" t="s">
        <v>8</v>
      </c>
      <c r="F803" s="9">
        <v>9211</v>
      </c>
      <c r="G803" s="9">
        <v>7574</v>
      </c>
      <c r="H803" s="1">
        <f t="shared" si="64"/>
        <v>21.613414312120412</v>
      </c>
      <c r="I803" s="31" t="s">
        <v>119</v>
      </c>
      <c r="J803" s="10" t="s">
        <v>119</v>
      </c>
      <c r="K803" s="11">
        <v>4</v>
      </c>
      <c r="L803" s="11">
        <v>2</v>
      </c>
      <c r="M803" s="11">
        <v>1</v>
      </c>
    </row>
    <row r="804" spans="1:13" x14ac:dyDescent="0.25">
      <c r="A804" s="2">
        <f t="shared" si="63"/>
        <v>798</v>
      </c>
      <c r="B804" s="2">
        <v>172608</v>
      </c>
      <c r="C804" t="s">
        <v>1353</v>
      </c>
      <c r="D804" t="s">
        <v>792</v>
      </c>
      <c r="E804" t="s">
        <v>26</v>
      </c>
      <c r="F804" s="9">
        <v>9131</v>
      </c>
      <c r="G804" s="9">
        <v>10108</v>
      </c>
      <c r="H804" s="1">
        <f t="shared" si="64"/>
        <v>-9.6656113969133362</v>
      </c>
      <c r="I804" s="23">
        <v>2187</v>
      </c>
      <c r="J804" s="9">
        <f>(F804*1000)/I804</f>
        <v>4175.1257430269779</v>
      </c>
      <c r="K804" s="11">
        <v>2</v>
      </c>
      <c r="L804" s="11">
        <v>2</v>
      </c>
      <c r="M804" s="11">
        <v>5</v>
      </c>
    </row>
    <row r="805" spans="1:13" x14ac:dyDescent="0.25">
      <c r="A805" s="2">
        <f t="shared" si="63"/>
        <v>799</v>
      </c>
      <c r="B805" s="2">
        <v>111188</v>
      </c>
      <c r="C805" t="s">
        <v>1354</v>
      </c>
      <c r="D805" t="s">
        <v>1355</v>
      </c>
      <c r="E805" t="s">
        <v>14</v>
      </c>
      <c r="F805" s="9">
        <v>8764</v>
      </c>
      <c r="G805" s="9">
        <v>8153</v>
      </c>
      <c r="H805" s="1">
        <f t="shared" si="64"/>
        <v>7.4941739237090648</v>
      </c>
      <c r="I805" s="31" t="s">
        <v>119</v>
      </c>
      <c r="J805" s="10" t="s">
        <v>119</v>
      </c>
      <c r="K805" s="11">
        <v>1</v>
      </c>
      <c r="L805" s="11">
        <v>2</v>
      </c>
      <c r="M805" s="11">
        <v>4</v>
      </c>
    </row>
    <row r="806" spans="1:13" x14ac:dyDescent="0.25">
      <c r="A806" s="2">
        <f t="shared" si="63"/>
        <v>800</v>
      </c>
      <c r="B806" s="2">
        <v>231536</v>
      </c>
      <c r="C806" t="s">
        <v>1356</v>
      </c>
      <c r="D806" t="s">
        <v>1357</v>
      </c>
      <c r="E806" t="s">
        <v>52</v>
      </c>
      <c r="F806" s="9">
        <v>8438</v>
      </c>
      <c r="G806" s="9">
        <v>8049</v>
      </c>
      <c r="H806" s="1">
        <f t="shared" si="64"/>
        <v>4.8328984967076654</v>
      </c>
      <c r="I806" s="31" t="s">
        <v>119</v>
      </c>
      <c r="J806" s="10" t="s">
        <v>119</v>
      </c>
      <c r="K806" s="11">
        <v>4</v>
      </c>
      <c r="L806" s="11">
        <v>2</v>
      </c>
      <c r="M806" s="11">
        <v>1</v>
      </c>
    </row>
    <row r="807" spans="1:13" x14ac:dyDescent="0.25">
      <c r="A807" s="2">
        <f t="shared" si="63"/>
        <v>801</v>
      </c>
      <c r="B807" s="2">
        <v>218353</v>
      </c>
      <c r="C807" t="s">
        <v>1358</v>
      </c>
      <c r="D807" t="s">
        <v>1359</v>
      </c>
      <c r="E807" t="s">
        <v>278</v>
      </c>
      <c r="F807" s="9">
        <v>8074</v>
      </c>
      <c r="G807" s="9">
        <v>6977</v>
      </c>
      <c r="H807" s="1">
        <f t="shared" si="64"/>
        <v>15.723090153361044</v>
      </c>
      <c r="I807" s="31" t="s">
        <v>119</v>
      </c>
      <c r="J807" s="10" t="s">
        <v>119</v>
      </c>
      <c r="K807" s="11">
        <v>4</v>
      </c>
      <c r="L807" s="11">
        <v>2</v>
      </c>
      <c r="M807" s="11">
        <v>1</v>
      </c>
    </row>
    <row r="808" spans="1:13" x14ac:dyDescent="0.25">
      <c r="A808" s="2">
        <f t="shared" si="63"/>
        <v>802</v>
      </c>
      <c r="B808" s="2">
        <v>144944</v>
      </c>
      <c r="C808" t="s">
        <v>1360</v>
      </c>
      <c r="D808" t="s">
        <v>1361</v>
      </c>
      <c r="E808" t="s">
        <v>29</v>
      </c>
      <c r="F808" s="9">
        <v>6405</v>
      </c>
      <c r="G808" s="9">
        <v>6020</v>
      </c>
      <c r="H808" s="1">
        <f t="shared" si="64"/>
        <v>6.395348837209303</v>
      </c>
      <c r="I808" s="31" t="s">
        <v>119</v>
      </c>
      <c r="J808" s="10" t="s">
        <v>119</v>
      </c>
      <c r="K808" s="11">
        <v>4</v>
      </c>
      <c r="L808" s="11">
        <v>2</v>
      </c>
      <c r="M808" s="11">
        <v>1</v>
      </c>
    </row>
    <row r="809" spans="1:13" x14ac:dyDescent="0.25">
      <c r="A809" s="2">
        <f t="shared" si="63"/>
        <v>803</v>
      </c>
      <c r="B809" s="2">
        <v>134495</v>
      </c>
      <c r="C809" t="s">
        <v>1362</v>
      </c>
      <c r="D809" t="s">
        <v>379</v>
      </c>
      <c r="E809" t="s">
        <v>138</v>
      </c>
      <c r="F809" s="9">
        <v>6132</v>
      </c>
      <c r="G809" s="9">
        <v>5768</v>
      </c>
      <c r="H809" s="1">
        <f t="shared" si="64"/>
        <v>6.3106796116504853</v>
      </c>
      <c r="I809" s="31" t="s">
        <v>119</v>
      </c>
      <c r="J809" s="10" t="s">
        <v>119</v>
      </c>
      <c r="K809" s="11">
        <v>4</v>
      </c>
      <c r="L809" s="11">
        <v>2</v>
      </c>
      <c r="M809" s="11">
        <v>1</v>
      </c>
    </row>
    <row r="810" spans="1:13" x14ac:dyDescent="0.25">
      <c r="A810" s="2">
        <f t="shared" si="63"/>
        <v>804</v>
      </c>
      <c r="B810" s="2">
        <v>193353</v>
      </c>
      <c r="C810" t="s">
        <v>1363</v>
      </c>
      <c r="D810" t="s">
        <v>1364</v>
      </c>
      <c r="E810" t="s">
        <v>34</v>
      </c>
      <c r="F810" s="9">
        <v>5701</v>
      </c>
      <c r="G810" s="9">
        <v>5268</v>
      </c>
      <c r="H810" s="1">
        <f t="shared" si="64"/>
        <v>8.2194381169324213</v>
      </c>
      <c r="I810" s="23">
        <v>2135</v>
      </c>
      <c r="J810" s="9">
        <f>(F810*1000)/I810</f>
        <v>2670.257611241218</v>
      </c>
      <c r="K810" s="11">
        <v>2</v>
      </c>
      <c r="L810" s="11">
        <v>2</v>
      </c>
      <c r="M810" s="11">
        <v>3</v>
      </c>
    </row>
    <row r="811" spans="1:13" x14ac:dyDescent="0.25">
      <c r="A811" s="2">
        <f t="shared" si="63"/>
        <v>805</v>
      </c>
      <c r="B811" s="2">
        <v>174020</v>
      </c>
      <c r="C811" t="s">
        <v>1365</v>
      </c>
      <c r="D811" t="s">
        <v>289</v>
      </c>
      <c r="E811" t="s">
        <v>72</v>
      </c>
      <c r="F811" s="9">
        <v>5650</v>
      </c>
      <c r="G811" s="9">
        <v>5166</v>
      </c>
      <c r="H811" s="1">
        <f t="shared" si="64"/>
        <v>9.3689508323654671</v>
      </c>
      <c r="I811" s="33" t="s">
        <v>119</v>
      </c>
      <c r="J811" s="9">
        <v>1186.97</v>
      </c>
      <c r="K811" s="11">
        <v>1</v>
      </c>
      <c r="L811" s="11">
        <v>2</v>
      </c>
      <c r="M811" s="11">
        <v>3</v>
      </c>
    </row>
    <row r="812" spans="1:13" x14ac:dyDescent="0.25">
      <c r="A812" s="2">
        <f t="shared" si="63"/>
        <v>806</v>
      </c>
      <c r="B812" s="2">
        <v>147800</v>
      </c>
      <c r="C812" t="s">
        <v>1366</v>
      </c>
      <c r="D812" t="s">
        <v>1367</v>
      </c>
      <c r="E812" t="s">
        <v>29</v>
      </c>
      <c r="F812" s="9">
        <v>5484</v>
      </c>
      <c r="G812" s="9">
        <v>8453</v>
      </c>
      <c r="H812" s="1">
        <f t="shared" si="64"/>
        <v>-35.123624748609963</v>
      </c>
      <c r="I812" s="23">
        <v>4290</v>
      </c>
      <c r="J812" s="9">
        <f>(F812*1000)/I812</f>
        <v>1278.3216783216783</v>
      </c>
      <c r="K812" s="11">
        <v>4</v>
      </c>
      <c r="L812" s="11">
        <v>2</v>
      </c>
      <c r="M812" s="11">
        <v>1</v>
      </c>
    </row>
    <row r="813" spans="1:13" x14ac:dyDescent="0.25">
      <c r="A813" s="2">
        <f t="shared" si="63"/>
        <v>807</v>
      </c>
      <c r="B813" s="2">
        <v>228884</v>
      </c>
      <c r="C813" t="s">
        <v>1368</v>
      </c>
      <c r="D813" t="s">
        <v>1369</v>
      </c>
      <c r="E813" t="s">
        <v>8</v>
      </c>
      <c r="F813" s="9">
        <v>4648</v>
      </c>
      <c r="G813" s="9">
        <v>4308</v>
      </c>
      <c r="H813" s="1">
        <f t="shared" si="64"/>
        <v>7.8922934076137414</v>
      </c>
      <c r="I813" s="23">
        <v>956</v>
      </c>
      <c r="J813" s="9">
        <f>(F813*1000)/I813</f>
        <v>4861.9246861924685</v>
      </c>
      <c r="K813" s="11">
        <v>2</v>
      </c>
      <c r="L813" s="11">
        <v>1</v>
      </c>
      <c r="M813" s="11">
        <v>4</v>
      </c>
    </row>
    <row r="814" spans="1:13" x14ac:dyDescent="0.25">
      <c r="A814" s="2">
        <f t="shared" si="63"/>
        <v>808</v>
      </c>
      <c r="B814" s="2">
        <v>203599</v>
      </c>
      <c r="C814" t="s">
        <v>1370</v>
      </c>
      <c r="D814" t="s">
        <v>1371</v>
      </c>
      <c r="E814" t="s">
        <v>60</v>
      </c>
      <c r="F814" s="9">
        <v>3806</v>
      </c>
      <c r="G814" s="9">
        <v>3541</v>
      </c>
      <c r="H814" s="1">
        <f t="shared" si="64"/>
        <v>7.4837616492516235</v>
      </c>
      <c r="I814" s="31" t="s">
        <v>119</v>
      </c>
      <c r="J814" s="10" t="s">
        <v>119</v>
      </c>
      <c r="K814" s="11">
        <v>4</v>
      </c>
      <c r="L814" s="11">
        <v>2</v>
      </c>
      <c r="M814" s="11">
        <v>1</v>
      </c>
    </row>
    <row r="815" spans="1:13" x14ac:dyDescent="0.25">
      <c r="A815" s="2">
        <f t="shared" si="63"/>
        <v>809</v>
      </c>
      <c r="B815" s="2">
        <v>232450</v>
      </c>
      <c r="C815" t="s">
        <v>1372</v>
      </c>
      <c r="D815" t="s">
        <v>1373</v>
      </c>
      <c r="E815" t="s">
        <v>52</v>
      </c>
      <c r="F815" s="9">
        <v>3662</v>
      </c>
      <c r="G815" s="9">
        <v>4664</v>
      </c>
      <c r="H815" s="1">
        <f t="shared" si="64"/>
        <v>-21.483704974271014</v>
      </c>
      <c r="I815" s="31" t="s">
        <v>119</v>
      </c>
      <c r="J815" s="10" t="s">
        <v>119</v>
      </c>
      <c r="K815" s="11">
        <v>4</v>
      </c>
      <c r="L815" s="11">
        <v>2</v>
      </c>
      <c r="M815" s="11">
        <v>1</v>
      </c>
    </row>
    <row r="816" spans="1:13" x14ac:dyDescent="0.25">
      <c r="A816" s="2">
        <f t="shared" si="63"/>
        <v>810</v>
      </c>
      <c r="B816" s="25" t="s">
        <v>119</v>
      </c>
      <c r="C816" s="16" t="s">
        <v>1374</v>
      </c>
      <c r="D816" s="16" t="s">
        <v>28</v>
      </c>
      <c r="E816" s="16" t="s">
        <v>29</v>
      </c>
      <c r="F816" s="26">
        <v>3199</v>
      </c>
      <c r="G816" s="26">
        <v>3341</v>
      </c>
      <c r="H816" s="27">
        <f t="shared" si="64"/>
        <v>-4.2502244836875187</v>
      </c>
      <c r="I816" s="34" t="s">
        <v>119</v>
      </c>
      <c r="J816" s="25" t="s">
        <v>119</v>
      </c>
      <c r="K816" s="25" t="s">
        <v>119</v>
      </c>
      <c r="L816" s="25" t="s">
        <v>119</v>
      </c>
      <c r="M816" s="25" t="s">
        <v>119</v>
      </c>
    </row>
    <row r="819" spans="1:13" x14ac:dyDescent="0.25">
      <c r="C819" t="s">
        <v>1399</v>
      </c>
      <c r="F819" s="14">
        <v>770766</v>
      </c>
      <c r="G819" s="14">
        <v>708751</v>
      </c>
      <c r="H819" s="27">
        <f t="shared" ref="H819:H820" si="65">((F819-G819)/G819)*100</f>
        <v>8.7498994710413118</v>
      </c>
      <c r="J819" s="9">
        <v>143053</v>
      </c>
    </row>
    <row r="820" spans="1:13" x14ac:dyDescent="0.25">
      <c r="C820" t="s">
        <v>1400</v>
      </c>
      <c r="F820" s="14">
        <v>142094</v>
      </c>
      <c r="G820" s="14">
        <v>133800</v>
      </c>
      <c r="H820" s="27">
        <f t="shared" si="65"/>
        <v>6.1988041853512703</v>
      </c>
      <c r="J820" s="9">
        <v>41760</v>
      </c>
    </row>
    <row r="821" spans="1:13" ht="15.75" thickBot="1" x14ac:dyDescent="0.3">
      <c r="A821" s="15"/>
      <c r="B821" s="15"/>
      <c r="C821" s="15"/>
      <c r="D821" s="15"/>
      <c r="E821" s="15"/>
      <c r="F821" s="15"/>
      <c r="G821" s="15"/>
      <c r="H821" s="15"/>
      <c r="I821" s="15"/>
      <c r="J821" s="15"/>
      <c r="K821" s="15"/>
      <c r="L821" s="15"/>
      <c r="M821" s="15"/>
    </row>
    <row r="822" spans="1:13" ht="15.75" thickTop="1" x14ac:dyDescent="0.25"/>
    <row r="823" spans="1:13" x14ac:dyDescent="0.25">
      <c r="A823" s="16" t="s">
        <v>1484</v>
      </c>
      <c r="B823" s="16"/>
      <c r="C823" s="16"/>
      <c r="D823" s="16"/>
      <c r="E823" s="16"/>
      <c r="F823" s="16"/>
      <c r="G823" s="16"/>
    </row>
    <row r="824" spans="1:13" x14ac:dyDescent="0.25">
      <c r="A824" s="16"/>
      <c r="B824" s="16"/>
      <c r="C824" s="16"/>
      <c r="D824" s="16"/>
      <c r="E824" s="16"/>
      <c r="F824" s="16"/>
      <c r="G824" s="16"/>
    </row>
    <row r="825" spans="1:13" x14ac:dyDescent="0.25">
      <c r="A825" s="16"/>
      <c r="B825" s="16"/>
      <c r="C825" s="16"/>
      <c r="D825" s="16"/>
      <c r="E825" s="16"/>
      <c r="F825" s="16"/>
      <c r="G825" s="16"/>
    </row>
    <row r="826" spans="1:13" x14ac:dyDescent="0.25">
      <c r="A826" s="17" t="s">
        <v>1401</v>
      </c>
      <c r="B826" s="16"/>
      <c r="C826" s="16"/>
      <c r="D826" s="16"/>
      <c r="E826" s="16"/>
      <c r="F826" s="16"/>
      <c r="G826" s="16"/>
    </row>
    <row r="827" spans="1:13" x14ac:dyDescent="0.25">
      <c r="A827" s="17"/>
      <c r="B827" s="16"/>
      <c r="C827" s="16"/>
      <c r="D827" s="16"/>
      <c r="E827" s="16"/>
      <c r="F827" s="16"/>
      <c r="G827" s="16"/>
    </row>
    <row r="828" spans="1:13" x14ac:dyDescent="0.25">
      <c r="A828" t="s">
        <v>1402</v>
      </c>
    </row>
    <row r="830" spans="1:13" ht="17.25" x14ac:dyDescent="0.25">
      <c r="A830" s="18" t="s">
        <v>1432</v>
      </c>
      <c r="B830" s="19"/>
      <c r="C830" s="19"/>
      <c r="D830" s="19"/>
      <c r="E830" s="19"/>
      <c r="F830" s="19"/>
      <c r="G830" s="19"/>
      <c r="H830" s="19"/>
      <c r="I830" s="19"/>
      <c r="J830" s="19"/>
    </row>
    <row r="831" spans="1:13" x14ac:dyDescent="0.25">
      <c r="A831" s="18" t="s">
        <v>1403</v>
      </c>
      <c r="B831" s="19"/>
      <c r="C831" s="19"/>
      <c r="D831" s="19"/>
      <c r="E831" s="19"/>
      <c r="F831" s="19"/>
      <c r="G831" s="19"/>
      <c r="H831" s="19"/>
      <c r="I831" s="19"/>
      <c r="J831" s="19"/>
    </row>
    <row r="832" spans="1:13" x14ac:dyDescent="0.25">
      <c r="A832" s="18"/>
      <c r="B832" s="19"/>
      <c r="C832" s="19"/>
      <c r="D832" s="19"/>
      <c r="E832" s="19"/>
      <c r="F832" s="19"/>
      <c r="G832" s="19"/>
      <c r="H832" s="19"/>
      <c r="I832" s="19"/>
      <c r="J832" s="19"/>
    </row>
    <row r="833" spans="1:10" ht="17.25" x14ac:dyDescent="0.25">
      <c r="A833" s="18" t="s">
        <v>1482</v>
      </c>
      <c r="B833" s="19"/>
      <c r="C833" s="19"/>
      <c r="D833" s="19"/>
      <c r="E833" s="19"/>
      <c r="F833" s="19"/>
      <c r="G833" s="19"/>
      <c r="H833" s="19"/>
      <c r="I833" s="19"/>
      <c r="J833" s="19"/>
    </row>
    <row r="834" spans="1:10" x14ac:dyDescent="0.25">
      <c r="A834" s="18" t="s">
        <v>1404</v>
      </c>
      <c r="B834" s="19"/>
      <c r="C834" s="19"/>
      <c r="D834" s="19"/>
      <c r="E834" s="19"/>
      <c r="F834" s="19"/>
      <c r="G834" s="19"/>
      <c r="H834" s="19"/>
      <c r="I834" s="19"/>
      <c r="J834" s="19"/>
    </row>
    <row r="835" spans="1:10" x14ac:dyDescent="0.25">
      <c r="A835" s="18" t="s">
        <v>1405</v>
      </c>
      <c r="B835" s="19"/>
      <c r="C835" s="19"/>
      <c r="D835" s="19"/>
      <c r="E835" s="19"/>
      <c r="F835" s="19"/>
      <c r="G835" s="19"/>
      <c r="H835" s="19"/>
      <c r="I835" s="19"/>
      <c r="J835" s="19"/>
    </row>
    <row r="836" spans="1:10" x14ac:dyDescent="0.25">
      <c r="A836" s="18" t="s">
        <v>1406</v>
      </c>
      <c r="B836" s="19"/>
      <c r="C836" s="19"/>
      <c r="D836" s="19"/>
      <c r="E836" s="19"/>
      <c r="F836" s="19"/>
      <c r="G836" s="19"/>
      <c r="H836" s="19"/>
      <c r="I836" s="19"/>
      <c r="J836" s="19"/>
    </row>
    <row r="837" spans="1:10" x14ac:dyDescent="0.25">
      <c r="A837" s="18" t="s">
        <v>1407</v>
      </c>
      <c r="B837" s="19"/>
      <c r="C837" s="19"/>
      <c r="D837" s="19"/>
      <c r="E837" s="19"/>
      <c r="F837" s="19"/>
      <c r="G837" s="19"/>
      <c r="H837" s="19"/>
      <c r="I837" s="19"/>
      <c r="J837" s="19"/>
    </row>
    <row r="838" spans="1:10" x14ac:dyDescent="0.25">
      <c r="A838" s="18" t="s">
        <v>1408</v>
      </c>
      <c r="B838" s="19"/>
      <c r="C838" s="19"/>
      <c r="D838" s="19"/>
      <c r="E838" s="19"/>
      <c r="F838" s="19"/>
      <c r="G838" s="19"/>
      <c r="H838" s="19"/>
      <c r="I838" s="19"/>
      <c r="J838" s="19"/>
    </row>
    <row r="839" spans="1:10" x14ac:dyDescent="0.25">
      <c r="A839" s="20" t="s">
        <v>1409</v>
      </c>
      <c r="B839" s="21"/>
      <c r="C839" s="21"/>
      <c r="D839" s="21"/>
      <c r="E839" s="21"/>
      <c r="F839" s="21"/>
      <c r="G839" s="21"/>
      <c r="H839" s="21"/>
      <c r="I839" s="21"/>
      <c r="J839" s="21"/>
    </row>
    <row r="840" spans="1:10" x14ac:dyDescent="0.25">
      <c r="A840" s="18"/>
      <c r="B840" s="19"/>
      <c r="C840" s="19"/>
      <c r="D840" s="19"/>
      <c r="E840" s="19"/>
      <c r="F840" s="19"/>
      <c r="G840" s="19"/>
      <c r="H840" s="19"/>
      <c r="I840" s="19"/>
      <c r="J840" s="19"/>
    </row>
    <row r="841" spans="1:10" ht="17.25" x14ac:dyDescent="0.25">
      <c r="A841" s="18" t="s">
        <v>1433</v>
      </c>
      <c r="B841" s="19"/>
      <c r="C841" s="19"/>
      <c r="D841" s="19"/>
      <c r="E841" s="19"/>
      <c r="F841" s="19"/>
      <c r="G841" s="19"/>
      <c r="H841" s="19"/>
      <c r="I841" s="19"/>
      <c r="J841" s="19"/>
    </row>
    <row r="842" spans="1:10" x14ac:dyDescent="0.25">
      <c r="A842" s="18"/>
      <c r="B842" s="19"/>
      <c r="C842" s="19"/>
      <c r="D842" s="19"/>
      <c r="E842" s="19"/>
      <c r="F842" s="19"/>
      <c r="G842" s="19"/>
      <c r="H842" s="19"/>
      <c r="I842" s="19"/>
      <c r="J842" s="19"/>
    </row>
    <row r="843" spans="1:10" ht="17.25" x14ac:dyDescent="0.25">
      <c r="A843" s="18" t="s">
        <v>1410</v>
      </c>
      <c r="B843" s="19"/>
      <c r="C843" s="19"/>
      <c r="D843" s="19"/>
      <c r="E843" s="19"/>
      <c r="F843" s="19"/>
      <c r="G843" s="19"/>
      <c r="H843" s="19"/>
      <c r="I843" s="19"/>
      <c r="J843" s="19"/>
    </row>
    <row r="844" spans="1:10" x14ac:dyDescent="0.25">
      <c r="A844" s="18" t="s">
        <v>1411</v>
      </c>
      <c r="B844" s="19"/>
      <c r="C844" s="19"/>
      <c r="D844" s="19"/>
      <c r="E844" s="19"/>
      <c r="F844" s="19"/>
      <c r="G844" s="19"/>
      <c r="H844" s="19"/>
      <c r="I844" s="19"/>
      <c r="J844" s="19"/>
    </row>
    <row r="845" spans="1:10" x14ac:dyDescent="0.25">
      <c r="H845" s="19"/>
      <c r="I845" s="19"/>
      <c r="J845" s="19"/>
    </row>
    <row r="846" spans="1:10" x14ac:dyDescent="0.25">
      <c r="A846" s="18"/>
      <c r="B846" s="19"/>
      <c r="C846" s="19"/>
      <c r="D846" s="19"/>
      <c r="E846" s="19"/>
      <c r="F846" s="19"/>
      <c r="G846" s="19"/>
      <c r="H846" s="19"/>
      <c r="I846" s="19"/>
      <c r="J846" s="19"/>
    </row>
    <row r="847" spans="1:10" ht="17.25" x14ac:dyDescent="0.25">
      <c r="A847" s="18" t="s">
        <v>1412</v>
      </c>
      <c r="B847" s="19"/>
      <c r="C847" s="19"/>
      <c r="D847" s="19"/>
      <c r="E847" s="19"/>
      <c r="F847" s="19"/>
      <c r="G847" s="19"/>
      <c r="H847" s="19"/>
      <c r="I847" s="19"/>
      <c r="J847" s="19"/>
    </row>
    <row r="848" spans="1:10" x14ac:dyDescent="0.25">
      <c r="A848" s="18" t="s">
        <v>1413</v>
      </c>
      <c r="B848" s="19"/>
      <c r="C848" s="19"/>
      <c r="D848" s="19"/>
      <c r="E848" s="19"/>
      <c r="F848" s="19"/>
      <c r="G848" s="19"/>
      <c r="H848" s="19"/>
      <c r="I848" s="19"/>
      <c r="J848" s="19"/>
    </row>
    <row r="849" spans="1:10" x14ac:dyDescent="0.25">
      <c r="A849" s="18" t="s">
        <v>1434</v>
      </c>
      <c r="B849" s="19"/>
      <c r="C849" s="19"/>
      <c r="D849" s="19"/>
      <c r="E849" s="19"/>
      <c r="F849" s="19"/>
      <c r="G849" s="19"/>
      <c r="H849" s="19"/>
      <c r="I849" s="19"/>
      <c r="J849" s="19"/>
    </row>
    <row r="850" spans="1:10" x14ac:dyDescent="0.25">
      <c r="A850" s="18"/>
      <c r="B850" s="19"/>
      <c r="C850" s="19"/>
      <c r="D850" s="19"/>
      <c r="E850" s="19"/>
      <c r="F850" s="19"/>
      <c r="G850" s="19"/>
      <c r="H850" s="19"/>
      <c r="I850" s="19"/>
      <c r="J850" s="19"/>
    </row>
    <row r="851" spans="1:10" ht="17.25" x14ac:dyDescent="0.25">
      <c r="A851" s="18" t="s">
        <v>1414</v>
      </c>
      <c r="B851" s="19"/>
      <c r="C851" s="19"/>
      <c r="D851" s="19"/>
      <c r="E851" s="19"/>
      <c r="F851" s="19"/>
      <c r="G851" s="19"/>
      <c r="H851" s="19"/>
      <c r="I851" s="19"/>
      <c r="J851" s="19"/>
    </row>
    <row r="852" spans="1:10" x14ac:dyDescent="0.25">
      <c r="A852" s="18" t="s">
        <v>1415</v>
      </c>
      <c r="B852" s="19"/>
      <c r="C852" s="19"/>
      <c r="D852" s="19"/>
      <c r="E852" s="19"/>
      <c r="F852" s="19"/>
      <c r="G852" s="19"/>
      <c r="H852" s="19"/>
      <c r="I852" s="19"/>
      <c r="J852" s="19"/>
    </row>
    <row r="853" spans="1:10" x14ac:dyDescent="0.25">
      <c r="A853" s="18" t="s">
        <v>1416</v>
      </c>
      <c r="B853" s="19"/>
      <c r="C853" s="19"/>
      <c r="D853" s="19"/>
      <c r="E853" s="19"/>
      <c r="F853" s="19"/>
      <c r="G853" s="19"/>
      <c r="H853" s="19"/>
      <c r="I853" s="19"/>
      <c r="J853" s="19"/>
    </row>
    <row r="854" spans="1:10" x14ac:dyDescent="0.25">
      <c r="A854" s="18" t="s">
        <v>1417</v>
      </c>
      <c r="B854" s="19"/>
      <c r="C854" s="19"/>
      <c r="D854" s="19"/>
      <c r="E854" s="19"/>
      <c r="F854" s="19"/>
      <c r="G854" s="19"/>
      <c r="H854" s="19"/>
      <c r="I854" s="19"/>
      <c r="J854" s="19"/>
    </row>
    <row r="855" spans="1:10" x14ac:dyDescent="0.25">
      <c r="A855" s="18" t="s">
        <v>1418</v>
      </c>
      <c r="B855" s="19"/>
      <c r="C855" s="19"/>
      <c r="D855" s="19"/>
      <c r="E855" s="19"/>
      <c r="F855" s="19"/>
      <c r="G855" s="19"/>
      <c r="H855" s="19"/>
      <c r="I855" s="19"/>
      <c r="J855" s="19"/>
    </row>
    <row r="856" spans="1:10" x14ac:dyDescent="0.25">
      <c r="A856" s="18" t="s">
        <v>1419</v>
      </c>
      <c r="B856" s="19"/>
      <c r="C856" s="19"/>
      <c r="D856" s="19"/>
      <c r="E856" s="19"/>
      <c r="F856" s="19"/>
      <c r="G856" s="19"/>
      <c r="H856" s="19"/>
      <c r="I856" s="19"/>
      <c r="J856" s="19"/>
    </row>
    <row r="857" spans="1:10" x14ac:dyDescent="0.25">
      <c r="A857" s="18"/>
      <c r="B857" s="19"/>
      <c r="C857" s="19"/>
      <c r="D857" s="19"/>
      <c r="E857" s="19"/>
      <c r="F857" s="19"/>
      <c r="G857" s="19"/>
      <c r="H857" s="19"/>
      <c r="I857" s="19"/>
      <c r="J857" s="19"/>
    </row>
    <row r="858" spans="1:10" ht="17.25" x14ac:dyDescent="0.25">
      <c r="A858" s="18" t="s">
        <v>1420</v>
      </c>
      <c r="B858" s="19"/>
      <c r="C858" s="19"/>
      <c r="D858" s="19"/>
      <c r="E858" s="19"/>
      <c r="F858" s="19"/>
      <c r="G858" s="19"/>
      <c r="H858" s="19"/>
      <c r="I858" s="19"/>
      <c r="J858" s="19"/>
    </row>
    <row r="859" spans="1:10" x14ac:dyDescent="0.25">
      <c r="A859" s="18" t="s">
        <v>1421</v>
      </c>
      <c r="B859" s="19"/>
      <c r="C859" s="19"/>
      <c r="D859" s="19"/>
      <c r="E859" s="19"/>
      <c r="F859" s="19"/>
      <c r="G859" s="19"/>
      <c r="H859" s="19"/>
      <c r="I859" s="19"/>
      <c r="J859" s="19"/>
    </row>
    <row r="860" spans="1:10" x14ac:dyDescent="0.25">
      <c r="A860" s="18" t="s">
        <v>1422</v>
      </c>
      <c r="B860" s="19"/>
      <c r="C860" s="19"/>
      <c r="D860" s="19"/>
      <c r="E860" s="19"/>
      <c r="F860" s="19"/>
      <c r="G860" s="19"/>
      <c r="H860" s="19"/>
      <c r="I860" s="19"/>
      <c r="J860" s="19"/>
    </row>
    <row r="861" spans="1:10" x14ac:dyDescent="0.25">
      <c r="A861" s="18" t="s">
        <v>1423</v>
      </c>
      <c r="B861" s="19"/>
      <c r="C861" s="19"/>
      <c r="D861" s="19"/>
      <c r="E861" s="19"/>
      <c r="F861" s="19"/>
      <c r="G861" s="19"/>
      <c r="H861" s="19"/>
      <c r="I861" s="19"/>
      <c r="J861" s="19"/>
    </row>
    <row r="862" spans="1:10" x14ac:dyDescent="0.25">
      <c r="A862" s="18" t="s">
        <v>1424</v>
      </c>
      <c r="B862" s="19"/>
      <c r="C862" s="19"/>
      <c r="D862" s="19"/>
      <c r="E862" s="19"/>
      <c r="F862" s="19"/>
      <c r="G862" s="19"/>
      <c r="H862" s="19"/>
      <c r="I862" s="19"/>
      <c r="J862" s="19"/>
    </row>
    <row r="863" spans="1:10" x14ac:dyDescent="0.25">
      <c r="A863" s="18" t="s">
        <v>1425</v>
      </c>
      <c r="B863" s="19"/>
      <c r="C863" s="19"/>
      <c r="D863" s="19"/>
      <c r="E863" s="19"/>
      <c r="F863" s="19"/>
      <c r="G863" s="19"/>
      <c r="H863" s="19"/>
      <c r="I863" s="19"/>
      <c r="J863" s="19"/>
    </row>
    <row r="864" spans="1:10" x14ac:dyDescent="0.25">
      <c r="A864" s="18" t="s">
        <v>1426</v>
      </c>
      <c r="B864" s="19"/>
      <c r="C864" s="19"/>
      <c r="D864" s="19"/>
      <c r="E864" s="19"/>
      <c r="F864" s="19"/>
      <c r="G864" s="19"/>
      <c r="H864" s="19"/>
      <c r="I864" s="19"/>
      <c r="J864" s="19"/>
    </row>
    <row r="866" spans="1:10" ht="17.25" x14ac:dyDescent="0.25">
      <c r="A866" s="18" t="s">
        <v>1435</v>
      </c>
      <c r="B866" s="19"/>
      <c r="C866" s="19"/>
      <c r="D866" s="19"/>
      <c r="E866" s="19"/>
      <c r="F866" s="19"/>
      <c r="G866" s="19"/>
      <c r="H866" s="19"/>
      <c r="I866" s="19"/>
      <c r="J866" s="19"/>
    </row>
    <row r="867" spans="1:10" ht="17.25" x14ac:dyDescent="0.25">
      <c r="A867" s="18" t="s">
        <v>1427</v>
      </c>
      <c r="B867" s="19"/>
      <c r="C867" s="19"/>
      <c r="D867" s="19"/>
      <c r="E867" s="19"/>
      <c r="F867" s="19"/>
      <c r="G867" s="19"/>
      <c r="H867" s="19"/>
      <c r="I867" s="19"/>
    </row>
    <row r="868" spans="1:10" ht="17.25" x14ac:dyDescent="0.25">
      <c r="A868" s="18" t="s">
        <v>1436</v>
      </c>
      <c r="B868" s="19"/>
      <c r="C868" s="19"/>
      <c r="D868" s="19"/>
      <c r="E868" s="19"/>
      <c r="F868" s="19"/>
      <c r="G868" s="19"/>
      <c r="H868" s="19"/>
      <c r="I868" s="19"/>
    </row>
    <row r="869" spans="1:10" ht="17.25" x14ac:dyDescent="0.25">
      <c r="A869" s="18" t="s">
        <v>1437</v>
      </c>
      <c r="B869" s="19"/>
      <c r="C869" s="19"/>
      <c r="D869" s="19"/>
      <c r="E869" s="19"/>
      <c r="F869" s="19"/>
      <c r="G869" s="19"/>
      <c r="H869" s="19"/>
      <c r="I869" s="19"/>
    </row>
    <row r="870" spans="1:10" ht="17.25" x14ac:dyDescent="0.25">
      <c r="A870" s="18" t="s">
        <v>1481</v>
      </c>
      <c r="B870" s="19"/>
      <c r="C870" s="19"/>
      <c r="D870" s="19"/>
      <c r="E870" s="19"/>
      <c r="F870" s="19"/>
      <c r="G870" s="19"/>
      <c r="H870" s="19"/>
      <c r="I870" s="19"/>
    </row>
    <row r="871" spans="1:10" ht="17.25" x14ac:dyDescent="0.25">
      <c r="A871" s="18" t="s">
        <v>1428</v>
      </c>
      <c r="B871" s="19"/>
      <c r="C871" s="19"/>
      <c r="D871" s="19"/>
      <c r="E871" s="19"/>
      <c r="F871" s="19"/>
      <c r="G871" s="19"/>
      <c r="H871" s="19"/>
      <c r="I871" s="19"/>
    </row>
    <row r="872" spans="1:10" ht="17.25" x14ac:dyDescent="0.25">
      <c r="A872" s="18" t="s">
        <v>1429</v>
      </c>
      <c r="B872" s="19"/>
      <c r="C872" s="19"/>
      <c r="D872" s="19"/>
      <c r="E872" s="19"/>
      <c r="F872" s="19"/>
      <c r="G872" s="19"/>
      <c r="H872" s="19"/>
      <c r="I872" s="19"/>
    </row>
    <row r="873" spans="1:10" ht="17.25" x14ac:dyDescent="0.25">
      <c r="A873" s="18" t="s">
        <v>1438</v>
      </c>
      <c r="B873" s="19"/>
      <c r="C873" s="19"/>
      <c r="D873" s="19"/>
      <c r="E873" s="19"/>
      <c r="F873" s="19"/>
      <c r="G873" s="19"/>
      <c r="H873" s="19"/>
      <c r="I873" s="19"/>
    </row>
    <row r="874" spans="1:10" ht="17.25" x14ac:dyDescent="0.25">
      <c r="A874" s="18" t="s">
        <v>1430</v>
      </c>
      <c r="B874" s="19"/>
      <c r="C874" s="19"/>
      <c r="D874" s="19"/>
      <c r="E874" s="19"/>
      <c r="F874" s="19"/>
      <c r="G874" s="19"/>
      <c r="H874" s="19"/>
      <c r="I874" s="19"/>
    </row>
    <row r="875" spans="1:10" ht="17.25" x14ac:dyDescent="0.25">
      <c r="A875" s="18" t="s">
        <v>1431</v>
      </c>
      <c r="B875" s="19"/>
      <c r="C875" s="19"/>
      <c r="D875" s="19"/>
      <c r="E875" s="19"/>
      <c r="F875" s="19"/>
      <c r="G875" s="19"/>
      <c r="H875" s="19"/>
      <c r="I875" s="19"/>
    </row>
    <row r="876" spans="1:10" ht="17.25" x14ac:dyDescent="0.25">
      <c r="A876" s="18" t="s">
        <v>1456</v>
      </c>
      <c r="B876" s="19"/>
      <c r="C876" s="19"/>
      <c r="D876" s="19"/>
      <c r="E876" s="19"/>
      <c r="F876" s="19"/>
      <c r="G876" s="19"/>
      <c r="H876" s="19"/>
      <c r="I876" s="19"/>
    </row>
    <row r="877" spans="1:10" ht="17.25" x14ac:dyDescent="0.25">
      <c r="A877" s="18" t="s">
        <v>1480</v>
      </c>
      <c r="B877" s="19"/>
      <c r="C877" s="19"/>
      <c r="D877" s="19"/>
      <c r="E877" s="19"/>
      <c r="F877" s="19"/>
      <c r="G877" s="19"/>
      <c r="H877" s="19"/>
      <c r="I877" s="19"/>
    </row>
    <row r="878" spans="1:10" ht="17.25" x14ac:dyDescent="0.25">
      <c r="A878" s="18" t="s">
        <v>1462</v>
      </c>
      <c r="B878" s="19"/>
      <c r="C878" s="19"/>
      <c r="D878" s="19"/>
      <c r="E878" s="19"/>
      <c r="F878" s="19"/>
      <c r="G878" s="19"/>
      <c r="H878" s="19"/>
      <c r="I878" s="19"/>
    </row>
    <row r="879" spans="1:10" ht="17.25" x14ac:dyDescent="0.25">
      <c r="A879" s="18" t="s">
        <v>1463</v>
      </c>
      <c r="B879" s="19"/>
      <c r="C879" s="19"/>
      <c r="D879" s="19"/>
      <c r="E879" s="19"/>
      <c r="F879" s="19"/>
      <c r="G879" s="19"/>
      <c r="H879" s="19"/>
      <c r="I879" s="19"/>
    </row>
    <row r="880" spans="1:10" ht="17.25" x14ac:dyDescent="0.25">
      <c r="A880" s="18" t="s">
        <v>1464</v>
      </c>
      <c r="B880" s="19"/>
      <c r="C880" s="19"/>
      <c r="D880" s="19"/>
      <c r="E880" s="18"/>
      <c r="F880" s="18"/>
      <c r="G880" s="22"/>
      <c r="H880" s="23"/>
      <c r="I880" s="23"/>
    </row>
    <row r="881" spans="1:9" ht="17.25" x14ac:dyDescent="0.25">
      <c r="A881" s="18" t="s">
        <v>1465</v>
      </c>
      <c r="B881" s="19"/>
      <c r="C881" s="19"/>
      <c r="D881" s="19"/>
      <c r="E881" s="18"/>
      <c r="F881" s="18"/>
      <c r="G881" s="22"/>
      <c r="H881" s="23"/>
      <c r="I881" s="23"/>
    </row>
    <row r="882" spans="1:9" ht="17.25" x14ac:dyDescent="0.25">
      <c r="A882" s="18" t="s">
        <v>1466</v>
      </c>
      <c r="B882" s="19"/>
      <c r="C882" s="19"/>
      <c r="D882" s="19"/>
      <c r="E882" s="18"/>
      <c r="F882" s="18"/>
      <c r="G882" s="22"/>
    </row>
  </sheetData>
  <sortState ref="A7:M816">
    <sortCondition ref="A100"/>
  </sortState>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2018 Endowment Market Values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Ken Redd</cp:lastModifiedBy>
  <dcterms:created xsi:type="dcterms:W3CDTF">2011-08-01T14:22:18Z</dcterms:created>
  <dcterms:modified xsi:type="dcterms:W3CDTF">2019-06-10T18:03:21Z</dcterms:modified>
</cp:coreProperties>
</file>