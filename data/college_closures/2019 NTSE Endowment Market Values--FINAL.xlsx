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P:\Policy and Research\Research\Endowment\2019 NTSE\Public Tables\Final Public Tables\"/>
    </mc:Choice>
  </mc:AlternateContent>
  <xr:revisionPtr revIDLastSave="0" documentId="13_ncr:1_{7C252FA1-0096-4BF7-BEB4-AF4D3CDCE9ED}" xr6:coauthVersionLast="44" xr6:coauthVersionMax="44" xr10:uidLastSave="{00000000-0000-0000-0000-000000000000}"/>
  <bookViews>
    <workbookView xWindow="28680" yWindow="1380" windowWidth="24240" windowHeight="13140" xr2:uid="{00000000-000D-0000-FFFF-FFFF00000000}"/>
  </bookViews>
  <sheets>
    <sheet name="2019 NTSE Endowment Market Valu"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797" i="1" l="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58" i="1"/>
  <c r="A273" i="1"/>
  <c r="A272" i="1"/>
  <c r="A271" i="1"/>
  <c r="A270" i="1"/>
  <c r="A269" i="1"/>
  <c r="A268" i="1"/>
  <c r="A267" i="1"/>
  <c r="A266" i="1"/>
  <c r="A265" i="1"/>
  <c r="A264" i="1"/>
  <c r="A263" i="1"/>
  <c r="A262" i="1"/>
  <c r="A261" i="1"/>
  <c r="A260" i="1"/>
  <c r="A259"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42" i="1"/>
  <c r="A54" i="1"/>
  <c r="A53" i="1"/>
  <c r="A52" i="1"/>
  <c r="A51" i="1"/>
  <c r="A50" i="1"/>
  <c r="A49" i="1"/>
  <c r="A48" i="1"/>
  <c r="A47" i="1"/>
  <c r="A46" i="1"/>
  <c r="A45" i="1"/>
  <c r="A44" i="1"/>
  <c r="A43"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J800" i="1" l="1"/>
  <c r="J799" i="1"/>
</calcChain>
</file>

<file path=xl/sharedStrings.xml><?xml version="1.0" encoding="utf-8"?>
<sst xmlns="http://schemas.openxmlformats.org/spreadsheetml/2006/main" count="3297" uniqueCount="1457">
  <si>
    <t>Harvard University</t>
  </si>
  <si>
    <t>Boston</t>
  </si>
  <si>
    <t>MA</t>
  </si>
  <si>
    <t>Private college/university endowment</t>
  </si>
  <si>
    <t>The University of Texas System</t>
  </si>
  <si>
    <t>Austin</t>
  </si>
  <si>
    <t>TX</t>
  </si>
  <si>
    <t>Public college, university, or system fund</t>
  </si>
  <si>
    <t>Yale University</t>
  </si>
  <si>
    <t>New Haven</t>
  </si>
  <si>
    <t>CT</t>
  </si>
  <si>
    <t>Stanford University</t>
  </si>
  <si>
    <t>CA</t>
  </si>
  <si>
    <t>The Trustees of Princeton University</t>
  </si>
  <si>
    <t>Princeton</t>
  </si>
  <si>
    <t>NJ</t>
  </si>
  <si>
    <t>Massachusetts Institute of Technology</t>
  </si>
  <si>
    <t>Camrbidge</t>
  </si>
  <si>
    <t>University of Pennsylvania</t>
  </si>
  <si>
    <t>Philadelphia</t>
  </si>
  <si>
    <t>PA</t>
  </si>
  <si>
    <t>College Station</t>
  </si>
  <si>
    <t>University of Michigan</t>
  </si>
  <si>
    <t>Ann Arbor</t>
  </si>
  <si>
    <t>MI</t>
  </si>
  <si>
    <t>University of Notre Dame</t>
  </si>
  <si>
    <t>South Bend</t>
  </si>
  <si>
    <t>IN</t>
  </si>
  <si>
    <t>Northwestern University</t>
  </si>
  <si>
    <t>Evanston</t>
  </si>
  <si>
    <t>IL</t>
  </si>
  <si>
    <t>Oakland</t>
  </si>
  <si>
    <t>Columbia University in the City of New York</t>
  </si>
  <si>
    <t>NY</t>
  </si>
  <si>
    <t>DUMAC, Inc. (Duke University)</t>
  </si>
  <si>
    <t>Durham</t>
  </si>
  <si>
    <t>NC</t>
  </si>
  <si>
    <t>The University of Chicago</t>
  </si>
  <si>
    <t>Chicago</t>
  </si>
  <si>
    <t>Washington University in St. Louis</t>
  </si>
  <si>
    <t>St. Louis</t>
  </si>
  <si>
    <t>MO</t>
  </si>
  <si>
    <t>Emory University</t>
  </si>
  <si>
    <t>Atlanta</t>
  </si>
  <si>
    <t>GA</t>
  </si>
  <si>
    <t>Cornell University</t>
  </si>
  <si>
    <t>New York</t>
  </si>
  <si>
    <t>University of Virginia</t>
  </si>
  <si>
    <t>Charlottesville</t>
  </si>
  <si>
    <t>VA</t>
  </si>
  <si>
    <t>Rice University</t>
  </si>
  <si>
    <t>Houston</t>
  </si>
  <si>
    <t>Johns Hopkins University</t>
  </si>
  <si>
    <t>Baltimore</t>
  </si>
  <si>
    <t>MD</t>
  </si>
  <si>
    <t>The Vanderbilt University</t>
  </si>
  <si>
    <t>Nashville</t>
  </si>
  <si>
    <t>TN</t>
  </si>
  <si>
    <t>University of Southern California</t>
  </si>
  <si>
    <t>Los Angeles</t>
  </si>
  <si>
    <t>Dartmouth College</t>
  </si>
  <si>
    <t>The Ohio State University</t>
  </si>
  <si>
    <t>Columbus</t>
  </si>
  <si>
    <t>OH</t>
  </si>
  <si>
    <t>University Park</t>
  </si>
  <si>
    <t>University of Pittsburgh</t>
  </si>
  <si>
    <t>Pittsburgh</t>
  </si>
  <si>
    <t>Brown University</t>
  </si>
  <si>
    <t>Providence</t>
  </si>
  <si>
    <t>RI</t>
  </si>
  <si>
    <t>University of North Carolina at Chapel Hill and Foundations</t>
  </si>
  <si>
    <t>Chapel Hill</t>
  </si>
  <si>
    <t>University of Wisconsin Foundation</t>
  </si>
  <si>
    <t>Madison</t>
  </si>
  <si>
    <t>WI</t>
  </si>
  <si>
    <t>Institutionally-related foundation (IRF)</t>
  </si>
  <si>
    <t>Michigan State University</t>
  </si>
  <si>
    <t>East Lansing</t>
  </si>
  <si>
    <t>California Institute of Technology</t>
  </si>
  <si>
    <t>Pasadena</t>
  </si>
  <si>
    <t>University of Washington</t>
  </si>
  <si>
    <t>Seattle</t>
  </si>
  <si>
    <t>WA</t>
  </si>
  <si>
    <t>The President and Trustees of Williams College</t>
  </si>
  <si>
    <t>UCLA Foundation</t>
  </si>
  <si>
    <t>Purdue University</t>
  </si>
  <si>
    <t>West Lafayette</t>
  </si>
  <si>
    <t>Combined endowment/foundation</t>
  </si>
  <si>
    <t>Trustees of Boston College</t>
  </si>
  <si>
    <t>Chestnut Hill</t>
  </si>
  <si>
    <t>University of Richmond</t>
  </si>
  <si>
    <t>Richmond</t>
  </si>
  <si>
    <t>Indiana University and Foundation</t>
  </si>
  <si>
    <t>Bloomington</t>
  </si>
  <si>
    <t>Minneapolis</t>
  </si>
  <si>
    <t>MN</t>
  </si>
  <si>
    <t>Amherst College</t>
  </si>
  <si>
    <t>Amherst</t>
  </si>
  <si>
    <t>Pomona College</t>
  </si>
  <si>
    <t>Claremont</t>
  </si>
  <si>
    <t>Boston University</t>
  </si>
  <si>
    <t>The Rockefeller University</t>
  </si>
  <si>
    <t>University of Rochester</t>
  </si>
  <si>
    <t>Pittsford</t>
  </si>
  <si>
    <t>Wellesley College</t>
  </si>
  <si>
    <t>Wellesley</t>
  </si>
  <si>
    <t>Georgia Institute of Technology</t>
  </si>
  <si>
    <t>Swarthmore College</t>
  </si>
  <si>
    <t>Swarthmore</t>
  </si>
  <si>
    <t>University of California, Berkeley Foundation</t>
  </si>
  <si>
    <t>San Francisco</t>
  </si>
  <si>
    <t>Trustees of Grinnell College</t>
  </si>
  <si>
    <t>Grinnell</t>
  </si>
  <si>
    <t>IA</t>
  </si>
  <si>
    <t>Virginia Commonwealth University</t>
  </si>
  <si>
    <t>University of Toronto</t>
  </si>
  <si>
    <t>Toronto</t>
  </si>
  <si>
    <t>ON</t>
  </si>
  <si>
    <t>Smith College</t>
  </si>
  <si>
    <t>Northampton</t>
  </si>
  <si>
    <t>Tufts University</t>
  </si>
  <si>
    <t>Somerville</t>
  </si>
  <si>
    <t>Case Western Reserve University</t>
  </si>
  <si>
    <t>Cleveland</t>
  </si>
  <si>
    <t>University of California San Francisco Foundation</t>
  </si>
  <si>
    <t>University of Florida Foundation, Inc.</t>
  </si>
  <si>
    <t>Gainesville</t>
  </si>
  <si>
    <t>FL</t>
  </si>
  <si>
    <t>Georgetown University</t>
  </si>
  <si>
    <t>Washington</t>
  </si>
  <si>
    <t>DC</t>
  </si>
  <si>
    <t>The Kansas University Endowment Association</t>
  </si>
  <si>
    <t>Lawrence</t>
  </si>
  <si>
    <t>KS</t>
  </si>
  <si>
    <t>The George Washington University</t>
  </si>
  <si>
    <t>Bowdoin College</t>
  </si>
  <si>
    <t>Brunswick</t>
  </si>
  <si>
    <t>ME</t>
  </si>
  <si>
    <t>Texas Christian University</t>
  </si>
  <si>
    <t>Ft. Worth</t>
  </si>
  <si>
    <t>Washington and Lee University</t>
  </si>
  <si>
    <t>Lexington</t>
  </si>
  <si>
    <t>Southern Methodist University</t>
  </si>
  <si>
    <t>Dallas</t>
  </si>
  <si>
    <t>Liberty University</t>
  </si>
  <si>
    <t>Lynchburg</t>
  </si>
  <si>
    <t>University of Iowa &amp; University of Iowa Center for Advancement</t>
  </si>
  <si>
    <t>Iowa City</t>
  </si>
  <si>
    <t>The Board of Trustees of The University of Alabama</t>
  </si>
  <si>
    <t>Tuscaloosa</t>
  </si>
  <si>
    <t>AL</t>
  </si>
  <si>
    <t>Rutgers, the State University of New Jersey</t>
  </si>
  <si>
    <t>Piscataway</t>
  </si>
  <si>
    <t>University of Delaware</t>
  </si>
  <si>
    <t>Newark</t>
  </si>
  <si>
    <t>DE</t>
  </si>
  <si>
    <t>University of Colorado Foundation</t>
  </si>
  <si>
    <t>Denver</t>
  </si>
  <si>
    <t>CO</t>
  </si>
  <si>
    <t>University System of Maryland Foundation</t>
  </si>
  <si>
    <t>Adelphi</t>
  </si>
  <si>
    <t>University of Nebraska Board of Regents</t>
  </si>
  <si>
    <t>Lincoln</t>
  </si>
  <si>
    <t>NE</t>
  </si>
  <si>
    <t>Tulane University</t>
  </si>
  <si>
    <t>New Orleans</t>
  </si>
  <si>
    <t>LA</t>
  </si>
  <si>
    <t>Lehigh University</t>
  </si>
  <si>
    <t>Bethlehem</t>
  </si>
  <si>
    <t>University of Kentucky</t>
  </si>
  <si>
    <t>KY</t>
  </si>
  <si>
    <t>NC State University and Related Foundations</t>
  </si>
  <si>
    <t>Raleigh</t>
  </si>
  <si>
    <t>Syracuse University</t>
  </si>
  <si>
    <t>Syracuse</t>
  </si>
  <si>
    <t>Wake Forest University</t>
  </si>
  <si>
    <t>Winston Salem</t>
  </si>
  <si>
    <t>University of Cincinnati</t>
  </si>
  <si>
    <t>Cincinnati</t>
  </si>
  <si>
    <t>Virginia Tech Foundation</t>
  </si>
  <si>
    <t>Blacksburg</t>
  </si>
  <si>
    <t>The University of Tennessee</t>
  </si>
  <si>
    <t>Knoxville</t>
  </si>
  <si>
    <t>The University of Georgia and Related Foundations</t>
  </si>
  <si>
    <t>Athens</t>
  </si>
  <si>
    <t>Baylor University</t>
  </si>
  <si>
    <t>Waco</t>
  </si>
  <si>
    <t>The University of British Columbia</t>
  </si>
  <si>
    <t>Vancouver</t>
  </si>
  <si>
    <t>BC</t>
  </si>
  <si>
    <t>Texas Tech University System</t>
  </si>
  <si>
    <t>Baylor College of Medicine</t>
  </si>
  <si>
    <t>McGill University</t>
  </si>
  <si>
    <t>Montreal</t>
  </si>
  <si>
    <t>QC</t>
  </si>
  <si>
    <t>Trinity University</t>
  </si>
  <si>
    <t>San Antonio</t>
  </si>
  <si>
    <t>Saint Louis University</t>
  </si>
  <si>
    <t>Saint Louis</t>
  </si>
  <si>
    <t>The University of Utah</t>
  </si>
  <si>
    <t>Salt Lake City</t>
  </si>
  <si>
    <t>UT</t>
  </si>
  <si>
    <t>University of Arkansas, Fayetteville, and Foundation</t>
  </si>
  <si>
    <t>Fayetteville</t>
  </si>
  <si>
    <t>AR</t>
  </si>
  <si>
    <t>Berea College</t>
  </si>
  <si>
    <t>Berea</t>
  </si>
  <si>
    <t>Middlebury College</t>
  </si>
  <si>
    <t>Middlebury</t>
  </si>
  <si>
    <t>VT</t>
  </si>
  <si>
    <t>Princeton Theological Seminary</t>
  </si>
  <si>
    <t>Vassar College</t>
  </si>
  <si>
    <t>Poughkeepsie</t>
  </si>
  <si>
    <t>University of Tulsa</t>
  </si>
  <si>
    <t>Tulsa</t>
  </si>
  <si>
    <t>OK</t>
  </si>
  <si>
    <t>Iowa State University of Science and Technology</t>
  </si>
  <si>
    <t>Ames</t>
  </si>
  <si>
    <t>Loma Linda University</t>
  </si>
  <si>
    <t>Loma Linda</t>
  </si>
  <si>
    <t>Brandeis University</t>
  </si>
  <si>
    <t>Washington State University</t>
  </si>
  <si>
    <t>Pullman</t>
  </si>
  <si>
    <t>Berry College, Inc.</t>
  </si>
  <si>
    <t>Mount Berry</t>
  </si>
  <si>
    <t>Northeastern University</t>
  </si>
  <si>
    <t>The University of Arizona and the University of Arizona Foundation</t>
  </si>
  <si>
    <t>Tucson</t>
  </si>
  <si>
    <t>AZ</t>
  </si>
  <si>
    <t>University of California, Irvine Foundation</t>
  </si>
  <si>
    <t>Irvine</t>
  </si>
  <si>
    <t>Santa Clara University</t>
  </si>
  <si>
    <t>Santa Clara</t>
  </si>
  <si>
    <t>Wesleyan University</t>
  </si>
  <si>
    <t>Middletown</t>
  </si>
  <si>
    <t>Coral Gables</t>
  </si>
  <si>
    <t>William &amp; Mary and Foundations</t>
  </si>
  <si>
    <t>Williamsburg</t>
  </si>
  <si>
    <t>Hamilton College</t>
  </si>
  <si>
    <t>Clinton</t>
  </si>
  <si>
    <t>Carnegie Institution of Washington</t>
  </si>
  <si>
    <t>University of Houston System</t>
  </si>
  <si>
    <t>Colgate University</t>
  </si>
  <si>
    <t>Hamilton</t>
  </si>
  <si>
    <t>Rochester Institute of Technology</t>
  </si>
  <si>
    <t>Rochester</t>
  </si>
  <si>
    <t>Oberlin College</t>
  </si>
  <si>
    <t>Oberlin</t>
  </si>
  <si>
    <t>The Medical College of Wisconsin, Inc.</t>
  </si>
  <si>
    <t>Milwaukee</t>
  </si>
  <si>
    <t>Arizona State University &amp; Foundation</t>
  </si>
  <si>
    <t>Tempe</t>
  </si>
  <si>
    <t>Bryn Mawr College</t>
  </si>
  <si>
    <t>Bryn Mawr</t>
  </si>
  <si>
    <t>Carleton College</t>
  </si>
  <si>
    <t>Northfield</t>
  </si>
  <si>
    <t>Pepperdine University</t>
  </si>
  <si>
    <t>Malibu</t>
  </si>
  <si>
    <t>Baton Rouge</t>
  </si>
  <si>
    <t>Davidson College</t>
  </si>
  <si>
    <t>Davidson</t>
  </si>
  <si>
    <t>University of Massachusetts Foundation, Inc.</t>
  </si>
  <si>
    <t>Portland</t>
  </si>
  <si>
    <t>OR</t>
  </si>
  <si>
    <t>Denison University</t>
  </si>
  <si>
    <t>Granville</t>
  </si>
  <si>
    <t>The President and Trustees of Colby College</t>
  </si>
  <si>
    <t>Waterville</t>
  </si>
  <si>
    <t>Queen's University</t>
  </si>
  <si>
    <t>Kingston</t>
  </si>
  <si>
    <t>Bucknell University</t>
  </si>
  <si>
    <t>Lewisburg</t>
  </si>
  <si>
    <t>Claremont McKenna College</t>
  </si>
  <si>
    <t>Lafayette College</t>
  </si>
  <si>
    <t>Drexel University</t>
  </si>
  <si>
    <t>University at Buffalo Foundation</t>
  </si>
  <si>
    <t>Buffalo</t>
  </si>
  <si>
    <t>Mount Holyoke College</t>
  </si>
  <si>
    <t>South Hadley</t>
  </si>
  <si>
    <t>Auburn University and Foundation</t>
  </si>
  <si>
    <t>Auburn</t>
  </si>
  <si>
    <t>UC San Diego Foundation</t>
  </si>
  <si>
    <t>La Jolla</t>
  </si>
  <si>
    <t>University of South Carolina System and Affiliated Foundations</t>
  </si>
  <si>
    <t>Columbia</t>
  </si>
  <si>
    <t>SC</t>
  </si>
  <si>
    <t>Colorado Seminary dba University of Denver</t>
  </si>
  <si>
    <t>College of the Holy Cross</t>
  </si>
  <si>
    <t>Worcester</t>
  </si>
  <si>
    <t>Clemson University Foundation</t>
  </si>
  <si>
    <t>Clemson</t>
  </si>
  <si>
    <t>Macalester College</t>
  </si>
  <si>
    <t>St. Paul</t>
  </si>
  <si>
    <t>American University of Beirut</t>
  </si>
  <si>
    <t>Colorado College</t>
  </si>
  <si>
    <t>Colorado Spgs</t>
  </si>
  <si>
    <t>Villanova University</t>
  </si>
  <si>
    <t>Villanova</t>
  </si>
  <si>
    <t>Oklahoma State Regents for Higher Education</t>
  </si>
  <si>
    <t>Oklahoma City</t>
  </si>
  <si>
    <t>Queens</t>
  </si>
  <si>
    <t>Rensselaer Polytechnic Institute</t>
  </si>
  <si>
    <t>Troy</t>
  </si>
  <si>
    <t>The University of Mississippi Foundation</t>
  </si>
  <si>
    <t>Oxford</t>
  </si>
  <si>
    <t>MS</t>
  </si>
  <si>
    <t>Fordham University</t>
  </si>
  <si>
    <t>Bronx</t>
  </si>
  <si>
    <t>DePauw University</t>
  </si>
  <si>
    <t>Greencastle</t>
  </si>
  <si>
    <t>American University</t>
  </si>
  <si>
    <t>University of Louisville Foundation, Inc.</t>
  </si>
  <si>
    <t>Louisville</t>
  </si>
  <si>
    <t>The Principia Corporation</t>
  </si>
  <si>
    <t>Florida State University Foundation</t>
  </si>
  <si>
    <t>Tallahassee</t>
  </si>
  <si>
    <t>Marquette University</t>
  </si>
  <si>
    <t>DePaul University</t>
  </si>
  <si>
    <t>Furman University</t>
  </si>
  <si>
    <t>Greenville</t>
  </si>
  <si>
    <t>Howard University</t>
  </si>
  <si>
    <t>Loyola University of Chicago</t>
  </si>
  <si>
    <t>Yeshiva University</t>
  </si>
  <si>
    <t>Temple University</t>
  </si>
  <si>
    <t>Trinity College</t>
  </si>
  <si>
    <t>Hartfrd</t>
  </si>
  <si>
    <t>Oregon State University Foundation</t>
  </si>
  <si>
    <t>Corvallis</t>
  </si>
  <si>
    <t>Hofstra University</t>
  </si>
  <si>
    <t>Hempstead</t>
  </si>
  <si>
    <t>Rush University Medical Center</t>
  </si>
  <si>
    <t>University of Dayton</t>
  </si>
  <si>
    <t>Dayton</t>
  </si>
  <si>
    <t>University of Wisconsin System Office of Trust Funds</t>
  </si>
  <si>
    <t>The University of Western Ontario</t>
  </si>
  <si>
    <t>London</t>
  </si>
  <si>
    <t>WVU Foundation, Inc.</t>
  </si>
  <si>
    <t>Morgantown</t>
  </si>
  <si>
    <t>WV</t>
  </si>
  <si>
    <t>Creighton University</t>
  </si>
  <si>
    <t>Omaha</t>
  </si>
  <si>
    <t>Ohio University and The Ohio University Foundation</t>
  </si>
  <si>
    <t>Reed College</t>
  </si>
  <si>
    <t>Concord</t>
  </si>
  <si>
    <t>NH</t>
  </si>
  <si>
    <t>Whitman College</t>
  </si>
  <si>
    <t>Walla Walla</t>
  </si>
  <si>
    <t>Miami University</t>
  </si>
  <si>
    <t>Quinnipiac University</t>
  </si>
  <si>
    <t>Hamden</t>
  </si>
  <si>
    <t>National Academy of Sciences</t>
  </si>
  <si>
    <t>University of San Diego</t>
  </si>
  <si>
    <t>San Diego</t>
  </si>
  <si>
    <t>St. Olaf College</t>
  </si>
  <si>
    <t>Lebanese American University</t>
  </si>
  <si>
    <t>University of St. Thomas</t>
  </si>
  <si>
    <t>American University at Cairo</t>
  </si>
  <si>
    <t>Cairo</t>
  </si>
  <si>
    <t>Egypt</t>
  </si>
  <si>
    <t>Haverford College</t>
  </si>
  <si>
    <t>Haverford</t>
  </si>
  <si>
    <t>Worcester Polytechnic Institute</t>
  </si>
  <si>
    <t>Whitehead Institute for Biomedical Research</t>
  </si>
  <si>
    <t>Cambridge</t>
  </si>
  <si>
    <t>Mississippi State University &amp; Foundation</t>
  </si>
  <si>
    <t>Mississippi State</t>
  </si>
  <si>
    <t>University of Wyoming Foundation</t>
  </si>
  <si>
    <t>Laramie</t>
  </si>
  <si>
    <t>WY</t>
  </si>
  <si>
    <t>University of South Florida Foundation, Inc.</t>
  </si>
  <si>
    <t>Tampa</t>
  </si>
  <si>
    <t>VMI Foundation Inc</t>
  </si>
  <si>
    <t>LEXINGOTN</t>
  </si>
  <si>
    <t>Kansas State University Foundation</t>
  </si>
  <si>
    <t>Manhattan</t>
  </si>
  <si>
    <t>Dalhousie University</t>
  </si>
  <si>
    <t>Halifax</t>
  </si>
  <si>
    <t>NS</t>
  </si>
  <si>
    <t>Urbana</t>
  </si>
  <si>
    <t>Wheaton College (IL)</t>
  </si>
  <si>
    <t>Wheaton</t>
  </si>
  <si>
    <t>MCV Foundation</t>
  </si>
  <si>
    <t>Miami Dade College</t>
  </si>
  <si>
    <t>Miami</t>
  </si>
  <si>
    <t>Duquesne University of the Holy Spirit</t>
  </si>
  <si>
    <t>UC Davis Foundation</t>
  </si>
  <si>
    <t>Davis</t>
  </si>
  <si>
    <t>College of the Ozarks</t>
  </si>
  <si>
    <t>Point Lookout</t>
  </si>
  <si>
    <t>Union College</t>
  </si>
  <si>
    <t>Schenectady</t>
  </si>
  <si>
    <t>University of the Pacific</t>
  </si>
  <si>
    <t>Stockton</t>
  </si>
  <si>
    <t>University of Connecticut and Foundations</t>
  </si>
  <si>
    <t>Storrs</t>
  </si>
  <si>
    <t>Babson College</t>
  </si>
  <si>
    <t>Babson Park</t>
  </si>
  <si>
    <t>University of New Mexico Foundation</t>
  </si>
  <si>
    <t>Albuquerque</t>
  </si>
  <si>
    <t>NM</t>
  </si>
  <si>
    <t>Dickinson College</t>
  </si>
  <si>
    <t>Carlisle</t>
  </si>
  <si>
    <t>The University of Toledo Foundation</t>
  </si>
  <si>
    <t>Toledo</t>
  </si>
  <si>
    <t>Abilene</t>
  </si>
  <si>
    <t>Occidental College</t>
  </si>
  <si>
    <t>Clark University</t>
  </si>
  <si>
    <t>Kenyon College</t>
  </si>
  <si>
    <t>Gambier</t>
  </si>
  <si>
    <t>Earlham College</t>
  </si>
  <si>
    <t>Philadelphia College of Osteopathic Medicine</t>
  </si>
  <si>
    <t>Orange</t>
  </si>
  <si>
    <t>The University of the South</t>
  </si>
  <si>
    <t>Sewanee</t>
  </si>
  <si>
    <t>Western Michigan University Foundation</t>
  </si>
  <si>
    <t>Kalamazoo</t>
  </si>
  <si>
    <t>Simon Fraser University</t>
  </si>
  <si>
    <t>Burnaby</t>
  </si>
  <si>
    <t>Utah State University</t>
  </si>
  <si>
    <t>Logan</t>
  </si>
  <si>
    <t>University of San Francisco</t>
  </si>
  <si>
    <t>The New School</t>
  </si>
  <si>
    <t>Wayne State University Foundation</t>
  </si>
  <si>
    <t>Detroit</t>
  </si>
  <si>
    <t>Spelman College</t>
  </si>
  <si>
    <t>Skidmore College</t>
  </si>
  <si>
    <t>Saratoga Springs</t>
  </si>
  <si>
    <t>University of South Alabama Foundation</t>
  </si>
  <si>
    <t>Mobile</t>
  </si>
  <si>
    <t>The University of Puget Sound</t>
  </si>
  <si>
    <t>Tacoma</t>
  </si>
  <si>
    <t>Rollins College</t>
  </si>
  <si>
    <t>Winter Park</t>
  </si>
  <si>
    <t>Reno</t>
  </si>
  <si>
    <t>NV</t>
  </si>
  <si>
    <t>Brookings Institution</t>
  </si>
  <si>
    <t>Colorado State University Foundation</t>
  </si>
  <si>
    <t>Fort Collins</t>
  </si>
  <si>
    <t>Medical University of South Carolina Foundation</t>
  </si>
  <si>
    <t>Charleston</t>
  </si>
  <si>
    <t>Scripps College</t>
  </si>
  <si>
    <t>Fairfield University</t>
  </si>
  <si>
    <t>Fairfield</t>
  </si>
  <si>
    <t>Michigan State University Foundation</t>
  </si>
  <si>
    <t>University of Alaska Foundation</t>
  </si>
  <si>
    <t>Fairbanks</t>
  </si>
  <si>
    <t>AK</t>
  </si>
  <si>
    <t>Barnard College</t>
  </si>
  <si>
    <t>Berklee College of Music, Incorporated</t>
  </si>
  <si>
    <t>Lawrence University of Wisconsin</t>
  </si>
  <si>
    <t>Appleton</t>
  </si>
  <si>
    <t>Franklin &amp; Marshall College</t>
  </si>
  <si>
    <t>Lancaster</t>
  </si>
  <si>
    <t>University of Victoria Foundation</t>
  </si>
  <si>
    <t>Victoria</t>
  </si>
  <si>
    <t>San Diego State University</t>
  </si>
  <si>
    <t>Rhodes College</t>
  </si>
  <si>
    <t>Memphis</t>
  </si>
  <si>
    <t>Rhode Island School of Design</t>
  </si>
  <si>
    <t>Ithaca College</t>
  </si>
  <si>
    <t>Ithaca</t>
  </si>
  <si>
    <t>Teachers College, Columbia University</t>
  </si>
  <si>
    <t>Wabash College</t>
  </si>
  <si>
    <t>Crawfordsville</t>
  </si>
  <si>
    <t>SUNY, Stony Brook Foundation</t>
  </si>
  <si>
    <t>Stony Brook</t>
  </si>
  <si>
    <t>Gettysburg College</t>
  </si>
  <si>
    <t>Gettysburg</t>
  </si>
  <si>
    <t>Bates College</t>
  </si>
  <si>
    <t>Lewiston</t>
  </si>
  <si>
    <t>Centre College</t>
  </si>
  <si>
    <t>Danville</t>
  </si>
  <si>
    <t>The College of Wooster</t>
  </si>
  <si>
    <t>Wooster</t>
  </si>
  <si>
    <t>Harvey Mudd College</t>
  </si>
  <si>
    <t>University of Hawaii Foundation</t>
  </si>
  <si>
    <t>Honolulu</t>
  </si>
  <si>
    <t>HI</t>
  </si>
  <si>
    <t>Jewell Educational Fund</t>
  </si>
  <si>
    <t>Owosso</t>
  </si>
  <si>
    <t>Bradley University</t>
  </si>
  <si>
    <t>Peoria</t>
  </si>
  <si>
    <t>St. Lawrence University</t>
  </si>
  <si>
    <t>Canton</t>
  </si>
  <si>
    <t>The Citadel</t>
  </si>
  <si>
    <t>Connecticut College</t>
  </si>
  <si>
    <t>New London</t>
  </si>
  <si>
    <t>University of North Carolina at Greensboro Investment Fund</t>
  </si>
  <si>
    <t>Greensboro</t>
  </si>
  <si>
    <t>Southwestern University</t>
  </si>
  <si>
    <t>Georgetown</t>
  </si>
  <si>
    <t>Gonzaga University</t>
  </si>
  <si>
    <t>Spokane</t>
  </si>
  <si>
    <t>Saint Joseph's University</t>
  </si>
  <si>
    <t>West Point Association of Graduates</t>
  </si>
  <si>
    <t>West Point</t>
  </si>
  <si>
    <t>University of Nevada, Las Vegas Foundation (UNLV Foundation)</t>
  </si>
  <si>
    <t>Las Vegas</t>
  </si>
  <si>
    <t>University of Idaho Foundation, Inc.</t>
  </si>
  <si>
    <t>Moscow</t>
  </si>
  <si>
    <t>ID</t>
  </si>
  <si>
    <t>Colorado School of Mines Foundation</t>
  </si>
  <si>
    <t>Golden</t>
  </si>
  <si>
    <t>Muhlenberg College</t>
  </si>
  <si>
    <t>Allentown</t>
  </si>
  <si>
    <t>UND Alumni Association and Foundation</t>
  </si>
  <si>
    <t>Grand Forks</t>
  </si>
  <si>
    <t>ND</t>
  </si>
  <si>
    <t>Hampton University</t>
  </si>
  <si>
    <t>Hampton</t>
  </si>
  <si>
    <t>Youngstown State University Foundation</t>
  </si>
  <si>
    <t>Youngstown</t>
  </si>
  <si>
    <t>Wichita State University Foundation</t>
  </si>
  <si>
    <t>Wichita</t>
  </si>
  <si>
    <t>The Catholic University of America</t>
  </si>
  <si>
    <t>Elon University</t>
  </si>
  <si>
    <t>Elon</t>
  </si>
  <si>
    <t>The RAND Corporation</t>
  </si>
  <si>
    <t>Santa Monica</t>
  </si>
  <si>
    <t>Seton Hall University</t>
  </si>
  <si>
    <t>South Orange</t>
  </si>
  <si>
    <t>University of California Santa Barbara</t>
  </si>
  <si>
    <t>Santa Barbara</t>
  </si>
  <si>
    <t>Salem</t>
  </si>
  <si>
    <t>Norfolk</t>
  </si>
  <si>
    <t>Valparaiso University</t>
  </si>
  <si>
    <t>Valparaiso</t>
  </si>
  <si>
    <t>Suffolk University</t>
  </si>
  <si>
    <t>Mercy College</t>
  </si>
  <si>
    <t>Dobbs Ferry</t>
  </si>
  <si>
    <t>Stetson University, Inc.</t>
  </si>
  <si>
    <t>DeLand</t>
  </si>
  <si>
    <t>The Curtis Institute of Music</t>
  </si>
  <si>
    <t>Belmont University</t>
  </si>
  <si>
    <t>University of New Brunswick</t>
  </si>
  <si>
    <t>Fredericton</t>
  </si>
  <si>
    <t>NB</t>
  </si>
  <si>
    <t>Lewis &amp; Clark College</t>
  </si>
  <si>
    <t>University of South Dakota Foundation</t>
  </si>
  <si>
    <t>Vermillion</t>
  </si>
  <si>
    <t>Medical College of Georgia Foundation, Inc.</t>
  </si>
  <si>
    <t>Augusta</t>
  </si>
  <si>
    <t>Ohio Wesleyan University</t>
  </si>
  <si>
    <t>Delaware</t>
  </si>
  <si>
    <t>Kalamazoo College</t>
  </si>
  <si>
    <t>Long Island University</t>
  </si>
  <si>
    <t>Brookville</t>
  </si>
  <si>
    <t>Illinois Institute of Technology</t>
  </si>
  <si>
    <t>Washington College</t>
  </si>
  <si>
    <t>Chestertown</t>
  </si>
  <si>
    <t>The University of Akron Foundation</t>
  </si>
  <si>
    <t>Akron</t>
  </si>
  <si>
    <t>Providence College</t>
  </si>
  <si>
    <t>Loyola University Maryland Inc.</t>
  </si>
  <si>
    <t>Hope College</t>
  </si>
  <si>
    <t>Holland</t>
  </si>
  <si>
    <t>Rowan University</t>
  </si>
  <si>
    <t>Glassboro</t>
  </si>
  <si>
    <t>Allegheny College</t>
  </si>
  <si>
    <t>Meadville</t>
  </si>
  <si>
    <t>University of North Carolina at Charlotte</t>
  </si>
  <si>
    <t>Charlotte</t>
  </si>
  <si>
    <t>Hobart and William Smith Colleges</t>
  </si>
  <si>
    <t>Geneva</t>
  </si>
  <si>
    <t>Carleton University</t>
  </si>
  <si>
    <t>Ottawa</t>
  </si>
  <si>
    <t>Cal Poly</t>
  </si>
  <si>
    <t>San Luis Obispo</t>
  </si>
  <si>
    <t>Florida Atlantic University Foundation, Inc.</t>
  </si>
  <si>
    <t>Boca Raton</t>
  </si>
  <si>
    <t>University of Maine Foundation</t>
  </si>
  <si>
    <t>Orono</t>
  </si>
  <si>
    <t>North Dakota State University Foundation</t>
  </si>
  <si>
    <t>Fargo</t>
  </si>
  <si>
    <t>Drake University</t>
  </si>
  <si>
    <t>Des Moines</t>
  </si>
  <si>
    <t>University of Ottawa</t>
  </si>
  <si>
    <t>Columbia Theological Seminary</t>
  </si>
  <si>
    <t>Decatur</t>
  </si>
  <si>
    <t>Stevens Institute of Technology</t>
  </si>
  <si>
    <t>Hoboken</t>
  </si>
  <si>
    <t>John Carroll University</t>
  </si>
  <si>
    <t>University Heights</t>
  </si>
  <si>
    <t>Stonehill College, Inc.</t>
  </si>
  <si>
    <t>Easton</t>
  </si>
  <si>
    <t>Agnes Scott College</t>
  </si>
  <si>
    <t>Florida International University Foundation, Inc</t>
  </si>
  <si>
    <t>Pratt Institute</t>
  </si>
  <si>
    <t>Brooklyn</t>
  </si>
  <si>
    <t>Rose-Hulman Institute of Technology</t>
  </si>
  <si>
    <t>Terre Haute</t>
  </si>
  <si>
    <t>Wheaton College</t>
  </si>
  <si>
    <t>Norton</t>
  </si>
  <si>
    <t>Muncie</t>
  </si>
  <si>
    <t>East Carolina University</t>
  </si>
  <si>
    <t>Wofford College</t>
  </si>
  <si>
    <t>Spartanburg</t>
  </si>
  <si>
    <t>University of North Texas Foundation, Inc.</t>
  </si>
  <si>
    <t>Denton</t>
  </si>
  <si>
    <t>The University of Scranton</t>
  </si>
  <si>
    <t>Scranton</t>
  </si>
  <si>
    <t>Saint John's University</t>
  </si>
  <si>
    <t>Collegeville</t>
  </si>
  <si>
    <t>San Marcos</t>
  </si>
  <si>
    <t>Illinois Wesleyan University</t>
  </si>
  <si>
    <t>University of Montana Foundation</t>
  </si>
  <si>
    <t>Missoula</t>
  </si>
  <si>
    <t>MT</t>
  </si>
  <si>
    <t>Indiana Wesleyan University</t>
  </si>
  <si>
    <t>Marion</t>
  </si>
  <si>
    <t>Goucher College</t>
  </si>
  <si>
    <t>Gustavus Adolphus College</t>
  </si>
  <si>
    <t>Saint Peter</t>
  </si>
  <si>
    <t>Clarkson University</t>
  </si>
  <si>
    <t>Potsdam</t>
  </si>
  <si>
    <t>Saint Mary's College, Notre Dame IN</t>
  </si>
  <si>
    <t>Notre Dame</t>
  </si>
  <si>
    <t>Hendrix College</t>
  </si>
  <si>
    <t>Conway</t>
  </si>
  <si>
    <t>Xavier University</t>
  </si>
  <si>
    <t>St. Mary's University</t>
  </si>
  <si>
    <t>Mills College</t>
  </si>
  <si>
    <t>Simmons University</t>
  </si>
  <si>
    <t>Hardin-Simmons University</t>
  </si>
  <si>
    <t>Pace University</t>
  </si>
  <si>
    <t>Valhalla</t>
  </si>
  <si>
    <t>Northern Arizona University Foundation</t>
  </si>
  <si>
    <t>Flagstaff</t>
  </si>
  <si>
    <t>Transylvania University</t>
  </si>
  <si>
    <t>Central Michigan University</t>
  </si>
  <si>
    <t>Mount Pleasant</t>
  </si>
  <si>
    <t>Gallaudet University</t>
  </si>
  <si>
    <t>Lesley University</t>
  </si>
  <si>
    <t>Adelphi University</t>
  </si>
  <si>
    <t>Garden City</t>
  </si>
  <si>
    <t>Claremont Graduate University</t>
  </si>
  <si>
    <t>Bryant University</t>
  </si>
  <si>
    <t>Smithfield</t>
  </si>
  <si>
    <t>Drew University</t>
  </si>
  <si>
    <t>University of Hartford</t>
  </si>
  <si>
    <t>West Hartford</t>
  </si>
  <si>
    <t>Hollins University</t>
  </si>
  <si>
    <t>Roanoke</t>
  </si>
  <si>
    <t>New Mexico State University and New Mexico State University Foundation, Inc.</t>
  </si>
  <si>
    <t>Las Cruces</t>
  </si>
  <si>
    <t>University of Redlands</t>
  </si>
  <si>
    <t>Redlands</t>
  </si>
  <si>
    <t>Saint Mary's College of California</t>
  </si>
  <si>
    <t>Moraga</t>
  </si>
  <si>
    <t>Montana State University Foundation, Inc.</t>
  </si>
  <si>
    <t>Bozeman</t>
  </si>
  <si>
    <t>Baldwin Wallace University</t>
  </si>
  <si>
    <t>California Institute of the Arts</t>
  </si>
  <si>
    <t>Valencia</t>
  </si>
  <si>
    <t>Hampden-Sydney College</t>
  </si>
  <si>
    <t>Hampden-Sydney</t>
  </si>
  <si>
    <t>Georgia State University Foundation</t>
  </si>
  <si>
    <t>Sacred Heart University</t>
  </si>
  <si>
    <t>Calvin University</t>
  </si>
  <si>
    <t>Grand Rapids</t>
  </si>
  <si>
    <t>University of South Alabama</t>
  </si>
  <si>
    <t>Western Kentucky University and Foundations</t>
  </si>
  <si>
    <t>Bowling Green</t>
  </si>
  <si>
    <t>Susquehanna University</t>
  </si>
  <si>
    <t>Selinsgrove</t>
  </si>
  <si>
    <t>Augustana College</t>
  </si>
  <si>
    <t>Rock Island</t>
  </si>
  <si>
    <t>Midwestern University</t>
  </si>
  <si>
    <t>Downers Grove</t>
  </si>
  <si>
    <t>California State University Fresno Foundation</t>
  </si>
  <si>
    <t>Fresno</t>
  </si>
  <si>
    <t>Knox College</t>
  </si>
  <si>
    <t>Galesburg</t>
  </si>
  <si>
    <t>St. Ambrose University</t>
  </si>
  <si>
    <t>Davenport</t>
  </si>
  <si>
    <t>Columbia College</t>
  </si>
  <si>
    <t>Luther College</t>
  </si>
  <si>
    <t>Decorah</t>
  </si>
  <si>
    <t>Washburn University Foundation</t>
  </si>
  <si>
    <t>Topeka</t>
  </si>
  <si>
    <t>The University of Central Florida</t>
  </si>
  <si>
    <t>Orlando</t>
  </si>
  <si>
    <t>Mennonite Education Agency Investment Fund LLC</t>
  </si>
  <si>
    <t>Elkhart</t>
  </si>
  <si>
    <t>Saint Anselm College</t>
  </si>
  <si>
    <t>Manchester</t>
  </si>
  <si>
    <t>University of the Sciences in Philadelphia</t>
  </si>
  <si>
    <t>Embry-Riddle Aeronautical University, Inc.</t>
  </si>
  <si>
    <t>Daytona Beach</t>
  </si>
  <si>
    <t>Albion College</t>
  </si>
  <si>
    <t>Albion</t>
  </si>
  <si>
    <t>University of Dubuque</t>
  </si>
  <si>
    <t>Dubuque</t>
  </si>
  <si>
    <t>Ada</t>
  </si>
  <si>
    <t>Concordia Seminary, St. Louis</t>
  </si>
  <si>
    <t>Iona College</t>
  </si>
  <si>
    <t>New Rochelle</t>
  </si>
  <si>
    <t>Meharry Medical College</t>
  </si>
  <si>
    <t>Whitworth University</t>
  </si>
  <si>
    <t>San Jose State University and Tower Foundation</t>
  </si>
  <si>
    <t>San Jose</t>
  </si>
  <si>
    <t>Emmanuel College</t>
  </si>
  <si>
    <t>Harding University, Inc.</t>
  </si>
  <si>
    <t>Searcy</t>
  </si>
  <si>
    <t>Weber State University</t>
  </si>
  <si>
    <t>Ogden</t>
  </si>
  <si>
    <t>St. Norbert College</t>
  </si>
  <si>
    <t>De Pere</t>
  </si>
  <si>
    <t>Asbury Theological Seminary</t>
  </si>
  <si>
    <t>Wilmore</t>
  </si>
  <si>
    <t>Queens University of Charlotte</t>
  </si>
  <si>
    <t>Southern Illinois University Foundation</t>
  </si>
  <si>
    <t>Carbondale</t>
  </si>
  <si>
    <t>Austin College</t>
  </si>
  <si>
    <t>Sherman</t>
  </si>
  <si>
    <t>Bowling Green State University Foundation</t>
  </si>
  <si>
    <t>The University of Rhode Island Foundation &amp; Alumni Engagement</t>
  </si>
  <si>
    <t>Roanoke College</t>
  </si>
  <si>
    <t>Mount Allison University</t>
  </si>
  <si>
    <t>Sackville</t>
  </si>
  <si>
    <t>Hanover College</t>
  </si>
  <si>
    <t>Hanover</t>
  </si>
  <si>
    <t>St. Louis College of Pharmacy</t>
  </si>
  <si>
    <t>Illinois State University Foundation</t>
  </si>
  <si>
    <t>Normal</t>
  </si>
  <si>
    <t>Pitzer College</t>
  </si>
  <si>
    <t>Concordia College</t>
  </si>
  <si>
    <t>Moorhead</t>
  </si>
  <si>
    <t>University of the Incarnate Word</t>
  </si>
  <si>
    <t>Messiah College</t>
  </si>
  <si>
    <t>Mechanicsburg</t>
  </si>
  <si>
    <t>University of Chattanooga Foundation, Inc.</t>
  </si>
  <si>
    <t>Chattanooga</t>
  </si>
  <si>
    <t>Kent State University Foundation</t>
  </si>
  <si>
    <t>Kent</t>
  </si>
  <si>
    <t>University of Mount Union</t>
  </si>
  <si>
    <t>Alliance</t>
  </si>
  <si>
    <t>The Marshall University Foundation, Inc</t>
  </si>
  <si>
    <t>Huntington</t>
  </si>
  <si>
    <t>Webster University</t>
  </si>
  <si>
    <t>The Culinary Institute of America</t>
  </si>
  <si>
    <t>Hyde Park</t>
  </si>
  <si>
    <t>Alfred University</t>
  </si>
  <si>
    <t>Alfred</t>
  </si>
  <si>
    <t>University of Maine System</t>
  </si>
  <si>
    <t>San Francisco State University Foundation</t>
  </si>
  <si>
    <t>Indiana Institute of Technology, Inc.</t>
  </si>
  <si>
    <t>Fort Wayne</t>
  </si>
  <si>
    <t>Buena Vista University</t>
  </si>
  <si>
    <t>Storm Lake</t>
  </si>
  <si>
    <t>Washington &amp; Jefferson College</t>
  </si>
  <si>
    <t>McDaniel College</t>
  </si>
  <si>
    <t>Westminster</t>
  </si>
  <si>
    <t>South Dakota State University Foundation</t>
  </si>
  <si>
    <t>Brookings</t>
  </si>
  <si>
    <t>SD</t>
  </si>
  <si>
    <t>Grand Valley State University</t>
  </si>
  <si>
    <t>Allendale</t>
  </si>
  <si>
    <t>Ursinus College</t>
  </si>
  <si>
    <t>Oklahoma Baptist University</t>
  </si>
  <si>
    <t>Shawnee</t>
  </si>
  <si>
    <t>Illinois College</t>
  </si>
  <si>
    <t>Jacksonville</t>
  </si>
  <si>
    <t>New Jersey Institute of Technology</t>
  </si>
  <si>
    <t>Canisius College</t>
  </si>
  <si>
    <t>Troy University Foundation</t>
  </si>
  <si>
    <t>University of Northern Iowa Foundation</t>
  </si>
  <si>
    <t>Cedar Falls</t>
  </si>
  <si>
    <t>East Tennessee State University</t>
  </si>
  <si>
    <t>Johnson City</t>
  </si>
  <si>
    <t>John Brown University</t>
  </si>
  <si>
    <t>Siloam Springs</t>
  </si>
  <si>
    <t>Seattle Pacific University</t>
  </si>
  <si>
    <t>Roosevelt University</t>
  </si>
  <si>
    <t>Monmouth College</t>
  </si>
  <si>
    <t>Monmouth</t>
  </si>
  <si>
    <t>Juniata College</t>
  </si>
  <si>
    <t>Huntingdon</t>
  </si>
  <si>
    <t>The Foundation of the State University of New York at Binghamton, Inc.</t>
  </si>
  <si>
    <t>Binghamton</t>
  </si>
  <si>
    <t>Wittenberg University</t>
  </si>
  <si>
    <t>Springfield</t>
  </si>
  <si>
    <t>California State University, Northridge</t>
  </si>
  <si>
    <t>Northridge</t>
  </si>
  <si>
    <t>North Central College</t>
  </si>
  <si>
    <t>Naperville</t>
  </si>
  <si>
    <t>Sarah Lawrence College</t>
  </si>
  <si>
    <t>Bronxville</t>
  </si>
  <si>
    <t>Sam Houston State University</t>
  </si>
  <si>
    <t>Huntsville</t>
  </si>
  <si>
    <t>Westminster College</t>
  </si>
  <si>
    <t>New Wilmington</t>
  </si>
  <si>
    <t>University of North Florida</t>
  </si>
  <si>
    <t>Wentworth Institute of Technology</t>
  </si>
  <si>
    <t>University of the Ozarks</t>
  </si>
  <si>
    <t>Clarksville</t>
  </si>
  <si>
    <t>Boise State University Foundation, Inc.</t>
  </si>
  <si>
    <t>Boise</t>
  </si>
  <si>
    <t>Meredith College</t>
  </si>
  <si>
    <t>Fort Hays State University Foundation</t>
  </si>
  <si>
    <t>Hays</t>
  </si>
  <si>
    <t>Board of Trustees of Beloit College</t>
  </si>
  <si>
    <t>Beloit</t>
  </si>
  <si>
    <t>Doane University</t>
  </si>
  <si>
    <t>Crete</t>
  </si>
  <si>
    <t>Michigan Technological University</t>
  </si>
  <si>
    <t>Houghton</t>
  </si>
  <si>
    <t>Goshen College</t>
  </si>
  <si>
    <t>Goshen</t>
  </si>
  <si>
    <t>George Mason University Foundation, Inc.</t>
  </si>
  <si>
    <t>Fairfax</t>
  </si>
  <si>
    <t>University of Lynchburg</t>
  </si>
  <si>
    <t>Whittier College</t>
  </si>
  <si>
    <t>Whittier</t>
  </si>
  <si>
    <t>Union Theological Seminary</t>
  </si>
  <si>
    <t>Elmhurst College</t>
  </si>
  <si>
    <t>Elmhurst</t>
  </si>
  <si>
    <t>University of La Verne</t>
  </si>
  <si>
    <t>La Verne</t>
  </si>
  <si>
    <t>Carthage College</t>
  </si>
  <si>
    <t>Kenosha</t>
  </si>
  <si>
    <t>James Madison University Foundation, Inc.</t>
  </si>
  <si>
    <t>Harrisonburg</t>
  </si>
  <si>
    <t>Cottey College</t>
  </si>
  <si>
    <t>Nevada</t>
  </si>
  <si>
    <t>University of Indianapolis</t>
  </si>
  <si>
    <t>Indianapolis</t>
  </si>
  <si>
    <t>SUNY Health Science Center at Syracuse</t>
  </si>
  <si>
    <t>Luther Seminary</t>
  </si>
  <si>
    <t>California Lutheran University</t>
  </si>
  <si>
    <t>Thousand Oaks</t>
  </si>
  <si>
    <t>Linfield College</t>
  </si>
  <si>
    <t>McMinnville</t>
  </si>
  <si>
    <t>Eastern Virginia Medical School Foundation</t>
  </si>
  <si>
    <t>Manhattan College</t>
  </si>
  <si>
    <t>Monmouth University</t>
  </si>
  <si>
    <t>West Long Branch</t>
  </si>
  <si>
    <t>St. Edward's University</t>
  </si>
  <si>
    <t>Frederick</t>
  </si>
  <si>
    <t>Millikin University</t>
  </si>
  <si>
    <t>Capital University</t>
  </si>
  <si>
    <t>Middle Tennessee State University</t>
  </si>
  <si>
    <t>Murfreesboro</t>
  </si>
  <si>
    <t>Northern Kentucky University, Foundation, Inc.</t>
  </si>
  <si>
    <t>Highland Heights</t>
  </si>
  <si>
    <t>University of North Carolina at Wilmington</t>
  </si>
  <si>
    <t>Wilmington</t>
  </si>
  <si>
    <t>University of Southern Mississippi Foundation</t>
  </si>
  <si>
    <t>Hattiesburg</t>
  </si>
  <si>
    <t>Curry College</t>
  </si>
  <si>
    <t>Milton</t>
  </si>
  <si>
    <t>Noblis, Inc.</t>
  </si>
  <si>
    <t>Reston</t>
  </si>
  <si>
    <t>Assumption College</t>
  </si>
  <si>
    <t>California State Polytechnic University, Pomona</t>
  </si>
  <si>
    <t>Pomona</t>
  </si>
  <si>
    <t>Otterbein University</t>
  </si>
  <si>
    <t>Westerville</t>
  </si>
  <si>
    <t>Trustees of the Hamline University of Minnesota</t>
  </si>
  <si>
    <t>Saint Paul</t>
  </si>
  <si>
    <t>College of Charleston Foundation</t>
  </si>
  <si>
    <t>ArtCenter College of Design</t>
  </si>
  <si>
    <t>Oakland University</t>
  </si>
  <si>
    <t>Rochester Hills,</t>
  </si>
  <si>
    <t>Taylor University</t>
  </si>
  <si>
    <t>Upland</t>
  </si>
  <si>
    <t>Florida Agricultural and Mechanical University</t>
  </si>
  <si>
    <t>Northwood University</t>
  </si>
  <si>
    <t>Midland</t>
  </si>
  <si>
    <t>St. John Fisher College</t>
  </si>
  <si>
    <t>Niagara University</t>
  </si>
  <si>
    <t>Wright State University Foundation, Inc.</t>
  </si>
  <si>
    <t>Drury University</t>
  </si>
  <si>
    <t>Bridgewater College</t>
  </si>
  <si>
    <t>Bridgewater</t>
  </si>
  <si>
    <t>Endicott College</t>
  </si>
  <si>
    <t>Beverly</t>
  </si>
  <si>
    <t>McMurry University</t>
  </si>
  <si>
    <t>Texas Lutheran University</t>
  </si>
  <si>
    <t>Seguin</t>
  </si>
  <si>
    <t>Widener University</t>
  </si>
  <si>
    <t>Chester</t>
  </si>
  <si>
    <t>Maryland Institute College of Art</t>
  </si>
  <si>
    <t>Ripon College</t>
  </si>
  <si>
    <t>Ripon</t>
  </si>
  <si>
    <t>Chatham University</t>
  </si>
  <si>
    <t>Franklin University</t>
  </si>
  <si>
    <t>DeSales University</t>
  </si>
  <si>
    <t>Center Valley</t>
  </si>
  <si>
    <t>Fairleigh Dickinson University</t>
  </si>
  <si>
    <t>Teaneck</t>
  </si>
  <si>
    <t>Presbyterian College</t>
  </si>
  <si>
    <t>Lake Forest College</t>
  </si>
  <si>
    <t>Lake Forest</t>
  </si>
  <si>
    <t>Kettering University</t>
  </si>
  <si>
    <t>Flint</t>
  </si>
  <si>
    <t>University of Northern Colorado Foundation, Inc.</t>
  </si>
  <si>
    <t>Greeley</t>
  </si>
  <si>
    <t>Murray State University</t>
  </si>
  <si>
    <t>Murray</t>
  </si>
  <si>
    <t>Saint Michael's College</t>
  </si>
  <si>
    <t>Colchester</t>
  </si>
  <si>
    <t>Concordia University</t>
  </si>
  <si>
    <t>Mequon</t>
  </si>
  <si>
    <t>Western Carolina University</t>
  </si>
  <si>
    <t>Cullowhee</t>
  </si>
  <si>
    <t>Marietta College</t>
  </si>
  <si>
    <t>Marietta</t>
  </si>
  <si>
    <t>Florida Institute of Technology</t>
  </si>
  <si>
    <t>Melbourne</t>
  </si>
  <si>
    <t>Saginaw Valley State University Foundation</t>
  </si>
  <si>
    <t>University Center</t>
  </si>
  <si>
    <t>Franklin College</t>
  </si>
  <si>
    <t>Franklin</t>
  </si>
  <si>
    <t>Ferris State University</t>
  </si>
  <si>
    <t>Big Rapids</t>
  </si>
  <si>
    <t>Roger Williams University</t>
  </si>
  <si>
    <t>Bristol</t>
  </si>
  <si>
    <t>University of Evansville</t>
  </si>
  <si>
    <t>Evansville</t>
  </si>
  <si>
    <t>Palm Beach Atlantic University</t>
  </si>
  <si>
    <t>West Palm Beach</t>
  </si>
  <si>
    <t>Arkansas State University System Foundation, Inc.</t>
  </si>
  <si>
    <t>State University</t>
  </si>
  <si>
    <t>Lipscomb University</t>
  </si>
  <si>
    <t>Eastern Illinois University Foundation</t>
  </si>
  <si>
    <t>Westminster College of Salt Lake City</t>
  </si>
  <si>
    <t>Elizabethtown College</t>
  </si>
  <si>
    <t>Elizabethtown</t>
  </si>
  <si>
    <t>University of Arkansas Fort Smith Foundation</t>
  </si>
  <si>
    <t>Fort Smith</t>
  </si>
  <si>
    <t>College of Saint Benedict</t>
  </si>
  <si>
    <t>Saint Joseph</t>
  </si>
  <si>
    <t>Brite Divinity School</t>
  </si>
  <si>
    <t>Fort Worth</t>
  </si>
  <si>
    <t>New York Medical College</t>
  </si>
  <si>
    <t>Arcadia University</t>
  </si>
  <si>
    <t>Glenside</t>
  </si>
  <si>
    <t>University of Wisconsin - Eau Claire Foundation, Inc.</t>
  </si>
  <si>
    <t>Eau Claire</t>
  </si>
  <si>
    <t>Portland State University Foundation</t>
  </si>
  <si>
    <t>La Salle University</t>
  </si>
  <si>
    <t>Northern Illinois University Foundation</t>
  </si>
  <si>
    <t>DeKalb</t>
  </si>
  <si>
    <t>Texas Woman's University</t>
  </si>
  <si>
    <t>North Park University</t>
  </si>
  <si>
    <t>Montclair State University Foundation</t>
  </si>
  <si>
    <t>Montclair</t>
  </si>
  <si>
    <t>Muskingum University</t>
  </si>
  <si>
    <t>New Concord</t>
  </si>
  <si>
    <t>California State University, Long Beach 49er Foundation</t>
  </si>
  <si>
    <t>Long Beach</t>
  </si>
  <si>
    <t>Central College</t>
  </si>
  <si>
    <t>Pella</t>
  </si>
  <si>
    <t>Florida Southern College</t>
  </si>
  <si>
    <t>Lakeland</t>
  </si>
  <si>
    <t>Emporia State University Foundation, Inc.</t>
  </si>
  <si>
    <t>Emporia</t>
  </si>
  <si>
    <t>Westmont College</t>
  </si>
  <si>
    <t>Converse College</t>
  </si>
  <si>
    <t>Guilford College</t>
  </si>
  <si>
    <t>Eastern Michigan University Foundation</t>
  </si>
  <si>
    <t>Ypsilanti</t>
  </si>
  <si>
    <t>Reformed Theological Seminary</t>
  </si>
  <si>
    <t>Jackson</t>
  </si>
  <si>
    <t>McCormick Theological Seminary</t>
  </si>
  <si>
    <t>Springfield College</t>
  </si>
  <si>
    <t>Wagner College</t>
  </si>
  <si>
    <t>Staten Island</t>
  </si>
  <si>
    <t>Western Washington University Foundation</t>
  </si>
  <si>
    <t>Bellingham</t>
  </si>
  <si>
    <t>Foundation for California Community Colleges</t>
  </si>
  <si>
    <t>Sacramento</t>
  </si>
  <si>
    <t>Albright College</t>
  </si>
  <si>
    <t>Reading</t>
  </si>
  <si>
    <t>Hartwick College</t>
  </si>
  <si>
    <t>Oneonta</t>
  </si>
  <si>
    <t>Pittsburg State University Foundation, Inc.</t>
  </si>
  <si>
    <t>Pittsburg</t>
  </si>
  <si>
    <t>University of West Florida Foundation, Inc.</t>
  </si>
  <si>
    <t>Pensacola</t>
  </si>
  <si>
    <t>Cornell College</t>
  </si>
  <si>
    <t>Mount Vernon</t>
  </si>
  <si>
    <t>University at Albany Foundation</t>
  </si>
  <si>
    <t>Albany</t>
  </si>
  <si>
    <t>Valencia College Foundation</t>
  </si>
  <si>
    <t>St. Bonaventure University</t>
  </si>
  <si>
    <t>St. Bonaventure</t>
  </si>
  <si>
    <t>College of Central Florida Foundation, Inc.</t>
  </si>
  <si>
    <t>Ocala</t>
  </si>
  <si>
    <t>Lebanon Valley College</t>
  </si>
  <si>
    <t>Annville</t>
  </si>
  <si>
    <t>Foundation for the University of the Virgin Islands (FUVI)</t>
  </si>
  <si>
    <t>St Thomas</t>
  </si>
  <si>
    <t>VI</t>
  </si>
  <si>
    <t>Longwood University Foundation</t>
  </si>
  <si>
    <t>Farmville</t>
  </si>
  <si>
    <t>Nazareth College of Rochester</t>
  </si>
  <si>
    <t>Tennessee Tech University</t>
  </si>
  <si>
    <t>Cookeville</t>
  </si>
  <si>
    <t>Pacific University</t>
  </si>
  <si>
    <t>Forest Grove</t>
  </si>
  <si>
    <t>Carroll University</t>
  </si>
  <si>
    <t>Waukesha</t>
  </si>
  <si>
    <t>Flagler College, Inc.</t>
  </si>
  <si>
    <t>Saint Augustine</t>
  </si>
  <si>
    <t>Regis University</t>
  </si>
  <si>
    <t>Columbus State University Foundation, Inc.</t>
  </si>
  <si>
    <t>University of Detroit Mercy</t>
  </si>
  <si>
    <t>Eastern Kentucky University Foundation</t>
  </si>
  <si>
    <t>Cal State Fullerton Philanthropic Foundation</t>
  </si>
  <si>
    <t>Fullerton</t>
  </si>
  <si>
    <t>North Carolina A&amp;T State University and Foundation</t>
  </si>
  <si>
    <t>Clark College Foundation</t>
  </si>
  <si>
    <t>Shenandoah University</t>
  </si>
  <si>
    <t>Winchester</t>
  </si>
  <si>
    <t>Indiana State University Foundation, Inc.</t>
  </si>
  <si>
    <t>Keck Graduate Institute</t>
  </si>
  <si>
    <t>Rider University</t>
  </si>
  <si>
    <t>Lawrenceville</t>
  </si>
  <si>
    <t>Webb Institute</t>
  </si>
  <si>
    <t>Glen Cove</t>
  </si>
  <si>
    <t>Bellarmine University</t>
  </si>
  <si>
    <t>California Baptist University</t>
  </si>
  <si>
    <t>Riverside</t>
  </si>
  <si>
    <t>Gannon University</t>
  </si>
  <si>
    <t>Erie</t>
  </si>
  <si>
    <t>The University Foundation, California State University Chico</t>
  </si>
  <si>
    <t>Chico</t>
  </si>
  <si>
    <t>South Dakota School of Mines &amp; Technology Foundation</t>
  </si>
  <si>
    <t>Rapid City</t>
  </si>
  <si>
    <t>High Point University</t>
  </si>
  <si>
    <t>High Point</t>
  </si>
  <si>
    <t>Manchester University</t>
  </si>
  <si>
    <t>North Manchester</t>
  </si>
  <si>
    <t>Salve Regina University</t>
  </si>
  <si>
    <t>Newport</t>
  </si>
  <si>
    <t>Howard Payne University</t>
  </si>
  <si>
    <t>Brownwood</t>
  </si>
  <si>
    <t>Broward College Foundation, Inc.</t>
  </si>
  <si>
    <t>Fort Lauderdale</t>
  </si>
  <si>
    <t>Saint Mary's University of Minnesota</t>
  </si>
  <si>
    <t>Winona</t>
  </si>
  <si>
    <t>University of Northern British Columbia</t>
  </si>
  <si>
    <t>Prince George</t>
  </si>
  <si>
    <t>Tennessee State University Foundation</t>
  </si>
  <si>
    <t>Eckerd College</t>
  </si>
  <si>
    <t>Saint Petersburg</t>
  </si>
  <si>
    <t>Freed-Hardeman University</t>
  </si>
  <si>
    <t>Henderson</t>
  </si>
  <si>
    <t>Mount St Joseph University</t>
  </si>
  <si>
    <t>Texas Wesleyan University</t>
  </si>
  <si>
    <t>Palmer College of Chiropractic</t>
  </si>
  <si>
    <t>New York Chiropractic College</t>
  </si>
  <si>
    <t>Seneca Falls</t>
  </si>
  <si>
    <t>Minnesota State University Mankato Foundation Inc</t>
  </si>
  <si>
    <t>Mankato</t>
  </si>
  <si>
    <t>Winthrop University Foundation</t>
  </si>
  <si>
    <t>Rock Hill</t>
  </si>
  <si>
    <t>Virginia State University</t>
  </si>
  <si>
    <t>Petersburg</t>
  </si>
  <si>
    <t>Houghton College</t>
  </si>
  <si>
    <t>Northampton County Area Community College Foundation</t>
  </si>
  <si>
    <t>Minneapolis College of Art and Design</t>
  </si>
  <si>
    <t>Western New England University</t>
  </si>
  <si>
    <t>Georgia Southern University Foundation, Inc.</t>
  </si>
  <si>
    <t>Statesboro</t>
  </si>
  <si>
    <t>Radford University Foundation, Inc.</t>
  </si>
  <si>
    <t>Radford</t>
  </si>
  <si>
    <t>Salisbury University Foundation, Inc.</t>
  </si>
  <si>
    <t>Salisbury</t>
  </si>
  <si>
    <t>Viterbo University, Inc.</t>
  </si>
  <si>
    <t>La Crosse</t>
  </si>
  <si>
    <t>University of Mary Washington</t>
  </si>
  <si>
    <t>Fredericksburg</t>
  </si>
  <si>
    <t>Wilson College</t>
  </si>
  <si>
    <t>Chambersburg</t>
  </si>
  <si>
    <t>Georgian Court University</t>
  </si>
  <si>
    <t>Lakewood</t>
  </si>
  <si>
    <t>Misericordia University</t>
  </si>
  <si>
    <t>Maryville University</t>
  </si>
  <si>
    <t>Holy Names University</t>
  </si>
  <si>
    <t>Wilkes University</t>
  </si>
  <si>
    <t>Wilkes-Barre</t>
  </si>
  <si>
    <t>Ringling College of Art and Design, Inc.</t>
  </si>
  <si>
    <t>Sarasota</t>
  </si>
  <si>
    <t>University of North Carolina at Asheville</t>
  </si>
  <si>
    <t>Asheville</t>
  </si>
  <si>
    <t>Ferrum College</t>
  </si>
  <si>
    <t>Ferrum</t>
  </si>
  <si>
    <t>Friends University</t>
  </si>
  <si>
    <t>LaGrange College</t>
  </si>
  <si>
    <t>LaGrange</t>
  </si>
  <si>
    <t>Saint Francis University</t>
  </si>
  <si>
    <t>Loretto</t>
  </si>
  <si>
    <t>Sonoma State University Foundation</t>
  </si>
  <si>
    <t>Rohnert Park</t>
  </si>
  <si>
    <t>Heidelberg University</t>
  </si>
  <si>
    <t>Tiffin</t>
  </si>
  <si>
    <t>State University College at Oneonta</t>
  </si>
  <si>
    <t>Graduate Theological Union</t>
  </si>
  <si>
    <t>Berkeley</t>
  </si>
  <si>
    <t>Samuel Merritt University</t>
  </si>
  <si>
    <t>Warren Wilson College</t>
  </si>
  <si>
    <t>University Foundation at Sacramento State</t>
  </si>
  <si>
    <t>Gateway Seminary</t>
  </si>
  <si>
    <t>Ontario</t>
  </si>
  <si>
    <t>Augsburg University</t>
  </si>
  <si>
    <t>William Peace University</t>
  </si>
  <si>
    <t>University of Baltimore Foundation</t>
  </si>
  <si>
    <t>Winston-Salem State University and Foundation</t>
  </si>
  <si>
    <t>Winston-Salem</t>
  </si>
  <si>
    <t>Brenau University</t>
  </si>
  <si>
    <t>Bank Street College of Education</t>
  </si>
  <si>
    <t>Bloomsburg University Foundation</t>
  </si>
  <si>
    <t>Bloomsburg</t>
  </si>
  <si>
    <t>Salus University</t>
  </si>
  <si>
    <t>Elkins Park</t>
  </si>
  <si>
    <t>Alabama A&amp;M University</t>
  </si>
  <si>
    <t>Hartford Seminary Foundation</t>
  </si>
  <si>
    <t>Hartford</t>
  </si>
  <si>
    <t>SUNY Cortland College Foundation, Inc.</t>
  </si>
  <si>
    <t>Cortland</t>
  </si>
  <si>
    <t>McPherson College</t>
  </si>
  <si>
    <t>McPherson</t>
  </si>
  <si>
    <t>Golden Gate University</t>
  </si>
  <si>
    <t>Jacksonville University</t>
  </si>
  <si>
    <t>Erikson Institute</t>
  </si>
  <si>
    <t>Southern Adventist University</t>
  </si>
  <si>
    <t>Collegedale</t>
  </si>
  <si>
    <t>Morningside College</t>
  </si>
  <si>
    <t>Sioux City</t>
  </si>
  <si>
    <t>Lasell University</t>
  </si>
  <si>
    <t>Newton</t>
  </si>
  <si>
    <t>Coker University</t>
  </si>
  <si>
    <t>Hartsville</t>
  </si>
  <si>
    <t>Cleveland Institute of Music</t>
  </si>
  <si>
    <t>Barry University Inc.</t>
  </si>
  <si>
    <t>Miami Shores</t>
  </si>
  <si>
    <t>Carroll College</t>
  </si>
  <si>
    <t>Helena</t>
  </si>
  <si>
    <t>Bethany Lutheran College</t>
  </si>
  <si>
    <t>Mount Aloysius College</t>
  </si>
  <si>
    <t>Cresson</t>
  </si>
  <si>
    <t>Rust College</t>
  </si>
  <si>
    <t>Holly Springs</t>
  </si>
  <si>
    <t>Concordia University, St. Paul</t>
  </si>
  <si>
    <t>St Paul</t>
  </si>
  <si>
    <t>San Francisco Conservatory of Music</t>
  </si>
  <si>
    <t>Covenant College</t>
  </si>
  <si>
    <t>Lookout Mountain</t>
  </si>
  <si>
    <t>California State University Los Angeles Foundation</t>
  </si>
  <si>
    <t>University of Mary</t>
  </si>
  <si>
    <t>Bismarck</t>
  </si>
  <si>
    <t>Olivet University</t>
  </si>
  <si>
    <t>Bourbonnais</t>
  </si>
  <si>
    <t>Oswego College Foundation, Inc.</t>
  </si>
  <si>
    <t>Oswego</t>
  </si>
  <si>
    <t>Loras College</t>
  </si>
  <si>
    <t>Rivier University</t>
  </si>
  <si>
    <t>Nashua</t>
  </si>
  <si>
    <t>CSUSB PHILANTHROPIC FOUNDATION</t>
  </si>
  <si>
    <t>San Bernardino</t>
  </si>
  <si>
    <t>The University of Findlay</t>
  </si>
  <si>
    <t>Findlay</t>
  </si>
  <si>
    <t>Molloy College</t>
  </si>
  <si>
    <t>Rockville Centre</t>
  </si>
  <si>
    <t>Montana Tech Foundation</t>
  </si>
  <si>
    <t>Butte</t>
  </si>
  <si>
    <t>Marywood University</t>
  </si>
  <si>
    <t>Lorain County Community College Foundation</t>
  </si>
  <si>
    <t>Elyria</t>
  </si>
  <si>
    <t>Dominican University</t>
  </si>
  <si>
    <t>River Forest</t>
  </si>
  <si>
    <t>Colby-Sawyer College</t>
  </si>
  <si>
    <t>University of New England</t>
  </si>
  <si>
    <t>Biddeford</t>
  </si>
  <si>
    <t>SUNY Fredonia College Foundation</t>
  </si>
  <si>
    <t>Fredonia</t>
  </si>
  <si>
    <t>Northwest College Foundation</t>
  </si>
  <si>
    <t>Powell</t>
  </si>
  <si>
    <t>The Sage Colleges</t>
  </si>
  <si>
    <t>Clarion University Foundation, Inc.</t>
  </si>
  <si>
    <t>Clarion</t>
  </si>
  <si>
    <t>Robert Morris University</t>
  </si>
  <si>
    <t>Moon Township</t>
  </si>
  <si>
    <t>Shippensburg University Foundation</t>
  </si>
  <si>
    <t>Shippensburg</t>
  </si>
  <si>
    <t>Cedar Crest College</t>
  </si>
  <si>
    <t>Wisconsin Lutheran College</t>
  </si>
  <si>
    <t>Cedarville University</t>
  </si>
  <si>
    <t>Cedarville</t>
  </si>
  <si>
    <t>Rockhurst University</t>
  </si>
  <si>
    <t>Kansas City</t>
  </si>
  <si>
    <t>Broome Community College Foundation, Inc</t>
  </si>
  <si>
    <t>SUNY Potsdam College Foundation, Inc.</t>
  </si>
  <si>
    <t>National Louis University</t>
  </si>
  <si>
    <t>Wheeling</t>
  </si>
  <si>
    <t>California College of the Arts</t>
  </si>
  <si>
    <t>Notre Dame of Maryland University</t>
  </si>
  <si>
    <t>Cuesta College Foundation</t>
  </si>
  <si>
    <t>Colorado Mesa University Foundation</t>
  </si>
  <si>
    <t>Grand Junction</t>
  </si>
  <si>
    <t>University of Saint Joseph</t>
  </si>
  <si>
    <t>Delaware Valley University</t>
  </si>
  <si>
    <t>Doylestown</t>
  </si>
  <si>
    <t>St. Mary's College of Maryland Foundation, Inc</t>
  </si>
  <si>
    <t>St. Mary's City</t>
  </si>
  <si>
    <t>Central Piedmont Community College Foundation</t>
  </si>
  <si>
    <t>North Iowa Area Community College Foundation</t>
  </si>
  <si>
    <t>Mason City</t>
  </si>
  <si>
    <t>The College of New Jersey Foundation, Inc.</t>
  </si>
  <si>
    <t>Ewing</t>
  </si>
  <si>
    <t>Rocky Mountain College</t>
  </si>
  <si>
    <t>Billings</t>
  </si>
  <si>
    <t>The Worcester State Foundation Inc.</t>
  </si>
  <si>
    <t>Kutztown University Foundation, Inc.</t>
  </si>
  <si>
    <t>Kutztown</t>
  </si>
  <si>
    <t>Georgia Southwestern Foundation, Inc.</t>
  </si>
  <si>
    <t>Americus</t>
  </si>
  <si>
    <t>Roberts Wesleyan</t>
  </si>
  <si>
    <t>Manhattanville College</t>
  </si>
  <si>
    <t>Purchase</t>
  </si>
  <si>
    <t>Sinclair Community College Foundation</t>
  </si>
  <si>
    <t>Southern Connecticut State University Foundation</t>
  </si>
  <si>
    <t>University of Sioux Falls</t>
  </si>
  <si>
    <t>Sioux Falls</t>
  </si>
  <si>
    <t>Humboldt State University Foundation</t>
  </si>
  <si>
    <t>Arcata</t>
  </si>
  <si>
    <t>Mary Baldwin University</t>
  </si>
  <si>
    <t>Staunton</t>
  </si>
  <si>
    <t>St. Thomas University</t>
  </si>
  <si>
    <t>Miami Gardens</t>
  </si>
  <si>
    <t>Culver-Stockton College</t>
  </si>
  <si>
    <t>Clarke University</t>
  </si>
  <si>
    <t>Walla Walla University</t>
  </si>
  <si>
    <t>College Place</t>
  </si>
  <si>
    <t>American University in Bulgaria</t>
  </si>
  <si>
    <t>Brevard College</t>
  </si>
  <si>
    <t>Brevard</t>
  </si>
  <si>
    <t>Tri-County Technical College Foundation, Inc.</t>
  </si>
  <si>
    <t>Pendleton</t>
  </si>
  <si>
    <t>California State University Monterey Bay</t>
  </si>
  <si>
    <t>Seaside</t>
  </si>
  <si>
    <t>Southern Illinois University Edwardsville Foundation</t>
  </si>
  <si>
    <t>Edwardsville</t>
  </si>
  <si>
    <t>California State University San Marcos Foundation</t>
  </si>
  <si>
    <t>Lamar University</t>
  </si>
  <si>
    <t>Beaumont</t>
  </si>
  <si>
    <t>Grand View University</t>
  </si>
  <si>
    <t>Delta College</t>
  </si>
  <si>
    <t>California State University, Bakersfield, Foundation</t>
  </si>
  <si>
    <t>Bakersfield</t>
  </si>
  <si>
    <t>UNC School of the Arts</t>
  </si>
  <si>
    <t>Meadville Lombard Theological School</t>
  </si>
  <si>
    <t>William Rainey Harper College Educational Foundation</t>
  </si>
  <si>
    <t>Palatine</t>
  </si>
  <si>
    <t>California State University Foundation</t>
  </si>
  <si>
    <t>University of North Carolina at Pembroke</t>
  </si>
  <si>
    <t>Pembroke</t>
  </si>
  <si>
    <t>Utica College</t>
  </si>
  <si>
    <t>Utica</t>
  </si>
  <si>
    <t>Spring Hill College</t>
  </si>
  <si>
    <t>Vaughn College of Aeronautics and Technology</t>
  </si>
  <si>
    <t>FLUSHING</t>
  </si>
  <si>
    <t>Norfolk State University Foundation</t>
  </si>
  <si>
    <t>Fayetteville State University</t>
  </si>
  <si>
    <t>Eastern Washington University Foundation</t>
  </si>
  <si>
    <t>Cheney</t>
  </si>
  <si>
    <t>Marshall B. Ketchum University</t>
  </si>
  <si>
    <t>Peirce College</t>
  </si>
  <si>
    <t>Chaminade University of Honolulu</t>
  </si>
  <si>
    <t>Central Oregon Community College Foundation</t>
  </si>
  <si>
    <t>Bend</t>
  </si>
  <si>
    <t>Shepherd University Foundation</t>
  </si>
  <si>
    <t>Shepherdstown</t>
  </si>
  <si>
    <t>Spartanburg Methodist College</t>
  </si>
  <si>
    <t>LeTourneau University</t>
  </si>
  <si>
    <t>Longview</t>
  </si>
  <si>
    <t>Lubbock Christian University</t>
  </si>
  <si>
    <t>Lubbock</t>
  </si>
  <si>
    <t>Plattsburgh College Foundation, Inc.</t>
  </si>
  <si>
    <t>Plattsburgh</t>
  </si>
  <si>
    <t>Ramapo College of New Jersey</t>
  </si>
  <si>
    <t>Mahwah</t>
  </si>
  <si>
    <t>Averett University</t>
  </si>
  <si>
    <t>Greenville University</t>
  </si>
  <si>
    <t>University of St. Francis</t>
  </si>
  <si>
    <t>Joliet</t>
  </si>
  <si>
    <t>Bradford Educational Foundation - University of Pittsburgh at Bradford</t>
  </si>
  <si>
    <t>Bradford</t>
  </si>
  <si>
    <t>West Chester University Foundation</t>
  </si>
  <si>
    <t>West Chester</t>
  </si>
  <si>
    <t>Ohio Dominican University</t>
  </si>
  <si>
    <t>Thomas College</t>
  </si>
  <si>
    <t>Portsmouth</t>
  </si>
  <si>
    <t>Spring Arbor University</t>
  </si>
  <si>
    <t>Spring Arbor</t>
  </si>
  <si>
    <t>Defiance College</t>
  </si>
  <si>
    <t>Defiance</t>
  </si>
  <si>
    <t>Cal State East Bay Educational Foundation</t>
  </si>
  <si>
    <t>Hayward</t>
  </si>
  <si>
    <t>The Foundation for Florida Gateway College</t>
  </si>
  <si>
    <t>Lake City</t>
  </si>
  <si>
    <t>Kalamazoo Valley Community College</t>
  </si>
  <si>
    <t>Lakeland University Foundation, Inc.</t>
  </si>
  <si>
    <t>Plymouth</t>
  </si>
  <si>
    <t>Nichols College</t>
  </si>
  <si>
    <t>Dudley</t>
  </si>
  <si>
    <t>Trinity Western University</t>
  </si>
  <si>
    <t>Langley</t>
  </si>
  <si>
    <t>California State University Stanislaus</t>
  </si>
  <si>
    <t>Turlock</t>
  </si>
  <si>
    <t>Church Divinity School of the Pacific</t>
  </si>
  <si>
    <t>California State University Channel Islands</t>
  </si>
  <si>
    <t>Camarillo</t>
  </si>
  <si>
    <t>Dakota State University Foundation</t>
  </si>
  <si>
    <t>Polytechnic University of Puerto Rico</t>
  </si>
  <si>
    <t>San Juan</t>
  </si>
  <si>
    <t>PR</t>
  </si>
  <si>
    <t>Northern Michigan University</t>
  </si>
  <si>
    <t>Marquette</t>
  </si>
  <si>
    <t>Faulkner University</t>
  </si>
  <si>
    <t>Montgomery</t>
  </si>
  <si>
    <t>New England College</t>
  </si>
  <si>
    <t>Henniker</t>
  </si>
  <si>
    <t>Massachusetts College of Liberal Arts Foundation, Inc.</t>
  </si>
  <si>
    <t>North Adams</t>
  </si>
  <si>
    <t>California State University, Dominguez Hills Foundation</t>
  </si>
  <si>
    <t>Carson</t>
  </si>
  <si>
    <t>Northeast State Community College</t>
  </si>
  <si>
    <t>Blountville</t>
  </si>
  <si>
    <t>Pellissippi State Community College Foundation</t>
  </si>
  <si>
    <t>Weber State University Foundation</t>
  </si>
  <si>
    <t>J. Sargeant Reynolds Community College Educational Foundation</t>
  </si>
  <si>
    <t>Cornerstone University</t>
  </si>
  <si>
    <t>Walsh College of Accountancy &amp; Business Administration</t>
  </si>
  <si>
    <t>Blue Ridge Community College Educational Foundation, Inc.</t>
  </si>
  <si>
    <t>Weyers Cave</t>
  </si>
  <si>
    <t>Midlands Technical College Foundation</t>
  </si>
  <si>
    <t>The California Maritime Academy Foundation, Inc.</t>
  </si>
  <si>
    <t>Vallejo</t>
  </si>
  <si>
    <t>Indiana University of Pennsylvania</t>
  </si>
  <si>
    <t>Indiana</t>
  </si>
  <si>
    <t>Centenary University</t>
  </si>
  <si>
    <t>Hackettstown</t>
  </si>
  <si>
    <t>Hillsborough Community College Foundation, Inc.</t>
  </si>
  <si>
    <t>Elgin Community College Foundation</t>
  </si>
  <si>
    <t>Elgin</t>
  </si>
  <si>
    <t>Metropolitan State University Foundation</t>
  </si>
  <si>
    <t>Mount Saint Mary College</t>
  </si>
  <si>
    <t>Newburgh</t>
  </si>
  <si>
    <t>Oakton Community College Educational Foundation</t>
  </si>
  <si>
    <t>Des Plaines</t>
  </si>
  <si>
    <t>John Tyler Community College Foundation, Inc.</t>
  </si>
  <si>
    <t>Midlothian</t>
  </si>
  <si>
    <t>Rank</t>
  </si>
  <si>
    <t>Institution Name</t>
  </si>
  <si>
    <t>City</t>
  </si>
  <si>
    <t>State</t>
  </si>
  <si>
    <t>Institution Type</t>
  </si>
  <si>
    <t>FY19 Total Endowment (in $1,000s)</t>
  </si>
  <si>
    <t>FY18 Total Endowment (in $1,000s)</t>
  </si>
  <si>
    <t>N/A</t>
  </si>
  <si>
    <t>Education-related Private non-profit Organization</t>
  </si>
  <si>
    <t>Hood College of Frederick MD</t>
  </si>
  <si>
    <r>
      <t>Survey respondents highlighted in</t>
    </r>
    <r>
      <rPr>
        <sz val="11"/>
        <color rgb="FF99FF66"/>
        <rFont val="Calibri"/>
        <family val="2"/>
        <scheme val="minor"/>
      </rPr>
      <t xml:space="preserve"> </t>
    </r>
    <r>
      <rPr>
        <b/>
        <sz val="11"/>
        <color theme="1"/>
        <rFont val="Calibri"/>
        <family val="2"/>
        <scheme val="minor"/>
      </rPr>
      <t>Green</t>
    </r>
    <r>
      <rPr>
        <sz val="11"/>
        <color theme="1"/>
        <rFont val="Calibri"/>
        <family val="2"/>
        <scheme val="minor"/>
      </rPr>
      <t xml:space="preserve"> are based on higher education institutions located in Canada. No data from Canadian institutions in included in the NTSE, but will be included in a separate report on Canadian hgiher education endowments. </t>
    </r>
  </si>
  <si>
    <t xml:space="preserve">Please see the footnotes below for additional details related to the endowment values presented in this table. </t>
  </si>
  <si>
    <t>Average (All Institutions)</t>
  </si>
  <si>
    <t>Median (All Institutions)</t>
  </si>
  <si>
    <t>IPEDS (the Integrated Postsecondary Education Data System) is conducted each year by the National Center for Education Statistics.</t>
  </si>
  <si>
    <t xml:space="preserve">    1) withdrawals to fund institutional operations and capital expenses;</t>
  </si>
  <si>
    <t xml:space="preserve">    2) the payment of endowment management and investment fees;</t>
  </si>
  <si>
    <t xml:space="preserve">    3) additions from donor gifts and other contributions; and</t>
  </si>
  <si>
    <t xml:space="preserve">    4) investment gains or losses.</t>
  </si>
  <si>
    <t xml:space="preserve">The market values also include the estimated valuations of real estate and other “illiquid” assets, which may have large increases or decreases in value during a relatively short period of time. In addition, transfers to the endowment from other institutional budget accounts, and changes in foreign currency exchange rates for non-U.S. investments, may account for large changes in endowment market values. </t>
  </si>
  <si>
    <r>
      <t xml:space="preserve">These factors suggest that any large increases or decreases in endowments over the past year may be exaggerated. </t>
    </r>
    <r>
      <rPr>
        <b/>
        <u/>
        <sz val="11"/>
        <color theme="1"/>
        <rFont val="Calibri"/>
        <family val="2"/>
        <scheme val="minor"/>
      </rPr>
      <t>As such, large percentage changes should be interpreted very cautiously.</t>
    </r>
  </si>
  <si>
    <t>1=HBCU</t>
  </si>
  <si>
    <t xml:space="preserve">IMPORTANT ADDITIONAL NOTES: </t>
  </si>
  <si>
    <r>
      <t xml:space="preserve">Note: </t>
    </r>
    <r>
      <rPr>
        <b/>
        <u/>
        <sz val="11"/>
        <color theme="1"/>
        <rFont val="Calibri"/>
        <family val="2"/>
        <scheme val="minor"/>
      </rPr>
      <t>The data in this spreadsheet will NOT agree with data presented in any other tables or charts in the 2019 NACUBO-TIAA Study of Endowments (NTSE).</t>
    </r>
  </si>
  <si>
    <t>Combined Public college, university, or system fund &amp; IRF</t>
  </si>
  <si>
    <t>2=Non-HBCU</t>
  </si>
  <si>
    <t xml:space="preserve">1=Associate's </t>
  </si>
  <si>
    <t>3=Master's</t>
  </si>
  <si>
    <t>5=Special focus (law, medicine, theology, etc.)</t>
  </si>
  <si>
    <r>
      <rPr>
        <vertAlign val="superscript"/>
        <sz val="11"/>
        <color theme="1"/>
        <rFont val="Calibri"/>
        <family val="2"/>
        <scheme val="minor"/>
      </rPr>
      <t xml:space="preserve">4 </t>
    </r>
    <r>
      <rPr>
        <sz val="11"/>
        <color theme="1"/>
        <rFont val="Calibri"/>
        <family val="2"/>
        <scheme val="minor"/>
      </rPr>
      <t>HBCU indicates the institution's Historically Black College or University status .</t>
    </r>
  </si>
  <si>
    <t xml:space="preserve">Source: NACUBO and TIAA, 2019 NACUBO-TIAA Study of Endowments. This table was created in January 2020. Any changes made after January are not reflected in the full 2019 NTSE final report. </t>
  </si>
  <si>
    <r>
      <t xml:space="preserve">Canada institutions are in Green. Endowment market value data for Canadian institutions are expressed in U.S. dollars, based on the U.S./Canadian dollar conversion rates in effect on or around June 30, 2018 (for FY18) and June 30, 2019 (for FY19), as reported by the Bank of Canada Web site (https://www.bankofcanada.ca/rates/exchange/). </t>
    </r>
    <r>
      <rPr>
        <b/>
        <u/>
        <sz val="11"/>
        <color theme="1"/>
        <rFont val="Calibri"/>
        <family val="2"/>
        <scheme val="minor"/>
      </rPr>
      <t xml:space="preserve">Data from Canadian institutions are NOT included in the full 2019 NTSE report. </t>
    </r>
    <r>
      <rPr>
        <sz val="11"/>
        <color theme="1"/>
        <rFont val="Calibri"/>
        <family val="2"/>
        <scheme val="minor"/>
      </rPr>
      <t xml:space="preserve"> </t>
    </r>
  </si>
  <si>
    <t>Canadian College, university, or system endowment fund</t>
  </si>
  <si>
    <t>Coastal Educational Foundation (Coastal Carolina University)</t>
  </si>
  <si>
    <r>
      <t>U.S. and Canadian Institutions Listed by Fiscal Year (FY) 2019 Endowment Market Value and Change in Endowment Market Value</t>
    </r>
    <r>
      <rPr>
        <b/>
        <u/>
        <vertAlign val="superscript"/>
        <sz val="11"/>
        <color theme="1"/>
        <rFont val="Calibri"/>
        <family val="2"/>
        <scheme val="minor"/>
      </rPr>
      <t>1</t>
    </r>
    <r>
      <rPr>
        <b/>
        <u/>
        <sz val="11"/>
        <color theme="1"/>
        <rFont val="Calibri"/>
        <family val="2"/>
        <scheme val="minor"/>
      </rPr>
      <t xml:space="preserve"> from FY18 to FY19</t>
    </r>
  </si>
  <si>
    <r>
      <t>UnitID</t>
    </r>
    <r>
      <rPr>
        <b/>
        <vertAlign val="superscript"/>
        <sz val="11"/>
        <color theme="1"/>
        <rFont val="Calibri"/>
        <family val="2"/>
        <scheme val="minor"/>
      </rPr>
      <t>2</t>
    </r>
  </si>
  <si>
    <r>
      <rPr>
        <vertAlign val="superscript"/>
        <sz val="11"/>
        <color theme="1"/>
        <rFont val="Calibri"/>
        <family val="2"/>
        <scheme val="minor"/>
      </rPr>
      <t>2.</t>
    </r>
    <r>
      <rPr>
        <sz val="11"/>
        <color theme="1"/>
        <rFont val="Calibri"/>
        <family val="2"/>
        <scheme val="minor"/>
      </rPr>
      <t xml:space="preserve"> IPEDS Unit ID Number (Unitid) is available only for U.S. colleges, universities, and state university system offices. There are no IPEDS ID numbers for Canadian institutions or for non-profit higher education organizations that do not enroll students. </t>
    </r>
  </si>
  <si>
    <r>
      <rPr>
        <vertAlign val="superscript"/>
        <sz val="11"/>
        <color theme="1"/>
        <rFont val="Calibri"/>
        <family val="2"/>
        <scheme val="minor"/>
      </rPr>
      <t>1</t>
    </r>
    <r>
      <rPr>
        <sz val="11"/>
        <color theme="1"/>
        <rFont val="Calibri"/>
        <family val="2"/>
        <scheme val="minor"/>
      </rPr>
      <t xml:space="preserve">. The change in market values listed for the participating institutions </t>
    </r>
    <r>
      <rPr>
        <b/>
        <u/>
        <sz val="11"/>
        <color theme="1"/>
        <rFont val="Calibri"/>
        <family val="2"/>
        <scheme val="minor"/>
      </rPr>
      <t>DOES NOT</t>
    </r>
    <r>
      <rPr>
        <sz val="11"/>
        <color theme="1"/>
        <rFont val="Calibri"/>
        <family val="2"/>
        <scheme val="minor"/>
      </rPr>
      <t xml:space="preserve"> represent the investment rate of return for the endowments’ investments. Rather, the change in the market value of an endowment from FY18 to FY19 reflects the net impact of:</t>
    </r>
  </si>
  <si>
    <r>
      <t>Change in Endowment Market Value (%)</t>
    </r>
    <r>
      <rPr>
        <b/>
        <vertAlign val="superscript"/>
        <sz val="11"/>
        <color theme="1"/>
        <rFont val="Calibri"/>
        <family val="2"/>
        <scheme val="minor"/>
      </rPr>
      <t>1</t>
    </r>
  </si>
  <si>
    <r>
      <t>IPEDS HBCU Indicator</t>
    </r>
    <r>
      <rPr>
        <b/>
        <vertAlign val="superscript"/>
        <sz val="11"/>
        <color theme="1"/>
        <rFont val="Calibri"/>
        <family val="2"/>
        <scheme val="minor"/>
      </rPr>
      <t>4</t>
    </r>
  </si>
  <si>
    <r>
      <t>IPEDS 2018 Carnegie Classification</t>
    </r>
    <r>
      <rPr>
        <b/>
        <vertAlign val="superscript"/>
        <sz val="11"/>
        <color theme="1"/>
        <rFont val="Calibri"/>
        <family val="2"/>
        <scheme val="minor"/>
      </rPr>
      <t>5</t>
    </r>
  </si>
  <si>
    <r>
      <t>FY19 Endowment Value per FTE Student ($)</t>
    </r>
    <r>
      <rPr>
        <vertAlign val="superscript"/>
        <sz val="11"/>
        <color theme="1"/>
        <rFont val="Calibri"/>
        <family val="2"/>
        <scheme val="minor"/>
      </rPr>
      <t>6</t>
    </r>
  </si>
  <si>
    <t xml:space="preserve">N/A means Not Available. </t>
  </si>
  <si>
    <r>
      <rPr>
        <vertAlign val="superscript"/>
        <sz val="11"/>
        <color theme="1"/>
        <rFont val="Calibri"/>
        <family val="2"/>
        <scheme val="minor"/>
      </rPr>
      <t>5</t>
    </r>
    <r>
      <rPr>
        <sz val="11"/>
        <color theme="1"/>
        <rFont val="Calibri"/>
        <family val="2"/>
        <scheme val="minor"/>
      </rPr>
      <t xml:space="preserve"> 2018 Carnegie Classification identifies colleges and universities by their highest degree awarded and research intensity. For more information on the Carnegie Classification system, go to https://en.wikipedia.org/wiki/Carnegie_Classification_of_Institutions_of_Higher_Education</t>
    </r>
  </si>
  <si>
    <t>2=Baccalaureate</t>
  </si>
  <si>
    <t>4=Doctoral/Research</t>
  </si>
  <si>
    <t>6=Other or Not Available</t>
  </si>
  <si>
    <t>ENDNOTES:</t>
  </si>
  <si>
    <r>
      <rPr>
        <vertAlign val="superscript"/>
        <sz val="11"/>
        <color theme="1"/>
        <rFont val="Calibri"/>
        <family val="2"/>
        <scheme val="minor"/>
      </rPr>
      <t>3.</t>
    </r>
    <r>
      <rPr>
        <sz val="11"/>
        <color theme="1"/>
        <rFont val="Calibri"/>
        <family val="2"/>
        <scheme val="minor"/>
      </rPr>
      <t xml:space="preserve"> Fall 2018 FTE enrollment as provided by the participating institutions. </t>
    </r>
  </si>
  <si>
    <r>
      <t>The Texas A&amp;M University System</t>
    </r>
    <r>
      <rPr>
        <vertAlign val="superscript"/>
        <sz val="11"/>
        <color theme="1"/>
        <rFont val="Calibri"/>
        <family val="2"/>
        <scheme val="minor"/>
      </rPr>
      <t>i</t>
    </r>
  </si>
  <si>
    <r>
      <t>New York University</t>
    </r>
    <r>
      <rPr>
        <vertAlign val="superscript"/>
        <sz val="11"/>
        <color theme="1"/>
        <rFont val="Calibri"/>
        <family val="2"/>
        <scheme val="minor"/>
      </rPr>
      <t>ii</t>
    </r>
  </si>
  <si>
    <r>
      <t>University of Miami</t>
    </r>
    <r>
      <rPr>
        <vertAlign val="superscript"/>
        <sz val="11"/>
        <color theme="1"/>
        <rFont val="Calibri"/>
        <family val="2"/>
        <scheme val="minor"/>
      </rPr>
      <t>v</t>
    </r>
  </si>
  <si>
    <r>
      <t>LSU System</t>
    </r>
    <r>
      <rPr>
        <vertAlign val="superscript"/>
        <sz val="11"/>
        <color theme="1"/>
        <rFont val="Calibri"/>
        <family val="2"/>
        <scheme val="minor"/>
      </rPr>
      <t>vi</t>
    </r>
  </si>
  <si>
    <r>
      <t>Oregon Health and Science University Foundation</t>
    </r>
    <r>
      <rPr>
        <vertAlign val="superscript"/>
        <sz val="11"/>
        <color theme="1"/>
        <rFont val="Calibri"/>
        <family val="2"/>
        <scheme val="minor"/>
      </rPr>
      <t>vii</t>
    </r>
  </si>
  <si>
    <r>
      <t>University System of New Hampshire &amp; University of New Hampshire Foundation, Inc.</t>
    </r>
    <r>
      <rPr>
        <vertAlign val="superscript"/>
        <sz val="11"/>
        <color theme="1"/>
        <rFont val="Calibri"/>
        <family val="2"/>
        <scheme val="minor"/>
      </rPr>
      <t>viii</t>
    </r>
  </si>
  <si>
    <t>3=Missing/Not Available</t>
  </si>
  <si>
    <t>University of Alberta</t>
  </si>
  <si>
    <t>Edmonton</t>
  </si>
  <si>
    <t>AB</t>
  </si>
  <si>
    <r>
      <t>Fall 2018 Full-time Equivalent (FTE) Enrollment</t>
    </r>
    <r>
      <rPr>
        <b/>
        <vertAlign val="superscript"/>
        <sz val="11"/>
        <color theme="1"/>
        <rFont val="Calibri"/>
        <family val="2"/>
        <scheme val="minor"/>
      </rPr>
      <t>3</t>
    </r>
  </si>
  <si>
    <r>
      <t xml:space="preserve">Survey respondents highlighted in </t>
    </r>
    <r>
      <rPr>
        <b/>
        <sz val="11"/>
        <color theme="1"/>
        <rFont val="Calibri"/>
        <family val="2"/>
        <scheme val="minor"/>
      </rPr>
      <t>Blue</t>
    </r>
    <r>
      <rPr>
        <sz val="11"/>
        <color theme="1"/>
        <rFont val="Calibri"/>
        <family val="2"/>
        <scheme val="minor"/>
      </rPr>
      <t xml:space="preserve"> are based on total endowment values of institutional endowments and foundations that have been combined into one separate record at the request of the survey respondents. No other data for these combined endowment/foundations are not included in the NTSE.</t>
    </r>
  </si>
  <si>
    <t>Palo Alto</t>
  </si>
  <si>
    <r>
      <t>St. John's University, New York</t>
    </r>
    <r>
      <rPr>
        <vertAlign val="superscript"/>
        <sz val="11"/>
        <color theme="1"/>
        <rFont val="Calibri"/>
        <family val="2"/>
        <scheme val="minor"/>
      </rPr>
      <t>ix</t>
    </r>
  </si>
  <si>
    <r>
      <t>Abilene Christian University</t>
    </r>
    <r>
      <rPr>
        <vertAlign val="superscript"/>
        <sz val="11"/>
        <color theme="1"/>
        <rFont val="Calibri"/>
        <family val="2"/>
        <scheme val="minor"/>
      </rPr>
      <t>x</t>
    </r>
  </si>
  <si>
    <r>
      <t>Chapman University</t>
    </r>
    <r>
      <rPr>
        <vertAlign val="superscript"/>
        <sz val="11"/>
        <color theme="1"/>
        <rFont val="Calibri"/>
        <family val="2"/>
        <scheme val="minor"/>
      </rPr>
      <t>xi</t>
    </r>
  </si>
  <si>
    <r>
      <t>University of Nevada, Reno (UNR)</t>
    </r>
    <r>
      <rPr>
        <vertAlign val="superscript"/>
        <sz val="11"/>
        <color theme="1"/>
        <rFont val="Calibri"/>
        <family val="2"/>
        <scheme val="minor"/>
      </rPr>
      <t>xii</t>
    </r>
  </si>
  <si>
    <r>
      <rPr>
        <vertAlign val="superscript"/>
        <sz val="11"/>
        <color theme="1"/>
        <rFont val="Calibri"/>
        <family val="2"/>
        <scheme val="minor"/>
      </rPr>
      <t>xv.</t>
    </r>
    <r>
      <rPr>
        <sz val="11"/>
        <color theme="1"/>
        <rFont val="Calibri"/>
        <family val="2"/>
        <scheme val="minor"/>
      </rPr>
      <t xml:space="preserve"> Also includes data from the Santa Fe, New Mexico campus.</t>
    </r>
  </si>
  <si>
    <r>
      <t>Annapolis</t>
    </r>
    <r>
      <rPr>
        <vertAlign val="superscript"/>
        <sz val="11"/>
        <color theme="1"/>
        <rFont val="Calibri"/>
        <family val="2"/>
        <scheme val="minor"/>
      </rPr>
      <t>XV</t>
    </r>
  </si>
  <si>
    <r>
      <rPr>
        <vertAlign val="superscript"/>
        <sz val="11"/>
        <color theme="1"/>
        <rFont val="Calibri"/>
        <family val="2"/>
        <scheme val="minor"/>
      </rPr>
      <t>xvi.</t>
    </r>
    <r>
      <rPr>
        <sz val="11"/>
        <color theme="1"/>
        <rFont val="Calibri"/>
        <family val="2"/>
        <scheme val="minor"/>
      </rPr>
      <t xml:space="preserve"> Texas State University's fiscal year-end is 8/31. The endowment values for FY19 and FY18 are for August 31, 2019 and August 31, 2018, respectively. </t>
    </r>
  </si>
  <si>
    <t>The Pennsylvania State University</t>
  </si>
  <si>
    <r>
      <rPr>
        <vertAlign val="superscript"/>
        <sz val="11"/>
        <color theme="1"/>
        <rFont val="Calibri"/>
        <family val="2"/>
        <scheme val="minor"/>
      </rPr>
      <t>xvii</t>
    </r>
    <r>
      <rPr>
        <sz val="11"/>
        <color theme="1"/>
        <rFont val="Calibri"/>
        <family val="2"/>
        <scheme val="minor"/>
      </rPr>
      <t xml:space="preserve"> Ohio Northern University's fiscal year-end is 5/31 but endowment values are reported for 6/30.</t>
    </r>
  </si>
  <si>
    <r>
      <rPr>
        <vertAlign val="superscript"/>
        <sz val="11"/>
        <color theme="1"/>
        <rFont val="Calibri"/>
        <family val="2"/>
        <scheme val="minor"/>
      </rPr>
      <t>ix</t>
    </r>
    <r>
      <rPr>
        <sz val="11"/>
        <color theme="1"/>
        <rFont val="Calibri"/>
        <family val="2"/>
        <scheme val="minor"/>
      </rPr>
      <t xml:space="preserve">  St. John's University's fiscal year-end is 5/31. Endowment values for FY19 and FY18 are reported for May 31, 2019 and May 31, 2018, respectively. </t>
    </r>
  </si>
  <si>
    <r>
      <rPr>
        <vertAlign val="superscript"/>
        <sz val="11"/>
        <color theme="1"/>
        <rFont val="Calibri"/>
        <family val="2"/>
        <scheme val="minor"/>
      </rPr>
      <t>viii</t>
    </r>
    <r>
      <rPr>
        <sz val="11"/>
        <color theme="1"/>
        <rFont val="Calibri"/>
        <family val="2"/>
        <scheme val="minor"/>
      </rPr>
      <t xml:space="preserve"> Total includes the combined endowment assets from the University System of New Hampshire and the University of New Hampshire Foundation. The full 2019 NTSE report incorporates separate information for each of these individual institutions.  </t>
    </r>
  </si>
  <si>
    <r>
      <rPr>
        <vertAlign val="superscript"/>
        <sz val="11"/>
        <color theme="1"/>
        <rFont val="Calibri"/>
        <family val="2"/>
        <scheme val="minor"/>
      </rPr>
      <t>vii</t>
    </r>
    <r>
      <rPr>
        <sz val="11"/>
        <color theme="1"/>
        <rFont val="Calibri"/>
        <family val="2"/>
        <scheme val="minor"/>
      </rPr>
      <t xml:space="preserve"> Total includes combined endowment assets from the Oregon Health and Sciences University Foundation and the Doernbecher Children’s Hospital Foundation.</t>
    </r>
  </si>
  <si>
    <r>
      <rPr>
        <vertAlign val="superscript"/>
        <sz val="11"/>
        <color theme="1"/>
        <rFont val="Calibri"/>
        <family val="2"/>
        <scheme val="minor"/>
      </rPr>
      <t>x</t>
    </r>
    <r>
      <rPr>
        <sz val="11"/>
        <color theme="1"/>
        <rFont val="Calibri"/>
        <family val="2"/>
        <scheme val="minor"/>
      </rPr>
      <t xml:space="preserve">  Abilene Christian University's fiscal year-end is 5/31 but endowment values are reported for 6/30.</t>
    </r>
  </si>
  <si>
    <r>
      <rPr>
        <vertAlign val="superscript"/>
        <sz val="11"/>
        <color theme="1"/>
        <rFont val="Calibri"/>
        <family val="2"/>
        <scheme val="minor"/>
      </rPr>
      <t>xii</t>
    </r>
    <r>
      <rPr>
        <sz val="11"/>
        <color theme="1"/>
        <rFont val="Calibri"/>
        <family val="2"/>
        <scheme val="minor"/>
      </rPr>
      <t>Total includes the combined assets from the University of Nevada, Reno (UNR) endowment, UNR Foundation, and the Athletic Association of Nevada, Reno Endowment.</t>
    </r>
  </si>
  <si>
    <r>
      <rPr>
        <vertAlign val="superscript"/>
        <sz val="11"/>
        <color theme="1"/>
        <rFont val="Calibri"/>
        <family val="2"/>
        <scheme val="minor"/>
      </rPr>
      <t>xiii</t>
    </r>
    <r>
      <rPr>
        <sz val="11"/>
        <color theme="1"/>
        <rFont val="Calibri"/>
        <family val="2"/>
        <scheme val="minor"/>
      </rPr>
      <t xml:space="preserve"> Willamette University's fiscal year-end is 5/31 but endowment values are reported for the year ending 6/30.</t>
    </r>
  </si>
  <si>
    <r>
      <rPr>
        <vertAlign val="superscript"/>
        <sz val="11"/>
        <color theme="1"/>
        <rFont val="Calibri"/>
        <family val="2"/>
        <scheme val="minor"/>
      </rPr>
      <t>xiv</t>
    </r>
    <r>
      <rPr>
        <sz val="11"/>
        <color theme="1"/>
        <rFont val="Calibri"/>
        <family val="2"/>
        <scheme val="minor"/>
      </rPr>
      <t xml:space="preserve"> Total includes the combined assets from the Old Dominion University endowment, the Educational Foundation, the Athletic Foundation, and the Real Estate Foundation.</t>
    </r>
  </si>
  <si>
    <r>
      <rPr>
        <vertAlign val="superscript"/>
        <sz val="11"/>
        <color theme="1"/>
        <rFont val="Calibri"/>
        <family val="2"/>
        <scheme val="minor"/>
      </rPr>
      <t>ii</t>
    </r>
    <r>
      <rPr>
        <sz val="11"/>
        <color theme="1"/>
        <rFont val="Calibri"/>
        <family val="2"/>
        <scheme val="minor"/>
      </rPr>
      <t xml:space="preserve"> Fiscal year end date for New York University is August 31 but the endowment market values are reported for the year ending June 30.</t>
    </r>
  </si>
  <si>
    <r>
      <rPr>
        <vertAlign val="superscript"/>
        <sz val="11"/>
        <color theme="1"/>
        <rFont val="Calibri"/>
        <family val="2"/>
        <scheme val="minor"/>
      </rPr>
      <t>v</t>
    </r>
    <r>
      <rPr>
        <sz val="11"/>
        <color theme="1"/>
        <rFont val="Calibri"/>
        <family val="2"/>
        <scheme val="minor"/>
      </rPr>
      <t xml:space="preserve">  University of Miami's fiscal year-end is 5/31. Endowment values for FY19 and FY18 are reported for May 31, 2019 and May 31, 2018, respectively. </t>
    </r>
  </si>
  <si>
    <r>
      <rPr>
        <vertAlign val="superscript"/>
        <sz val="11"/>
        <color theme="1"/>
        <rFont val="Calibri"/>
        <family val="2"/>
        <scheme val="minor"/>
      </rPr>
      <t>vi</t>
    </r>
    <r>
      <rPr>
        <sz val="11"/>
        <color theme="1"/>
        <rFont val="Calibri"/>
        <family val="2"/>
        <scheme val="minor"/>
      </rPr>
      <t xml:space="preserve"> Total endowment includes data from all institutions in the Louisiana State University (LSU) System. However, the full 2019 NTSE report is based on data solely from the LSU Foundation, the largest segment.  </t>
    </r>
  </si>
  <si>
    <r>
      <rPr>
        <vertAlign val="superscript"/>
        <sz val="11"/>
        <color theme="1"/>
        <rFont val="Calibri"/>
        <family val="2"/>
        <scheme val="minor"/>
      </rPr>
      <t>i</t>
    </r>
    <r>
      <rPr>
        <sz val="11"/>
        <color theme="1"/>
        <rFont val="Calibri"/>
        <family val="2"/>
        <scheme val="minor"/>
      </rPr>
      <t xml:space="preserve">Total includes the endowment assets from The Texas A&amp;M University System and multiple supporting foundations, including the Texas A&amp;M Foundation. The full 2019 NTSE report includes separate information for the Texas A&amp;M University System, Texas A&amp;M Foundation, and the Baylor Oral Health Foundation (which provides financial support to the Texas A&amp;M University Baylor College of Dentistry).  </t>
    </r>
  </si>
  <si>
    <t>University of New Orleans Foundation</t>
  </si>
  <si>
    <t>Ball State University Foundation</t>
  </si>
  <si>
    <t>Shawnee State University Development Foundation</t>
  </si>
  <si>
    <t>Boston Architectural College</t>
  </si>
  <si>
    <t>University of California</t>
  </si>
  <si>
    <t>Austin Presbyterian Theological Seminary</t>
  </si>
  <si>
    <r>
      <t>Carnegie Mellon University</t>
    </r>
    <r>
      <rPr>
        <vertAlign val="superscript"/>
        <sz val="11"/>
        <color theme="1"/>
        <rFont val="Calibri"/>
        <family val="2"/>
        <scheme val="minor"/>
      </rPr>
      <t>iii</t>
    </r>
  </si>
  <si>
    <r>
      <t>University of Illinois &amp; University of Illinois Foundation</t>
    </r>
    <r>
      <rPr>
        <vertAlign val="superscript"/>
        <sz val="11"/>
        <color theme="1"/>
        <rFont val="Calibri"/>
        <family val="2"/>
        <scheme val="minor"/>
      </rPr>
      <t>iv</t>
    </r>
  </si>
  <si>
    <r>
      <rPr>
        <vertAlign val="superscript"/>
        <sz val="11"/>
        <color theme="1"/>
        <rFont val="Calibri"/>
        <family val="2"/>
        <scheme val="minor"/>
      </rPr>
      <t>iv</t>
    </r>
    <r>
      <rPr>
        <sz val="11"/>
        <color theme="1"/>
        <rFont val="Calibri"/>
        <family val="2"/>
        <scheme val="minor"/>
      </rPr>
      <t xml:space="preserve"> Total includes the combined endowment assets from the University of Illinois and the University of Illinois Foundation. The full 2019 NTSE report incorporates separate information for each of these individual institutions.  </t>
    </r>
  </si>
  <si>
    <r>
      <rPr>
        <vertAlign val="superscript"/>
        <sz val="11"/>
        <color theme="1"/>
        <rFont val="Calibri"/>
        <family val="2"/>
        <scheme val="minor"/>
      </rPr>
      <t>iii</t>
    </r>
    <r>
      <rPr>
        <sz val="11"/>
        <color theme="1"/>
        <rFont val="Calibri"/>
        <family val="2"/>
        <scheme val="minor"/>
      </rPr>
      <t xml:space="preserve"> Total includes the combined endowment assets of Carnegie Mellon University and a portion of assets held by the Dietrich Foundation reflecting CMU’s allocation as a named beneficiary. The full 2019 NTSE report reflects information for the CMU endowment only.  </t>
    </r>
  </si>
  <si>
    <r>
      <rPr>
        <vertAlign val="superscript"/>
        <sz val="11"/>
        <color theme="1"/>
        <rFont val="Calibri"/>
        <family val="2"/>
        <scheme val="minor"/>
      </rPr>
      <t xml:space="preserve">xi. </t>
    </r>
    <r>
      <rPr>
        <sz val="11"/>
        <color theme="1"/>
        <rFont val="Calibri"/>
        <family val="2"/>
        <scheme val="minor"/>
      </rPr>
      <t xml:space="preserve">Chapman University’s fiscal year-end date is 5/31. The endowment values shown are for 5/31/2018 (for FY18) and 5/31/2017 (for FY17). </t>
    </r>
  </si>
  <si>
    <r>
      <t>Willamette University</t>
    </r>
    <r>
      <rPr>
        <vertAlign val="superscript"/>
        <sz val="11"/>
        <color theme="1"/>
        <rFont val="Calibri"/>
        <family val="2"/>
        <scheme val="minor"/>
      </rPr>
      <t>xiv</t>
    </r>
  </si>
  <si>
    <r>
      <t>Old Dominion University Educational Foundation</t>
    </r>
    <r>
      <rPr>
        <vertAlign val="superscript"/>
        <sz val="11"/>
        <color theme="1"/>
        <rFont val="Calibri"/>
        <family val="2"/>
        <scheme val="minor"/>
      </rPr>
      <t>xv</t>
    </r>
  </si>
  <si>
    <r>
      <t>St. John's College</t>
    </r>
    <r>
      <rPr>
        <vertAlign val="superscript"/>
        <sz val="11"/>
        <color theme="1"/>
        <rFont val="Calibri"/>
        <family val="2"/>
        <scheme val="minor"/>
      </rPr>
      <t>xvi</t>
    </r>
  </si>
  <si>
    <r>
      <t>Texas State University</t>
    </r>
    <r>
      <rPr>
        <vertAlign val="superscript"/>
        <sz val="11"/>
        <color theme="1"/>
        <rFont val="Calibri"/>
        <family val="2"/>
        <scheme val="minor"/>
      </rPr>
      <t>xvii</t>
    </r>
  </si>
  <si>
    <r>
      <t>Ohio Northern University</t>
    </r>
    <r>
      <rPr>
        <vertAlign val="superscript"/>
        <sz val="11"/>
        <color theme="1"/>
        <rFont val="Calibri"/>
        <family val="2"/>
        <scheme val="minor"/>
      </rPr>
      <t>xviii</t>
    </r>
  </si>
  <si>
    <t xml:space="preserve"> </t>
  </si>
  <si>
    <t>University of Minnesota &amp; Foundation*</t>
  </si>
  <si>
    <t xml:space="preserve">*Endowment market values data for this institution were revised after the NTSE data collection period. Data for this institution may not match previouisly released 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</si>
</sst>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vertAlign val="superscript"/>
      <sz val="11"/>
      <color theme="1"/>
      <name val="Calibri"/>
      <family val="2"/>
      <scheme val="minor"/>
    </font>
    <font>
      <b/>
      <u/>
      <sz val="11"/>
      <color theme="1"/>
      <name val="Calibri"/>
      <family val="2"/>
      <scheme val="minor"/>
    </font>
    <font>
      <b/>
      <u/>
      <vertAlign val="superscript"/>
      <sz val="11"/>
      <color theme="1"/>
      <name val="Calibri"/>
      <family val="2"/>
      <scheme val="minor"/>
    </font>
    <font>
      <sz val="11"/>
      <color rgb="FF99FF66"/>
      <name val="Calibri"/>
      <family val="2"/>
      <scheme val="minor"/>
    </font>
    <font>
      <vertAlign val="superscript"/>
      <sz val="11"/>
      <color theme="1"/>
      <name val="Calibri"/>
      <family val="2"/>
      <scheme val="minor"/>
    </font>
    <font>
      <b/>
      <u/>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9FF66"/>
        <bgColor indexed="64"/>
      </patternFill>
    </fill>
    <fill>
      <patternFill patternType="solid">
        <fgColor rgb="FF66FFFF"/>
        <bgColor indexed="64"/>
      </patternFill>
    </fill>
  </fills>
  <borders count="4">
    <border>
      <left/>
      <right/>
      <top/>
      <bottom/>
      <diagonal/>
    </border>
    <border>
      <left style="thin">
        <color indexed="64"/>
      </left>
      <right style="thin">
        <color indexed="64"/>
      </right>
      <top style="thin">
        <color indexed="64"/>
      </top>
      <bottom style="medium">
        <color indexed="64"/>
      </bottom>
      <diagonal/>
    </border>
    <border>
      <left/>
      <right/>
      <top/>
      <bottom style="double">
        <color indexed="64"/>
      </bottom>
      <diagonal/>
    </border>
    <border>
      <left/>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2">
    <xf numFmtId="0" fontId="0" fillId="0" borderId="0" xfId="0"/>
    <xf numFmtId="2" fontId="0" fillId="0" borderId="0" xfId="0" applyNumberFormat="1"/>
    <xf numFmtId="1" fontId="0" fillId="0" borderId="0" xfId="0" applyNumberFormat="1"/>
    <xf numFmtId="1" fontId="0" fillId="0" borderId="0" xfId="0" applyNumberFormat="1" applyAlignment="1">
      <alignment horizontal="right"/>
    </xf>
    <xf numFmtId="164" fontId="0" fillId="0" borderId="0" xfId="1" applyNumberFormat="1" applyFont="1"/>
    <xf numFmtId="164" fontId="0" fillId="0" borderId="0" xfId="1" applyNumberFormat="1" applyFont="1" applyAlignment="1">
      <alignment horizontal="right"/>
    </xf>
    <xf numFmtId="1" fontId="4" fillId="0" borderId="0" xfId="0" applyNumberFormat="1" applyFont="1" applyFill="1"/>
    <xf numFmtId="1" fontId="0" fillId="0" borderId="0" xfId="0" applyNumberFormat="1" applyFill="1"/>
    <xf numFmtId="0" fontId="0" fillId="0" borderId="0" xfId="0" applyFill="1"/>
    <xf numFmtId="164" fontId="0" fillId="0" borderId="0" xfId="1" applyNumberFormat="1" applyFont="1" applyFill="1"/>
    <xf numFmtId="2" fontId="0" fillId="0" borderId="0" xfId="0" applyNumberFormat="1" applyFill="1"/>
    <xf numFmtId="0" fontId="2" fillId="2" borderId="1" xfId="0" applyFont="1" applyFill="1" applyBorder="1"/>
    <xf numFmtId="0" fontId="2" fillId="2" borderId="1" xfId="0" applyFont="1" applyFill="1" applyBorder="1" applyAlignment="1">
      <alignment wrapText="1"/>
    </xf>
    <xf numFmtId="164" fontId="2" fillId="2" borderId="1" xfId="1" applyNumberFormat="1" applyFont="1" applyFill="1" applyBorder="1" applyAlignment="1">
      <alignment wrapText="1"/>
    </xf>
    <xf numFmtId="1" fontId="2" fillId="2" borderId="1" xfId="0" applyNumberFormat="1" applyFont="1" applyFill="1" applyBorder="1" applyAlignment="1">
      <alignment wrapText="1"/>
    </xf>
    <xf numFmtId="0" fontId="0" fillId="0" borderId="2" xfId="0" applyBorder="1"/>
    <xf numFmtId="164" fontId="0" fillId="0" borderId="2" xfId="1" applyNumberFormat="1" applyFont="1" applyBorder="1"/>
    <xf numFmtId="0" fontId="0" fillId="0" borderId="3" xfId="0" applyBorder="1"/>
    <xf numFmtId="1" fontId="0" fillId="0" borderId="3" xfId="0" applyNumberFormat="1" applyBorder="1"/>
    <xf numFmtId="164" fontId="0" fillId="0" borderId="3" xfId="1" applyNumberFormat="1" applyFont="1" applyBorder="1"/>
    <xf numFmtId="2" fontId="0" fillId="0" borderId="3" xfId="0" applyNumberFormat="1" applyBorder="1"/>
    <xf numFmtId="0" fontId="0" fillId="0" borderId="0" xfId="0" applyBorder="1"/>
    <xf numFmtId="1" fontId="2" fillId="0" borderId="0" xfId="0" applyNumberFormat="1" applyFont="1" applyFill="1"/>
    <xf numFmtId="0" fontId="2" fillId="0" borderId="0" xfId="0" applyFont="1" applyFill="1"/>
    <xf numFmtId="1" fontId="0" fillId="3" borderId="0" xfId="0" applyNumberFormat="1" applyFill="1"/>
    <xf numFmtId="0" fontId="0" fillId="4" borderId="0" xfId="0" applyFill="1"/>
    <xf numFmtId="1" fontId="0" fillId="4" borderId="0" xfId="0" applyNumberFormat="1" applyFill="1"/>
    <xf numFmtId="164" fontId="0" fillId="4" borderId="0" xfId="1" applyNumberFormat="1" applyFont="1" applyFill="1"/>
    <xf numFmtId="2" fontId="0" fillId="4" borderId="0" xfId="0" applyNumberFormat="1" applyFill="1"/>
    <xf numFmtId="165" fontId="0" fillId="0" borderId="0" xfId="0" applyNumberFormat="1" applyFill="1"/>
    <xf numFmtId="0" fontId="0" fillId="3" borderId="0" xfId="0" applyFill="1"/>
    <xf numFmtId="1" fontId="0" fillId="3" borderId="0" xfId="0" applyNumberFormat="1" applyFill="1" applyAlignment="1">
      <alignment horizontal="right"/>
    </xf>
    <xf numFmtId="164" fontId="0" fillId="3" borderId="0" xfId="1" applyNumberFormat="1" applyFont="1" applyFill="1"/>
    <xf numFmtId="2" fontId="0" fillId="3" borderId="0" xfId="0" applyNumberFormat="1" applyFill="1"/>
    <xf numFmtId="1" fontId="0" fillId="0" borderId="0" xfId="0" applyNumberFormat="1" applyBorder="1"/>
    <xf numFmtId="164" fontId="0" fillId="0" borderId="0" xfId="1" applyNumberFormat="1" applyFont="1" applyBorder="1"/>
    <xf numFmtId="2" fontId="0" fillId="0" borderId="0" xfId="0" applyNumberFormat="1" applyBorder="1"/>
    <xf numFmtId="164" fontId="0" fillId="3" borderId="0" xfId="1" applyNumberFormat="1" applyFont="1" applyFill="1" applyAlignment="1">
      <alignment horizontal="right"/>
    </xf>
    <xf numFmtId="166" fontId="0" fillId="0" borderId="0" xfId="2" applyNumberFormat="1" applyFont="1"/>
    <xf numFmtId="10" fontId="0" fillId="0" borderId="0" xfId="3" applyNumberFormat="1" applyFont="1" applyFill="1" applyBorder="1"/>
    <xf numFmtId="2" fontId="0" fillId="0" borderId="0" xfId="0" applyNumberFormat="1" applyAlignment="1">
      <alignment horizontal="right"/>
    </xf>
    <xf numFmtId="0" fontId="8" fillId="0" borderId="0" xfId="0" applyFont="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colors>
    <mruColors>
      <color rgb="FF66FFFF"/>
      <color rgb="FF99FF66"/>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V857"/>
  <sheetViews>
    <sheetView tabSelected="1" workbookViewId="0">
      <pane ySplit="12" topLeftCell="A13" activePane="bottomLeft" state="frozen"/>
      <selection pane="bottomLeft"/>
    </sheetView>
  </sheetViews>
  <sheetFormatPr defaultRowHeight="15" x14ac:dyDescent="0.25"/>
  <cols>
    <col min="3" max="3" width="79.42578125" customWidth="1"/>
    <col min="4" max="4" width="23" customWidth="1"/>
    <col min="6" max="6" width="52.5703125" customWidth="1"/>
    <col min="7" max="7" width="15.7109375" style="4" customWidth="1"/>
    <col min="8" max="8" width="20.5703125" style="4" customWidth="1"/>
    <col min="9" max="9" width="19.140625" style="4" customWidth="1"/>
    <col min="10" max="10" width="11.7109375" customWidth="1"/>
    <col min="11" max="11" width="10.85546875" customWidth="1"/>
    <col min="12" max="12" width="14" customWidth="1"/>
    <col min="13" max="13" width="15" customWidth="1"/>
  </cols>
  <sheetData>
    <row r="3" spans="1:13" x14ac:dyDescent="0.25">
      <c r="C3" s="41" t="s">
        <v>1454</v>
      </c>
    </row>
    <row r="5" spans="1:13" ht="17.25" x14ac:dyDescent="0.25">
      <c r="C5" s="6" t="s">
        <v>1390</v>
      </c>
      <c r="D5" s="7"/>
      <c r="E5" s="8"/>
      <c r="F5" s="8"/>
      <c r="G5"/>
    </row>
    <row r="6" spans="1:13" x14ac:dyDescent="0.25">
      <c r="C6" s="6"/>
      <c r="D6" s="7"/>
      <c r="E6" s="8"/>
      <c r="F6" s="8"/>
      <c r="G6"/>
    </row>
    <row r="7" spans="1:13" x14ac:dyDescent="0.25">
      <c r="B7" t="s">
        <v>1379</v>
      </c>
      <c r="C7" s="6"/>
      <c r="D7" s="7"/>
      <c r="E7" s="8"/>
      <c r="F7" s="8"/>
      <c r="G7"/>
    </row>
    <row r="8" spans="1:13" x14ac:dyDescent="0.25">
      <c r="B8" t="s">
        <v>1366</v>
      </c>
      <c r="C8" s="6"/>
      <c r="D8" s="7"/>
      <c r="E8" s="8"/>
      <c r="F8" s="8"/>
      <c r="G8"/>
    </row>
    <row r="9" spans="1:13" x14ac:dyDescent="0.25">
      <c r="B9" t="s">
        <v>1416</v>
      </c>
      <c r="C9" s="6"/>
      <c r="D9" s="7"/>
      <c r="E9" s="8"/>
      <c r="F9" s="8"/>
      <c r="G9"/>
    </row>
    <row r="10" spans="1:13" x14ac:dyDescent="0.25">
      <c r="B10" t="s">
        <v>1367</v>
      </c>
      <c r="C10" s="6"/>
      <c r="D10" s="7"/>
      <c r="E10" s="8"/>
      <c r="F10" s="8"/>
      <c r="G10"/>
    </row>
    <row r="12" spans="1:13" ht="63" thickBot="1" x14ac:dyDescent="0.3">
      <c r="A12" s="11" t="s">
        <v>1356</v>
      </c>
      <c r="B12" s="11" t="s">
        <v>1391</v>
      </c>
      <c r="C12" s="11" t="s">
        <v>1357</v>
      </c>
      <c r="D12" s="11" t="s">
        <v>1358</v>
      </c>
      <c r="E12" s="11" t="s">
        <v>1359</v>
      </c>
      <c r="F12" s="12" t="s">
        <v>1360</v>
      </c>
      <c r="G12" s="12" t="s">
        <v>1415</v>
      </c>
      <c r="H12" s="13" t="s">
        <v>1361</v>
      </c>
      <c r="I12" s="13" t="s">
        <v>1362</v>
      </c>
      <c r="J12" s="12" t="s">
        <v>1394</v>
      </c>
      <c r="K12" s="12" t="s">
        <v>1395</v>
      </c>
      <c r="L12" s="14" t="s">
        <v>1396</v>
      </c>
      <c r="M12" s="12" t="s">
        <v>1397</v>
      </c>
    </row>
    <row r="13" spans="1:13" x14ac:dyDescent="0.25">
      <c r="A13">
        <f>RANK(H13,H$13:H$798,0)</f>
        <v>1</v>
      </c>
      <c r="B13" s="2">
        <v>166027</v>
      </c>
      <c r="C13" t="s">
        <v>0</v>
      </c>
      <c r="D13" t="s">
        <v>1</v>
      </c>
      <c r="E13" t="s">
        <v>2</v>
      </c>
      <c r="F13" t="s">
        <v>3</v>
      </c>
      <c r="G13" s="4">
        <v>24526</v>
      </c>
      <c r="H13" s="4">
        <v>39427896</v>
      </c>
      <c r="I13" s="4">
        <v>38298087</v>
      </c>
      <c r="J13" s="1">
        <v>2.950040298357461</v>
      </c>
      <c r="K13" s="2">
        <v>2</v>
      </c>
      <c r="L13" s="1">
        <v>4</v>
      </c>
      <c r="M13" s="4">
        <v>1607595.86</v>
      </c>
    </row>
    <row r="14" spans="1:13" x14ac:dyDescent="0.25">
      <c r="A14">
        <f>RANK(H14,H$13:H$798,0)</f>
        <v>2</v>
      </c>
      <c r="B14" s="2">
        <v>229090</v>
      </c>
      <c r="C14" t="s">
        <v>4</v>
      </c>
      <c r="D14" t="s">
        <v>5</v>
      </c>
      <c r="E14" t="s">
        <v>6</v>
      </c>
      <c r="F14" t="s">
        <v>7</v>
      </c>
      <c r="G14" s="4">
        <v>189331</v>
      </c>
      <c r="H14" s="4">
        <v>30958239.368000001</v>
      </c>
      <c r="I14" s="4">
        <v>30886018.035999998</v>
      </c>
      <c r="J14" s="1">
        <v>0.23383180025286143</v>
      </c>
      <c r="K14" s="2">
        <v>3</v>
      </c>
      <c r="L14" s="1">
        <v>6</v>
      </c>
      <c r="M14" s="4">
        <v>163513.84</v>
      </c>
    </row>
    <row r="15" spans="1:13" x14ac:dyDescent="0.25">
      <c r="A15">
        <f>RANK(H15,H$13:H$798,0)</f>
        <v>3</v>
      </c>
      <c r="B15" s="2">
        <v>130794</v>
      </c>
      <c r="C15" t="s">
        <v>8</v>
      </c>
      <c r="D15" t="s">
        <v>9</v>
      </c>
      <c r="E15" t="s">
        <v>10</v>
      </c>
      <c r="F15" t="s">
        <v>3</v>
      </c>
      <c r="G15" s="4">
        <v>13368</v>
      </c>
      <c r="H15" s="4">
        <v>30314800</v>
      </c>
      <c r="I15" s="4">
        <v>29351100</v>
      </c>
      <c r="J15" s="1">
        <v>3.2833522423350399</v>
      </c>
      <c r="K15" s="2">
        <v>2</v>
      </c>
      <c r="L15" s="1">
        <v>4</v>
      </c>
      <c r="M15" s="4">
        <v>2267713.94</v>
      </c>
    </row>
    <row r="16" spans="1:13" x14ac:dyDescent="0.25">
      <c r="A16">
        <f>RANK(H16,H$13:H$798,0)</f>
        <v>4</v>
      </c>
      <c r="B16" s="2">
        <v>243744</v>
      </c>
      <c r="C16" t="s">
        <v>11</v>
      </c>
      <c r="D16" t="s">
        <v>1417</v>
      </c>
      <c r="E16" t="s">
        <v>12</v>
      </c>
      <c r="F16" t="s">
        <v>3</v>
      </c>
      <c r="G16" s="4">
        <v>16932</v>
      </c>
      <c r="H16" s="4">
        <v>27699834</v>
      </c>
      <c r="I16" s="4">
        <v>26464912</v>
      </c>
      <c r="J16" s="1">
        <v>4.6662615012662805</v>
      </c>
      <c r="K16" s="2">
        <v>2</v>
      </c>
      <c r="L16" s="1">
        <v>4</v>
      </c>
      <c r="M16" s="4">
        <v>1635945.78</v>
      </c>
    </row>
    <row r="17" spans="1:13" x14ac:dyDescent="0.25">
      <c r="A17">
        <f>RANK(H17,H$13:H$798,0)</f>
        <v>5</v>
      </c>
      <c r="B17" s="2">
        <v>186131</v>
      </c>
      <c r="C17" t="s">
        <v>13</v>
      </c>
      <c r="D17" t="s">
        <v>14</v>
      </c>
      <c r="E17" t="s">
        <v>15</v>
      </c>
      <c r="F17" t="s">
        <v>3</v>
      </c>
      <c r="G17" s="4">
        <v>8303</v>
      </c>
      <c r="H17" s="4">
        <v>26116022.495999999</v>
      </c>
      <c r="I17" s="4">
        <v>25917199.355</v>
      </c>
      <c r="J17" s="1">
        <v>0.76714747715069576</v>
      </c>
      <c r="K17" s="2">
        <v>2</v>
      </c>
      <c r="L17" s="1">
        <v>4</v>
      </c>
      <c r="M17" s="4">
        <v>3145371.85</v>
      </c>
    </row>
    <row r="18" spans="1:13" x14ac:dyDescent="0.25">
      <c r="A18">
        <f>RANK(H18,H$13:H$798,0)</f>
        <v>6</v>
      </c>
      <c r="B18" s="2">
        <v>166683</v>
      </c>
      <c r="C18" t="s">
        <v>16</v>
      </c>
      <c r="D18" t="s">
        <v>17</v>
      </c>
      <c r="E18" t="s">
        <v>2</v>
      </c>
      <c r="F18" t="s">
        <v>3</v>
      </c>
      <c r="G18" s="4">
        <v>11459</v>
      </c>
      <c r="H18" s="4">
        <v>17569328</v>
      </c>
      <c r="I18" s="4">
        <v>16529432</v>
      </c>
      <c r="J18" s="1">
        <v>6.2911780634688466</v>
      </c>
      <c r="K18" s="2">
        <v>2</v>
      </c>
      <c r="L18" s="1">
        <v>4</v>
      </c>
      <c r="M18" s="4">
        <v>1533233.96</v>
      </c>
    </row>
    <row r="19" spans="1:13" x14ac:dyDescent="0.25">
      <c r="A19">
        <f>RANK(H19,H$13:H$798,0)</f>
        <v>7</v>
      </c>
      <c r="B19" s="2">
        <v>215062</v>
      </c>
      <c r="C19" t="s">
        <v>18</v>
      </c>
      <c r="D19" t="s">
        <v>19</v>
      </c>
      <c r="E19" t="s">
        <v>20</v>
      </c>
      <c r="F19" t="s">
        <v>3</v>
      </c>
      <c r="G19" s="4">
        <v>23260</v>
      </c>
      <c r="H19" s="4">
        <v>14649761.630999999</v>
      </c>
      <c r="I19" s="4">
        <v>13777440.539999999</v>
      </c>
      <c r="J19" s="1">
        <v>6.3315177334091404</v>
      </c>
      <c r="K19" s="2">
        <v>2</v>
      </c>
      <c r="L19" s="1">
        <v>4</v>
      </c>
      <c r="M19" s="4">
        <v>629826.38</v>
      </c>
    </row>
    <row r="20" spans="1:13" ht="17.25" x14ac:dyDescent="0.25">
      <c r="A20" s="25">
        <f>RANK(H20,H$13:H$798,0)</f>
        <v>8</v>
      </c>
      <c r="B20" s="26">
        <v>228732</v>
      </c>
      <c r="C20" s="25" t="s">
        <v>1405</v>
      </c>
      <c r="D20" s="25" t="s">
        <v>21</v>
      </c>
      <c r="E20" s="25" t="s">
        <v>6</v>
      </c>
      <c r="F20" s="25" t="s">
        <v>7</v>
      </c>
      <c r="G20" s="27">
        <v>123099</v>
      </c>
      <c r="H20" s="27">
        <v>13514527.603</v>
      </c>
      <c r="I20" s="27">
        <v>13524946.686000001</v>
      </c>
      <c r="J20" s="28">
        <v>-7.7036037493483145E-2</v>
      </c>
      <c r="K20" s="26">
        <v>3</v>
      </c>
      <c r="L20" s="28">
        <v>6</v>
      </c>
      <c r="M20" s="27">
        <v>109785.84</v>
      </c>
    </row>
    <row r="21" spans="1:13" x14ac:dyDescent="0.25">
      <c r="A21">
        <f>RANK(H21,H$13:H$798,0)</f>
        <v>9</v>
      </c>
      <c r="B21" s="2">
        <v>170976</v>
      </c>
      <c r="C21" t="s">
        <v>22</v>
      </c>
      <c r="D21" t="s">
        <v>23</v>
      </c>
      <c r="E21" t="s">
        <v>24</v>
      </c>
      <c r="F21" t="s">
        <v>7</v>
      </c>
      <c r="G21" s="4">
        <v>57432</v>
      </c>
      <c r="H21" s="4">
        <v>12448816.790999999</v>
      </c>
      <c r="I21" s="4">
        <v>11901759.721000001</v>
      </c>
      <c r="J21" s="1">
        <v>4.5964385336627691</v>
      </c>
      <c r="K21" s="2">
        <v>2</v>
      </c>
      <c r="L21" s="1">
        <v>4</v>
      </c>
      <c r="M21" s="4">
        <v>216757.5</v>
      </c>
    </row>
    <row r="22" spans="1:13" x14ac:dyDescent="0.25">
      <c r="A22">
        <f>RANK(H22,H$13:H$798,0)</f>
        <v>10</v>
      </c>
      <c r="B22" s="2">
        <v>152080</v>
      </c>
      <c r="C22" t="s">
        <v>25</v>
      </c>
      <c r="D22" t="s">
        <v>26</v>
      </c>
      <c r="E22" t="s">
        <v>27</v>
      </c>
      <c r="F22" t="s">
        <v>3</v>
      </c>
      <c r="G22" s="4">
        <v>12432</v>
      </c>
      <c r="H22" s="4">
        <v>11268365</v>
      </c>
      <c r="I22" s="4">
        <v>10727653</v>
      </c>
      <c r="J22" s="1">
        <v>5.0403569168391265</v>
      </c>
      <c r="K22" s="2">
        <v>2</v>
      </c>
      <c r="L22" s="1">
        <v>4</v>
      </c>
      <c r="M22" s="4">
        <v>906400.02</v>
      </c>
    </row>
    <row r="23" spans="1:13" x14ac:dyDescent="0.25">
      <c r="A23">
        <f>RANK(H23,H$13:H$798,0)</f>
        <v>11</v>
      </c>
      <c r="B23" s="2">
        <v>147767</v>
      </c>
      <c r="C23" t="s">
        <v>28</v>
      </c>
      <c r="D23" t="s">
        <v>29</v>
      </c>
      <c r="E23" t="s">
        <v>30</v>
      </c>
      <c r="F23" t="s">
        <v>3</v>
      </c>
      <c r="G23" s="4">
        <v>20000</v>
      </c>
      <c r="H23" s="4">
        <v>11091516</v>
      </c>
      <c r="I23" s="4">
        <v>11087659</v>
      </c>
      <c r="J23" s="1">
        <v>3.4786423355913088E-2</v>
      </c>
      <c r="K23" s="2">
        <v>2</v>
      </c>
      <c r="L23" s="1">
        <v>4</v>
      </c>
      <c r="M23" s="4">
        <v>554575.80000000005</v>
      </c>
    </row>
    <row r="24" spans="1:13" x14ac:dyDescent="0.25">
      <c r="A24">
        <f>RANK(H24,H$13:H$798,0)</f>
        <v>12</v>
      </c>
      <c r="B24" s="2">
        <v>124557</v>
      </c>
      <c r="C24" t="s">
        <v>1442</v>
      </c>
      <c r="D24" t="s">
        <v>31</v>
      </c>
      <c r="E24" t="s">
        <v>12</v>
      </c>
      <c r="F24" t="s">
        <v>7</v>
      </c>
      <c r="G24" s="5" t="s">
        <v>1363</v>
      </c>
      <c r="H24" s="4">
        <v>11008035</v>
      </c>
      <c r="I24" s="4">
        <v>11797543</v>
      </c>
      <c r="J24" s="1">
        <v>-6.6921392022050687</v>
      </c>
      <c r="K24" s="2">
        <v>3</v>
      </c>
      <c r="L24" s="1">
        <v>6</v>
      </c>
      <c r="M24" s="5" t="s">
        <v>1363</v>
      </c>
    </row>
    <row r="25" spans="1:13" x14ac:dyDescent="0.25">
      <c r="A25">
        <f>RANK(H25,H$13:H$798,0)</f>
        <v>13</v>
      </c>
      <c r="B25" s="2">
        <v>190150</v>
      </c>
      <c r="C25" t="s">
        <v>32</v>
      </c>
      <c r="D25" t="s">
        <v>33</v>
      </c>
      <c r="E25" t="s">
        <v>33</v>
      </c>
      <c r="F25" t="s">
        <v>3</v>
      </c>
      <c r="G25" s="4">
        <v>27740</v>
      </c>
      <c r="H25" s="4">
        <v>10950738</v>
      </c>
      <c r="I25" s="4">
        <v>10869245</v>
      </c>
      <c r="J25" s="1">
        <v>0.74975768786148433</v>
      </c>
      <c r="K25" s="2">
        <v>2</v>
      </c>
      <c r="L25" s="1">
        <v>4</v>
      </c>
      <c r="M25" s="4">
        <v>394763.45</v>
      </c>
    </row>
    <row r="26" spans="1:13" x14ac:dyDescent="0.25">
      <c r="A26">
        <f>RANK(H26,H$13:H$798,0)</f>
        <v>14</v>
      </c>
      <c r="B26" s="7">
        <v>198419</v>
      </c>
      <c r="C26" s="8" t="s">
        <v>34</v>
      </c>
      <c r="D26" s="8" t="s">
        <v>35</v>
      </c>
      <c r="E26" s="8" t="s">
        <v>36</v>
      </c>
      <c r="F26" s="8" t="s">
        <v>3</v>
      </c>
      <c r="G26" s="9">
        <v>16629</v>
      </c>
      <c r="H26" s="9">
        <v>8609003.9729999993</v>
      </c>
      <c r="I26" s="9">
        <v>8524846.4010000005</v>
      </c>
      <c r="J26" s="10">
        <v>0.98720338222312987</v>
      </c>
      <c r="K26" s="7">
        <v>2</v>
      </c>
      <c r="L26" s="10">
        <v>4</v>
      </c>
      <c r="M26" s="9">
        <v>517710.26</v>
      </c>
    </row>
    <row r="27" spans="1:13" x14ac:dyDescent="0.25">
      <c r="A27">
        <f>RANK(H27,H$13:H$798,0)</f>
        <v>15</v>
      </c>
      <c r="B27" s="2">
        <v>144050</v>
      </c>
      <c r="C27" t="s">
        <v>37</v>
      </c>
      <c r="D27" t="s">
        <v>38</v>
      </c>
      <c r="E27" t="s">
        <v>30</v>
      </c>
      <c r="F27" t="s">
        <v>3</v>
      </c>
      <c r="G27" s="4">
        <v>16131</v>
      </c>
      <c r="H27" s="4">
        <v>8263868</v>
      </c>
      <c r="I27" s="4">
        <v>7928485</v>
      </c>
      <c r="J27" s="1">
        <v>4.2301019677782072</v>
      </c>
      <c r="K27" s="2">
        <v>2</v>
      </c>
      <c r="L27" s="1">
        <v>4</v>
      </c>
      <c r="M27" s="4">
        <v>512297.32</v>
      </c>
    </row>
    <row r="28" spans="1:13" x14ac:dyDescent="0.25">
      <c r="A28">
        <f>RANK(H28,H$13:H$798,0)</f>
        <v>16</v>
      </c>
      <c r="B28" s="2">
        <v>179867</v>
      </c>
      <c r="C28" t="s">
        <v>39</v>
      </c>
      <c r="D28" t="s">
        <v>40</v>
      </c>
      <c r="E28" t="s">
        <v>41</v>
      </c>
      <c r="F28" t="s">
        <v>3</v>
      </c>
      <c r="G28" s="4">
        <v>14301</v>
      </c>
      <c r="H28" s="4">
        <v>7953985.5120000001</v>
      </c>
      <c r="I28" s="4">
        <v>7594158.6339999996</v>
      </c>
      <c r="J28" s="1">
        <v>4.7382059730621169</v>
      </c>
      <c r="K28" s="2">
        <v>2</v>
      </c>
      <c r="L28" s="1">
        <v>4</v>
      </c>
      <c r="M28" s="4">
        <v>556183.87</v>
      </c>
    </row>
    <row r="29" spans="1:13" x14ac:dyDescent="0.25">
      <c r="A29">
        <f>RANK(H29,H$13:H$798,0)</f>
        <v>17</v>
      </c>
      <c r="B29" s="2">
        <v>139658</v>
      </c>
      <c r="C29" t="s">
        <v>42</v>
      </c>
      <c r="D29" t="s">
        <v>43</v>
      </c>
      <c r="E29" t="s">
        <v>44</v>
      </c>
      <c r="F29" t="s">
        <v>3</v>
      </c>
      <c r="G29" s="4">
        <v>14412</v>
      </c>
      <c r="H29" s="4">
        <v>7872381.4780000001</v>
      </c>
      <c r="I29" s="4">
        <v>7292165.068</v>
      </c>
      <c r="J29" s="1">
        <v>7.9567097643763889</v>
      </c>
      <c r="K29" s="2">
        <v>2</v>
      </c>
      <c r="L29" s="1">
        <v>4</v>
      </c>
      <c r="M29" s="4">
        <v>546237.96</v>
      </c>
    </row>
    <row r="30" spans="1:13" x14ac:dyDescent="0.25">
      <c r="A30">
        <f>RANK(H30,H$13:H$798,0)</f>
        <v>18</v>
      </c>
      <c r="B30" s="2">
        <v>190415</v>
      </c>
      <c r="C30" t="s">
        <v>45</v>
      </c>
      <c r="D30" t="s">
        <v>46</v>
      </c>
      <c r="E30" t="s">
        <v>33</v>
      </c>
      <c r="F30" t="s">
        <v>3</v>
      </c>
      <c r="G30" s="4">
        <v>24848</v>
      </c>
      <c r="H30" s="4">
        <v>7328241.4050000003</v>
      </c>
      <c r="I30" s="4">
        <v>7230290.932</v>
      </c>
      <c r="J30" s="1">
        <v>1.3547238129310759</v>
      </c>
      <c r="K30" s="2">
        <v>2</v>
      </c>
      <c r="L30" s="1">
        <v>4</v>
      </c>
      <c r="M30" s="4">
        <v>294922.78999999998</v>
      </c>
    </row>
    <row r="31" spans="1:13" x14ac:dyDescent="0.25">
      <c r="A31">
        <f>RANK(H31,H$13:H$798,0)</f>
        <v>19</v>
      </c>
      <c r="B31" s="2">
        <v>234076</v>
      </c>
      <c r="C31" t="s">
        <v>47</v>
      </c>
      <c r="D31" t="s">
        <v>48</v>
      </c>
      <c r="E31" t="s">
        <v>49</v>
      </c>
      <c r="F31" t="s">
        <v>7</v>
      </c>
      <c r="G31" s="4">
        <v>23090</v>
      </c>
      <c r="H31" s="4">
        <v>7058234.6100000003</v>
      </c>
      <c r="I31" s="4">
        <v>6856308.7079999996</v>
      </c>
      <c r="J31" s="1">
        <v>2.9451110006816323</v>
      </c>
      <c r="K31" s="2">
        <v>2</v>
      </c>
      <c r="L31" s="1">
        <v>4</v>
      </c>
      <c r="M31" s="4">
        <v>305683.61</v>
      </c>
    </row>
    <row r="32" spans="1:13" x14ac:dyDescent="0.25">
      <c r="A32">
        <f>RANK(H32,H$13:H$798,0)</f>
        <v>20</v>
      </c>
      <c r="B32" s="2">
        <v>227757</v>
      </c>
      <c r="C32" t="s">
        <v>50</v>
      </c>
      <c r="D32" t="s">
        <v>51</v>
      </c>
      <c r="E32" t="s">
        <v>6</v>
      </c>
      <c r="F32" t="s">
        <v>3</v>
      </c>
      <c r="G32" s="4">
        <v>6885</v>
      </c>
      <c r="H32" s="4">
        <v>6481102.2960000001</v>
      </c>
      <c r="I32" s="4">
        <v>6277505.7170000002</v>
      </c>
      <c r="J32" s="1">
        <v>3.2432719009501447</v>
      </c>
      <c r="K32" s="2">
        <v>2</v>
      </c>
      <c r="L32" s="1">
        <v>4</v>
      </c>
      <c r="M32" s="4">
        <v>941336.57</v>
      </c>
    </row>
    <row r="33" spans="1:13" x14ac:dyDescent="0.25">
      <c r="A33">
        <f>RANK(H33,H$13:H$798,0)</f>
        <v>21</v>
      </c>
      <c r="B33" s="2">
        <v>162928</v>
      </c>
      <c r="C33" t="s">
        <v>52</v>
      </c>
      <c r="D33" t="s">
        <v>53</v>
      </c>
      <c r="E33" t="s">
        <v>54</v>
      </c>
      <c r="F33" t="s">
        <v>3</v>
      </c>
      <c r="G33" s="4">
        <v>18733</v>
      </c>
      <c r="H33" s="4">
        <v>6275939</v>
      </c>
      <c r="I33" s="4">
        <v>4190520</v>
      </c>
      <c r="J33" s="1">
        <v>49.765160409686629</v>
      </c>
      <c r="K33" s="2">
        <v>2</v>
      </c>
      <c r="L33" s="1">
        <v>4</v>
      </c>
      <c r="M33" s="4">
        <v>335020.5</v>
      </c>
    </row>
    <row r="34" spans="1:13" x14ac:dyDescent="0.25">
      <c r="A34">
        <f>RANK(H34,H$13:H$798,0)</f>
        <v>22</v>
      </c>
      <c r="B34" s="2">
        <v>221999</v>
      </c>
      <c r="C34" t="s">
        <v>55</v>
      </c>
      <c r="D34" t="s">
        <v>56</v>
      </c>
      <c r="E34" t="s">
        <v>57</v>
      </c>
      <c r="F34" t="s">
        <v>3</v>
      </c>
      <c r="G34" s="4">
        <v>12229</v>
      </c>
      <c r="H34" s="4">
        <v>6270876.7039999999</v>
      </c>
      <c r="I34" s="4">
        <v>4608461.3020000001</v>
      </c>
      <c r="J34" s="1">
        <v>36.073111892651404</v>
      </c>
      <c r="K34" s="2">
        <v>2</v>
      </c>
      <c r="L34" s="1">
        <v>4</v>
      </c>
      <c r="M34" s="4">
        <v>512787.37</v>
      </c>
    </row>
    <row r="35" spans="1:13" x14ac:dyDescent="0.25">
      <c r="A35">
        <f>RANK(H35,H$13:H$798,0)</f>
        <v>23</v>
      </c>
      <c r="B35" s="2">
        <v>123961</v>
      </c>
      <c r="C35" t="s">
        <v>58</v>
      </c>
      <c r="D35" t="s">
        <v>59</v>
      </c>
      <c r="E35" t="s">
        <v>12</v>
      </c>
      <c r="F35" t="s">
        <v>3</v>
      </c>
      <c r="G35" s="4">
        <v>43072</v>
      </c>
      <c r="H35" s="4">
        <v>5732100.6778000006</v>
      </c>
      <c r="I35" s="4">
        <v>5549555.6352899997</v>
      </c>
      <c r="J35" s="1">
        <v>3.2893632302590987</v>
      </c>
      <c r="K35" s="2">
        <v>2</v>
      </c>
      <c r="L35" s="1">
        <v>4</v>
      </c>
      <c r="M35" s="4">
        <v>133081.82999999999</v>
      </c>
    </row>
    <row r="36" spans="1:13" x14ac:dyDescent="0.25">
      <c r="A36">
        <f>RANK(H36,H$13:H$798,0)</f>
        <v>24</v>
      </c>
      <c r="B36" s="2">
        <v>182670</v>
      </c>
      <c r="C36" t="s">
        <v>60</v>
      </c>
      <c r="D36" t="s">
        <v>721</v>
      </c>
      <c r="E36" t="s">
        <v>344</v>
      </c>
      <c r="F36" t="s">
        <v>3</v>
      </c>
      <c r="G36" s="4">
        <v>6508</v>
      </c>
      <c r="H36" s="4">
        <v>5731322</v>
      </c>
      <c r="I36" s="4">
        <v>5494204</v>
      </c>
      <c r="J36" s="1">
        <v>4.3157844157224599</v>
      </c>
      <c r="K36" s="2">
        <v>2</v>
      </c>
      <c r="L36" s="1">
        <v>4</v>
      </c>
      <c r="M36" s="4">
        <v>880657.96</v>
      </c>
    </row>
    <row r="37" spans="1:13" x14ac:dyDescent="0.25">
      <c r="A37">
        <f>RANK(H37,H$13:H$798,0)</f>
        <v>25</v>
      </c>
      <c r="B37" s="2">
        <v>204796</v>
      </c>
      <c r="C37" t="s">
        <v>61</v>
      </c>
      <c r="D37" t="s">
        <v>62</v>
      </c>
      <c r="E37" t="s">
        <v>63</v>
      </c>
      <c r="F37" t="s">
        <v>7</v>
      </c>
      <c r="G37" s="4">
        <v>62010</v>
      </c>
      <c r="H37" s="4">
        <v>5256758.7829999998</v>
      </c>
      <c r="I37" s="4">
        <v>5211434.1160000004</v>
      </c>
      <c r="J37" s="1">
        <v>0.86971582084948362</v>
      </c>
      <c r="K37" s="2">
        <v>2</v>
      </c>
      <c r="L37" s="1">
        <v>4</v>
      </c>
      <c r="M37" s="4">
        <v>84772.76</v>
      </c>
    </row>
    <row r="38" spans="1:13" x14ac:dyDescent="0.25">
      <c r="A38">
        <f>RANK(H38,H$13:H$798,0)</f>
        <v>26</v>
      </c>
      <c r="B38" s="2">
        <v>214777</v>
      </c>
      <c r="C38" t="s">
        <v>1425</v>
      </c>
      <c r="D38" t="s">
        <v>64</v>
      </c>
      <c r="E38" t="s">
        <v>20</v>
      </c>
      <c r="F38" t="s">
        <v>7</v>
      </c>
      <c r="G38" s="4">
        <v>80260.7</v>
      </c>
      <c r="H38" s="4">
        <v>4546104.8030000003</v>
      </c>
      <c r="I38" s="4">
        <v>4282793.716</v>
      </c>
      <c r="J38" s="1">
        <v>6.1481150963751032</v>
      </c>
      <c r="K38" s="2">
        <v>2</v>
      </c>
      <c r="L38" s="1">
        <v>4</v>
      </c>
      <c r="M38" s="4">
        <v>56641.73</v>
      </c>
    </row>
    <row r="39" spans="1:13" ht="17.25" x14ac:dyDescent="0.25">
      <c r="A39">
        <f>RANK(H39,H$13:H$798,0)</f>
        <v>27</v>
      </c>
      <c r="B39" s="2">
        <v>193900</v>
      </c>
      <c r="C39" t="s">
        <v>1406</v>
      </c>
      <c r="D39" t="s">
        <v>46</v>
      </c>
      <c r="E39" t="s">
        <v>33</v>
      </c>
      <c r="F39" t="s">
        <v>3</v>
      </c>
      <c r="G39" s="4">
        <v>47735</v>
      </c>
      <c r="H39" s="4">
        <v>4345607.8540000003</v>
      </c>
      <c r="I39" s="4">
        <v>4262116.2019999996</v>
      </c>
      <c r="J39" s="1">
        <v>1.9589248167570423</v>
      </c>
      <c r="K39" s="2">
        <v>2</v>
      </c>
      <c r="L39" s="1">
        <v>4</v>
      </c>
      <c r="M39" s="4">
        <v>91036.09</v>
      </c>
    </row>
    <row r="40" spans="1:13" x14ac:dyDescent="0.25">
      <c r="A40">
        <f>RANK(H40,H$13:H$798,0)</f>
        <v>28</v>
      </c>
      <c r="B40" s="2">
        <v>215293</v>
      </c>
      <c r="C40" t="s">
        <v>65</v>
      </c>
      <c r="D40" t="s">
        <v>66</v>
      </c>
      <c r="E40" t="s">
        <v>20</v>
      </c>
      <c r="F40" t="s">
        <v>7</v>
      </c>
      <c r="G40" s="5">
        <v>32266</v>
      </c>
      <c r="H40" s="4">
        <v>4311387</v>
      </c>
      <c r="I40" s="4">
        <v>4200206</v>
      </c>
      <c r="J40" s="1">
        <v>2.6470368358123384</v>
      </c>
      <c r="K40" s="2">
        <v>2</v>
      </c>
      <c r="L40" s="1">
        <v>4</v>
      </c>
      <c r="M40" s="5">
        <v>133620</v>
      </c>
    </row>
    <row r="41" spans="1:13" x14ac:dyDescent="0.25">
      <c r="A41">
        <f>RANK(H41,H$13:H$798,0)</f>
        <v>29</v>
      </c>
      <c r="B41" s="2">
        <v>217156</v>
      </c>
      <c r="C41" t="s">
        <v>67</v>
      </c>
      <c r="D41" t="s">
        <v>68</v>
      </c>
      <c r="E41" t="s">
        <v>69</v>
      </c>
      <c r="F41" t="s">
        <v>3</v>
      </c>
      <c r="G41" s="4">
        <v>9780</v>
      </c>
      <c r="H41" s="4">
        <v>3976694</v>
      </c>
      <c r="I41" s="4">
        <v>3603848</v>
      </c>
      <c r="J41" s="1">
        <v>10.345774849549704</v>
      </c>
      <c r="K41" s="2">
        <v>2</v>
      </c>
      <c r="L41" s="1">
        <v>4</v>
      </c>
      <c r="M41" s="4">
        <v>406614.93</v>
      </c>
    </row>
    <row r="42" spans="1:13" x14ac:dyDescent="0.25">
      <c r="A42">
        <f>RANK(H42,H$13:H$798,0)</f>
        <v>30</v>
      </c>
      <c r="B42" s="2">
        <v>174066</v>
      </c>
      <c r="C42" t="s">
        <v>1455</v>
      </c>
      <c r="D42" t="s">
        <v>94</v>
      </c>
      <c r="E42" t="s">
        <v>95</v>
      </c>
      <c r="F42" t="s">
        <v>87</v>
      </c>
      <c r="G42" s="5" t="s">
        <v>1363</v>
      </c>
      <c r="H42" s="4">
        <v>3951464</v>
      </c>
      <c r="I42" s="4">
        <v>3717476</v>
      </c>
      <c r="J42" s="1">
        <v>6.29</v>
      </c>
      <c r="K42" s="2">
        <v>2</v>
      </c>
      <c r="L42" s="1">
        <v>4</v>
      </c>
      <c r="M42" s="5" t="s">
        <v>1363</v>
      </c>
    </row>
    <row r="43" spans="1:13" x14ac:dyDescent="0.25">
      <c r="A43">
        <f>RANK(H43,H$13:H$798,0)</f>
        <v>31</v>
      </c>
      <c r="B43" s="2">
        <v>199120</v>
      </c>
      <c r="C43" t="s">
        <v>70</v>
      </c>
      <c r="D43" t="s">
        <v>71</v>
      </c>
      <c r="E43" t="s">
        <v>36</v>
      </c>
      <c r="F43" t="s">
        <v>7</v>
      </c>
      <c r="G43" s="4">
        <v>27958.75</v>
      </c>
      <c r="H43" s="4">
        <v>3671350.602</v>
      </c>
      <c r="I43" s="4">
        <v>3432911.1579999998</v>
      </c>
      <c r="J43" s="1">
        <v>6.9456922427003329</v>
      </c>
      <c r="K43" s="2">
        <v>2</v>
      </c>
      <c r="L43" s="1">
        <v>4</v>
      </c>
      <c r="M43" s="4">
        <v>131313.12</v>
      </c>
    </row>
    <row r="44" spans="1:13" x14ac:dyDescent="0.25">
      <c r="A44">
        <f>RANK(H44,H$13:H$798,0)</f>
        <v>32</v>
      </c>
      <c r="B44" s="2">
        <v>240444</v>
      </c>
      <c r="C44" t="s">
        <v>72</v>
      </c>
      <c r="D44" t="s">
        <v>73</v>
      </c>
      <c r="E44" t="s">
        <v>74</v>
      </c>
      <c r="F44" t="s">
        <v>75</v>
      </c>
      <c r="G44" s="4">
        <v>44411</v>
      </c>
      <c r="H44" s="4">
        <v>3152578.1510000001</v>
      </c>
      <c r="I44" s="4">
        <v>2985251.4640000002</v>
      </c>
      <c r="J44" s="1">
        <v>5.6051119652009289</v>
      </c>
      <c r="K44" s="2">
        <v>2</v>
      </c>
      <c r="L44" s="1">
        <v>4</v>
      </c>
      <c r="M44" s="4">
        <v>70986.429999999993</v>
      </c>
    </row>
    <row r="45" spans="1:13" x14ac:dyDescent="0.25">
      <c r="A45">
        <f>RANK(H45,H$13:H$798,0)</f>
        <v>33</v>
      </c>
      <c r="B45" s="2">
        <v>171100</v>
      </c>
      <c r="C45" t="s">
        <v>76</v>
      </c>
      <c r="D45" t="s">
        <v>77</v>
      </c>
      <c r="E45" t="s">
        <v>24</v>
      </c>
      <c r="F45" t="s">
        <v>7</v>
      </c>
      <c r="G45" s="4">
        <v>46025.7</v>
      </c>
      <c r="H45" s="4">
        <v>3033279.4070000001</v>
      </c>
      <c r="I45" s="4">
        <v>2907967.07</v>
      </c>
      <c r="J45" s="1">
        <v>4.3092763426650595</v>
      </c>
      <c r="K45" s="2">
        <v>2</v>
      </c>
      <c r="L45" s="1">
        <v>4</v>
      </c>
      <c r="M45" s="4">
        <v>65904.039999999994</v>
      </c>
    </row>
    <row r="46" spans="1:13" x14ac:dyDescent="0.25">
      <c r="A46">
        <f>RANK(H46,H$13:H$798,0)</f>
        <v>34</v>
      </c>
      <c r="B46" s="2">
        <v>110404</v>
      </c>
      <c r="C46" t="s">
        <v>78</v>
      </c>
      <c r="D46" t="s">
        <v>79</v>
      </c>
      <c r="E46" t="s">
        <v>12</v>
      </c>
      <c r="F46" t="s">
        <v>3</v>
      </c>
      <c r="G46" s="4">
        <v>2233</v>
      </c>
      <c r="H46" s="4">
        <v>2975375.5839999998</v>
      </c>
      <c r="I46" s="4">
        <v>2879493.503</v>
      </c>
      <c r="J46" s="1">
        <v>3.3298245299079521</v>
      </c>
      <c r="K46" s="2">
        <v>2</v>
      </c>
      <c r="L46" s="1">
        <v>4</v>
      </c>
      <c r="M46" s="4">
        <v>1332456.6000000001</v>
      </c>
    </row>
    <row r="47" spans="1:13" x14ac:dyDescent="0.25">
      <c r="A47">
        <f>RANK(H47,H$13:H$798,0)</f>
        <v>35</v>
      </c>
      <c r="B47" s="2">
        <v>236948</v>
      </c>
      <c r="C47" t="s">
        <v>80</v>
      </c>
      <c r="D47" t="s">
        <v>81</v>
      </c>
      <c r="E47" t="s">
        <v>82</v>
      </c>
      <c r="F47" t="s">
        <v>7</v>
      </c>
      <c r="G47" s="4">
        <v>58692</v>
      </c>
      <c r="H47" s="4">
        <v>2935219.656</v>
      </c>
      <c r="I47" s="4">
        <v>2764166.4449999998</v>
      </c>
      <c r="J47" s="1">
        <v>6.1882384582669419</v>
      </c>
      <c r="K47" s="2">
        <v>2</v>
      </c>
      <c r="L47" s="1">
        <v>4</v>
      </c>
      <c r="M47" s="4">
        <v>50010.559999999998</v>
      </c>
    </row>
    <row r="48" spans="1:13" x14ac:dyDescent="0.25">
      <c r="A48">
        <f>RANK(H48,H$13:H$798,0)</f>
        <v>36</v>
      </c>
      <c r="B48" s="2">
        <v>168342</v>
      </c>
      <c r="C48" t="s">
        <v>83</v>
      </c>
      <c r="D48" t="s">
        <v>1</v>
      </c>
      <c r="E48" t="s">
        <v>2</v>
      </c>
      <c r="F48" t="s">
        <v>3</v>
      </c>
      <c r="G48" s="4">
        <v>2092</v>
      </c>
      <c r="H48" s="4">
        <v>2888961.6970000002</v>
      </c>
      <c r="I48" s="4">
        <v>2749653.4270000001</v>
      </c>
      <c r="J48" s="1">
        <v>5.0663937728323756</v>
      </c>
      <c r="K48" s="2">
        <v>2</v>
      </c>
      <c r="L48" s="1">
        <v>2</v>
      </c>
      <c r="M48" s="4">
        <v>1380956.83</v>
      </c>
    </row>
    <row r="49" spans="1:13" x14ac:dyDescent="0.25">
      <c r="A49">
        <f>RANK(H49,H$13:H$798,0)</f>
        <v>37</v>
      </c>
      <c r="B49" s="2">
        <v>110662</v>
      </c>
      <c r="C49" t="s">
        <v>84</v>
      </c>
      <c r="D49" t="s">
        <v>59</v>
      </c>
      <c r="E49" t="s">
        <v>12</v>
      </c>
      <c r="F49" t="s">
        <v>75</v>
      </c>
      <c r="G49" s="4">
        <v>45930</v>
      </c>
      <c r="H49" s="4">
        <v>2746929.9619999998</v>
      </c>
      <c r="I49" s="4">
        <v>2522638.4640000002</v>
      </c>
      <c r="J49" s="1">
        <v>8.8911471540933285</v>
      </c>
      <c r="K49" s="2">
        <v>2</v>
      </c>
      <c r="L49" s="1">
        <v>4</v>
      </c>
      <c r="M49" s="4">
        <v>59806.879999999997</v>
      </c>
    </row>
    <row r="50" spans="1:13" x14ac:dyDescent="0.25">
      <c r="A50">
        <f>RANK(H50,H$13:H$798,0)</f>
        <v>38</v>
      </c>
      <c r="B50" s="2">
        <v>243780</v>
      </c>
      <c r="C50" t="s">
        <v>85</v>
      </c>
      <c r="D50" t="s">
        <v>86</v>
      </c>
      <c r="E50" t="s">
        <v>27</v>
      </c>
      <c r="F50" t="s">
        <v>87</v>
      </c>
      <c r="G50" s="4">
        <v>56380.92</v>
      </c>
      <c r="H50" s="4">
        <v>2625277.57473</v>
      </c>
      <c r="I50" s="4">
        <v>2523770.3949899999</v>
      </c>
      <c r="J50" s="1">
        <v>4.0220449507413392</v>
      </c>
      <c r="K50" s="2">
        <v>2</v>
      </c>
      <c r="L50" s="1">
        <v>4</v>
      </c>
      <c r="M50" s="4">
        <v>46563.23</v>
      </c>
    </row>
    <row r="51" spans="1:13" ht="17.25" x14ac:dyDescent="0.25">
      <c r="A51">
        <f>RANK(H51,H$13:H$798,0)</f>
        <v>39</v>
      </c>
      <c r="B51" s="2">
        <v>211440</v>
      </c>
      <c r="C51" t="s">
        <v>1444</v>
      </c>
      <c r="D51" t="s">
        <v>66</v>
      </c>
      <c r="E51" t="s">
        <v>20</v>
      </c>
      <c r="F51" t="s">
        <v>3</v>
      </c>
      <c r="G51" s="4">
        <v>14013</v>
      </c>
      <c r="H51" s="4">
        <v>2542649.8459999999</v>
      </c>
      <c r="I51" s="4">
        <v>2385986.4360000002</v>
      </c>
      <c r="J51" s="1">
        <v>6.5659807464219666</v>
      </c>
      <c r="K51" s="2">
        <v>2</v>
      </c>
      <c r="L51" s="1">
        <v>4</v>
      </c>
      <c r="M51" s="4">
        <v>181449.36</v>
      </c>
    </row>
    <row r="52" spans="1:13" x14ac:dyDescent="0.25">
      <c r="A52">
        <f>RANK(H52,H$13:H$798,0)</f>
        <v>40</v>
      </c>
      <c r="B52" s="2">
        <v>164924</v>
      </c>
      <c r="C52" t="s">
        <v>88</v>
      </c>
      <c r="D52" t="s">
        <v>89</v>
      </c>
      <c r="E52" t="s">
        <v>2</v>
      </c>
      <c r="F52" t="s">
        <v>3</v>
      </c>
      <c r="G52" s="4">
        <v>13526</v>
      </c>
      <c r="H52" s="4">
        <v>2523300</v>
      </c>
      <c r="I52" s="4">
        <v>2477700</v>
      </c>
      <c r="J52" s="1">
        <v>1.8404165153166243</v>
      </c>
      <c r="K52" s="2">
        <v>2</v>
      </c>
      <c r="L52" s="1">
        <v>4</v>
      </c>
      <c r="M52" s="4">
        <v>186551.83</v>
      </c>
    </row>
    <row r="53" spans="1:13" x14ac:dyDescent="0.25">
      <c r="A53">
        <f>RANK(H53,H$13:H$798,0)</f>
        <v>41</v>
      </c>
      <c r="B53" s="2">
        <v>233374</v>
      </c>
      <c r="C53" t="s">
        <v>90</v>
      </c>
      <c r="D53" t="s">
        <v>91</v>
      </c>
      <c r="E53" t="s">
        <v>49</v>
      </c>
      <c r="F53" t="s">
        <v>3</v>
      </c>
      <c r="G53" s="4">
        <v>3633.33</v>
      </c>
      <c r="H53" s="4">
        <v>2517968.9580000001</v>
      </c>
      <c r="I53" s="4">
        <v>2511584.4649999999</v>
      </c>
      <c r="J53" s="1">
        <v>0.25420180324296798</v>
      </c>
      <c r="K53" s="2">
        <v>2</v>
      </c>
      <c r="L53" s="1">
        <v>2</v>
      </c>
      <c r="M53" s="4">
        <v>693019.62</v>
      </c>
    </row>
    <row r="54" spans="1:13" x14ac:dyDescent="0.25">
      <c r="A54">
        <f>RANK(H54,H$13:H$798,0)</f>
        <v>42</v>
      </c>
      <c r="B54" s="2">
        <v>151351</v>
      </c>
      <c r="C54" t="s">
        <v>92</v>
      </c>
      <c r="D54" t="s">
        <v>93</v>
      </c>
      <c r="E54" t="s">
        <v>27</v>
      </c>
      <c r="F54" t="s">
        <v>87</v>
      </c>
      <c r="G54" s="4">
        <v>81869.399999999994</v>
      </c>
      <c r="H54" s="4">
        <v>2486037.2089999998</v>
      </c>
      <c r="I54" s="4">
        <v>2397368.7749999999</v>
      </c>
      <c r="J54" s="1">
        <v>3.6985729907156184</v>
      </c>
      <c r="K54" s="2">
        <v>2</v>
      </c>
      <c r="L54" s="1">
        <v>4</v>
      </c>
      <c r="M54" s="4">
        <v>30365.89</v>
      </c>
    </row>
    <row r="55" spans="1:13" x14ac:dyDescent="0.25">
      <c r="A55">
        <f>RANK(H55,H$13:H$798,0)</f>
        <v>43</v>
      </c>
      <c r="B55" s="2">
        <v>164465</v>
      </c>
      <c r="C55" t="s">
        <v>96</v>
      </c>
      <c r="D55" t="s">
        <v>97</v>
      </c>
      <c r="E55" t="s">
        <v>2</v>
      </c>
      <c r="F55" t="s">
        <v>3</v>
      </c>
      <c r="G55" s="4">
        <v>1856</v>
      </c>
      <c r="H55" s="4">
        <v>2473283.2059999998</v>
      </c>
      <c r="I55" s="4">
        <v>2377537.2459999998</v>
      </c>
      <c r="J55" s="1">
        <v>4.0271066272919276</v>
      </c>
      <c r="K55" s="2">
        <v>2</v>
      </c>
      <c r="L55" s="1">
        <v>2</v>
      </c>
      <c r="M55" s="4">
        <v>1332587.93</v>
      </c>
    </row>
    <row r="56" spans="1:13" ht="17.25" x14ac:dyDescent="0.25">
      <c r="A56" s="25">
        <f>RANK(H56,H$13:H$798,0)</f>
        <v>44</v>
      </c>
      <c r="B56" s="26">
        <v>149587</v>
      </c>
      <c r="C56" s="25" t="s">
        <v>1445</v>
      </c>
      <c r="D56" s="25" t="s">
        <v>378</v>
      </c>
      <c r="E56" s="25" t="s">
        <v>30</v>
      </c>
      <c r="F56" s="25" t="s">
        <v>1380</v>
      </c>
      <c r="G56" s="27">
        <v>85680</v>
      </c>
      <c r="H56" s="27">
        <v>2353821</v>
      </c>
      <c r="I56" s="27">
        <v>2293864</v>
      </c>
      <c r="J56" s="28">
        <v>2.61</v>
      </c>
      <c r="K56" s="26">
        <v>3</v>
      </c>
      <c r="L56" s="28">
        <v>6</v>
      </c>
      <c r="M56" s="27">
        <v>27472</v>
      </c>
    </row>
    <row r="57" spans="1:13" x14ac:dyDescent="0.25">
      <c r="A57">
        <f>RANK(H57,H$13:H$798,0)</f>
        <v>45</v>
      </c>
      <c r="B57" s="2">
        <v>121345</v>
      </c>
      <c r="C57" t="s">
        <v>98</v>
      </c>
      <c r="D57" t="s">
        <v>99</v>
      </c>
      <c r="E57" t="s">
        <v>12</v>
      </c>
      <c r="F57" t="s">
        <v>3</v>
      </c>
      <c r="G57" s="4">
        <v>1564</v>
      </c>
      <c r="H57" s="4">
        <v>2324594.3930000002</v>
      </c>
      <c r="I57" s="4">
        <v>2272206.09</v>
      </c>
      <c r="J57" s="1">
        <v>2.3056140563376584</v>
      </c>
      <c r="K57" s="2">
        <v>2</v>
      </c>
      <c r="L57" s="1">
        <v>2</v>
      </c>
      <c r="M57" s="4">
        <v>1486313.55</v>
      </c>
    </row>
    <row r="58" spans="1:13" x14ac:dyDescent="0.25">
      <c r="A58">
        <f>RANK(H58,H$13:H$798,0)</f>
        <v>46</v>
      </c>
      <c r="B58" s="2">
        <v>164988</v>
      </c>
      <c r="C58" t="s">
        <v>100</v>
      </c>
      <c r="D58" t="s">
        <v>1</v>
      </c>
      <c r="E58" t="s">
        <v>2</v>
      </c>
      <c r="F58" t="s">
        <v>3</v>
      </c>
      <c r="G58" s="5" t="s">
        <v>1363</v>
      </c>
      <c r="H58" s="4">
        <v>2304234.835</v>
      </c>
      <c r="I58" s="4">
        <v>2161595.5589999999</v>
      </c>
      <c r="J58" s="1">
        <v>6.5987957555754804</v>
      </c>
      <c r="K58" s="2">
        <v>2</v>
      </c>
      <c r="L58" s="1">
        <v>4</v>
      </c>
      <c r="M58" s="5" t="s">
        <v>1363</v>
      </c>
    </row>
    <row r="59" spans="1:13" x14ac:dyDescent="0.25">
      <c r="A59">
        <f>RANK(H59,H$13:H$798,0)</f>
        <v>47</v>
      </c>
      <c r="B59" s="2">
        <v>195049</v>
      </c>
      <c r="C59" t="s">
        <v>101</v>
      </c>
      <c r="D59" t="s">
        <v>46</v>
      </c>
      <c r="E59" t="s">
        <v>33</v>
      </c>
      <c r="F59" t="s">
        <v>3</v>
      </c>
      <c r="G59" s="4">
        <v>200</v>
      </c>
      <c r="H59" s="4">
        <v>2293238.5090000001</v>
      </c>
      <c r="I59" s="4">
        <v>2194245.1680000001</v>
      </c>
      <c r="J59" s="1">
        <v>4.5114986439837983</v>
      </c>
      <c r="K59" s="2">
        <v>2</v>
      </c>
      <c r="L59" s="1">
        <v>4</v>
      </c>
      <c r="M59" s="4">
        <v>11466192.550000001</v>
      </c>
    </row>
    <row r="60" spans="1:13" x14ac:dyDescent="0.25">
      <c r="A60">
        <f>RANK(H60,H$13:H$798,0)</f>
        <v>48</v>
      </c>
      <c r="B60" s="2">
        <v>195030</v>
      </c>
      <c r="C60" t="s">
        <v>102</v>
      </c>
      <c r="D60" t="s">
        <v>103</v>
      </c>
      <c r="E60" t="s">
        <v>33</v>
      </c>
      <c r="F60" t="s">
        <v>3</v>
      </c>
      <c r="G60" s="4">
        <v>10564</v>
      </c>
      <c r="H60" s="4">
        <v>2239720</v>
      </c>
      <c r="I60" s="4">
        <v>2177868</v>
      </c>
      <c r="J60" s="1">
        <v>2.840025198956043</v>
      </c>
      <c r="K60" s="2">
        <v>2</v>
      </c>
      <c r="L60" s="1">
        <v>4</v>
      </c>
      <c r="M60" s="4">
        <v>212014.39</v>
      </c>
    </row>
    <row r="61" spans="1:13" x14ac:dyDescent="0.25">
      <c r="A61">
        <f>RANK(H61,H$13:H$798,0)</f>
        <v>49</v>
      </c>
      <c r="B61" s="2">
        <v>168218</v>
      </c>
      <c r="C61" t="s">
        <v>104</v>
      </c>
      <c r="D61" t="s">
        <v>105</v>
      </c>
      <c r="E61" t="s">
        <v>2</v>
      </c>
      <c r="F61" t="s">
        <v>3</v>
      </c>
      <c r="G61" s="4">
        <v>2383</v>
      </c>
      <c r="H61" s="4">
        <v>2173415</v>
      </c>
      <c r="I61" s="4">
        <v>2105212</v>
      </c>
      <c r="J61" s="1">
        <v>3.239721225225773</v>
      </c>
      <c r="K61" s="2">
        <v>2</v>
      </c>
      <c r="L61" s="1">
        <v>2</v>
      </c>
      <c r="M61" s="4">
        <v>912049.94</v>
      </c>
    </row>
    <row r="62" spans="1:13" x14ac:dyDescent="0.25">
      <c r="A62">
        <f>RANK(H62,H$13:H$798,0)</f>
        <v>50</v>
      </c>
      <c r="B62" s="2">
        <v>139755</v>
      </c>
      <c r="C62" t="s">
        <v>106</v>
      </c>
      <c r="D62" t="s">
        <v>43</v>
      </c>
      <c r="E62" t="s">
        <v>44</v>
      </c>
      <c r="F62" t="s">
        <v>87</v>
      </c>
      <c r="G62" s="4">
        <v>24817</v>
      </c>
      <c r="H62" s="4">
        <v>2169004.5429400001</v>
      </c>
      <c r="I62" s="4">
        <v>2089440.2696099998</v>
      </c>
      <c r="J62" s="1">
        <v>3.8079228436068737</v>
      </c>
      <c r="K62" s="2">
        <v>2</v>
      </c>
      <c r="L62" s="1">
        <v>4</v>
      </c>
      <c r="M62" s="4">
        <v>87399.95</v>
      </c>
    </row>
    <row r="63" spans="1:13" x14ac:dyDescent="0.25">
      <c r="A63">
        <f>RANK(H63,H$13:H$798,0)</f>
        <v>51</v>
      </c>
      <c r="B63" s="2">
        <v>216287</v>
      </c>
      <c r="C63" t="s">
        <v>107</v>
      </c>
      <c r="D63" t="s">
        <v>108</v>
      </c>
      <c r="E63" t="s">
        <v>20</v>
      </c>
      <c r="F63" t="s">
        <v>3</v>
      </c>
      <c r="G63" s="4">
        <v>1555.7</v>
      </c>
      <c r="H63" s="4">
        <v>2131553</v>
      </c>
      <c r="I63" s="4">
        <v>2115768</v>
      </c>
      <c r="J63" s="1">
        <v>0.74606478593116066</v>
      </c>
      <c r="K63" s="2">
        <v>2</v>
      </c>
      <c r="L63" s="1">
        <v>2</v>
      </c>
      <c r="M63" s="4">
        <v>1370156.84</v>
      </c>
    </row>
    <row r="64" spans="1:13" x14ac:dyDescent="0.25">
      <c r="A64">
        <f>RANK(H64,H$13:H$798,0)</f>
        <v>52</v>
      </c>
      <c r="B64" s="2">
        <v>110635</v>
      </c>
      <c r="C64" t="s">
        <v>109</v>
      </c>
      <c r="D64" t="s">
        <v>1101</v>
      </c>
      <c r="E64" t="s">
        <v>12</v>
      </c>
      <c r="F64" t="s">
        <v>75</v>
      </c>
      <c r="G64" s="4">
        <v>41433</v>
      </c>
      <c r="H64" s="4">
        <v>2070905.0120000001</v>
      </c>
      <c r="I64" s="4">
        <v>1944306.108</v>
      </c>
      <c r="J64" s="1">
        <v>6.5112640174866998</v>
      </c>
      <c r="K64" s="2">
        <v>2</v>
      </c>
      <c r="L64" s="1">
        <v>4</v>
      </c>
      <c r="M64" s="4">
        <v>49982.02</v>
      </c>
    </row>
    <row r="65" spans="1:13" x14ac:dyDescent="0.25">
      <c r="A65">
        <f>RANK(H65,H$13:H$798,0)</f>
        <v>53</v>
      </c>
      <c r="B65" s="2">
        <v>153384</v>
      </c>
      <c r="C65" t="s">
        <v>111</v>
      </c>
      <c r="D65" t="s">
        <v>112</v>
      </c>
      <c r="E65" t="s">
        <v>113</v>
      </c>
      <c r="F65" t="s">
        <v>3</v>
      </c>
      <c r="G65" s="4">
        <v>1691</v>
      </c>
      <c r="H65" s="4">
        <v>2069953.402</v>
      </c>
      <c r="I65" s="4">
        <v>1991605.135</v>
      </c>
      <c r="J65" s="1">
        <v>3.9339257377441936</v>
      </c>
      <c r="K65" s="2">
        <v>2</v>
      </c>
      <c r="L65" s="1">
        <v>2</v>
      </c>
      <c r="M65" s="4">
        <v>1224100.18</v>
      </c>
    </row>
    <row r="66" spans="1:13" x14ac:dyDescent="0.25">
      <c r="A66">
        <f>RANK(H66,H$13:H$798,0)</f>
        <v>54</v>
      </c>
      <c r="B66" s="2">
        <v>234030</v>
      </c>
      <c r="C66" t="s">
        <v>114</v>
      </c>
      <c r="D66" t="s">
        <v>91</v>
      </c>
      <c r="E66" t="s">
        <v>49</v>
      </c>
      <c r="F66" t="s">
        <v>75</v>
      </c>
      <c r="G66" s="5" t="s">
        <v>1363</v>
      </c>
      <c r="H66" s="4">
        <v>2042520.263</v>
      </c>
      <c r="I66" s="4">
        <v>1951336.608</v>
      </c>
      <c r="J66" s="1">
        <v>4.6728818916310733</v>
      </c>
      <c r="K66" s="2">
        <v>2</v>
      </c>
      <c r="L66" s="1">
        <v>4</v>
      </c>
      <c r="M66" s="5" t="s">
        <v>1363</v>
      </c>
    </row>
    <row r="67" spans="1:13" x14ac:dyDescent="0.25">
      <c r="A67" s="30">
        <f>RANK(H67,H$13:H$798,0)</f>
        <v>55</v>
      </c>
      <c r="B67" s="31" t="s">
        <v>1363</v>
      </c>
      <c r="C67" s="30" t="s">
        <v>115</v>
      </c>
      <c r="D67" s="30" t="s">
        <v>116</v>
      </c>
      <c r="E67" s="30" t="s">
        <v>117</v>
      </c>
      <c r="F67" s="30" t="s">
        <v>1388</v>
      </c>
      <c r="G67" s="32">
        <v>80652</v>
      </c>
      <c r="H67" s="32">
        <v>1987175.763</v>
      </c>
      <c r="I67" s="32">
        <v>1925509.31</v>
      </c>
      <c r="J67" s="33">
        <v>3.2026047695401685</v>
      </c>
      <c r="K67" s="24">
        <v>3</v>
      </c>
      <c r="L67" s="33">
        <v>6</v>
      </c>
      <c r="M67" s="32">
        <v>24638.89</v>
      </c>
    </row>
    <row r="68" spans="1:13" x14ac:dyDescent="0.25">
      <c r="A68">
        <f>RANK(H68,H$13:H$798,0)</f>
        <v>56</v>
      </c>
      <c r="B68" s="2">
        <v>167835</v>
      </c>
      <c r="C68" t="s">
        <v>118</v>
      </c>
      <c r="D68" t="s">
        <v>119</v>
      </c>
      <c r="E68" t="s">
        <v>2</v>
      </c>
      <c r="F68" t="s">
        <v>3</v>
      </c>
      <c r="G68" s="4">
        <v>2891</v>
      </c>
      <c r="H68" s="4">
        <v>1913253</v>
      </c>
      <c r="I68" s="4">
        <v>1875093</v>
      </c>
      <c r="J68" s="1">
        <v>2.0350990590866691</v>
      </c>
      <c r="K68" s="2">
        <v>2</v>
      </c>
      <c r="L68" s="1">
        <v>2</v>
      </c>
      <c r="M68" s="4">
        <v>661796.26</v>
      </c>
    </row>
    <row r="69" spans="1:13" x14ac:dyDescent="0.25">
      <c r="A69">
        <f>RANK(H69,H$13:H$798,0)</f>
        <v>57</v>
      </c>
      <c r="B69" s="2">
        <v>168148</v>
      </c>
      <c r="C69" t="s">
        <v>120</v>
      </c>
      <c r="D69" t="s">
        <v>121</v>
      </c>
      <c r="E69" t="s">
        <v>2</v>
      </c>
      <c r="F69" t="s">
        <v>3</v>
      </c>
      <c r="G69" s="4">
        <v>11007</v>
      </c>
      <c r="H69" s="4">
        <v>1867962</v>
      </c>
      <c r="I69" s="4">
        <v>1845956</v>
      </c>
      <c r="J69" s="1">
        <v>1.1921194221314051</v>
      </c>
      <c r="K69" s="2">
        <v>2</v>
      </c>
      <c r="L69" s="1">
        <v>4</v>
      </c>
      <c r="M69" s="4">
        <v>169706.73</v>
      </c>
    </row>
    <row r="70" spans="1:13" x14ac:dyDescent="0.25">
      <c r="A70">
        <f>RANK(H70,H$13:H$798,0)</f>
        <v>58</v>
      </c>
      <c r="B70" s="2">
        <v>201645</v>
      </c>
      <c r="C70" t="s">
        <v>122</v>
      </c>
      <c r="D70" t="s">
        <v>123</v>
      </c>
      <c r="E70" t="s">
        <v>63</v>
      </c>
      <c r="F70" t="s">
        <v>3</v>
      </c>
      <c r="G70" s="4">
        <v>11163.33</v>
      </c>
      <c r="H70" s="4">
        <v>1866500.0819999999</v>
      </c>
      <c r="I70" s="4">
        <v>1842899.3189999999</v>
      </c>
      <c r="J70" s="1">
        <v>1.2806322492324951</v>
      </c>
      <c r="K70" s="2">
        <v>2</v>
      </c>
      <c r="L70" s="1">
        <v>4</v>
      </c>
      <c r="M70" s="4">
        <v>167199.22</v>
      </c>
    </row>
    <row r="71" spans="1:13" x14ac:dyDescent="0.25">
      <c r="A71">
        <f>RANK(H71,H$13:H$798,0)</f>
        <v>59</v>
      </c>
      <c r="B71" s="2">
        <v>110699</v>
      </c>
      <c r="C71" t="s">
        <v>124</v>
      </c>
      <c r="D71" t="s">
        <v>110</v>
      </c>
      <c r="E71" t="s">
        <v>12</v>
      </c>
      <c r="F71" t="s">
        <v>75</v>
      </c>
      <c r="G71" s="4">
        <v>3153</v>
      </c>
      <c r="H71" s="4">
        <v>1840206.294</v>
      </c>
      <c r="I71" s="4">
        <v>1664470.7749999999</v>
      </c>
      <c r="J71" s="1">
        <v>10.558041729510096</v>
      </c>
      <c r="K71" s="2">
        <v>2</v>
      </c>
      <c r="L71" s="1">
        <v>5</v>
      </c>
      <c r="M71" s="4">
        <v>583636.63</v>
      </c>
    </row>
    <row r="72" spans="1:13" x14ac:dyDescent="0.25">
      <c r="A72">
        <f>RANK(H72,H$13:H$798,0)</f>
        <v>60</v>
      </c>
      <c r="B72" s="2">
        <v>134130</v>
      </c>
      <c r="C72" t="s">
        <v>125</v>
      </c>
      <c r="D72" t="s">
        <v>126</v>
      </c>
      <c r="E72" t="s">
        <v>127</v>
      </c>
      <c r="F72" t="s">
        <v>75</v>
      </c>
      <c r="G72" s="4">
        <v>51336</v>
      </c>
      <c r="H72" s="4">
        <v>1825249.5319999999</v>
      </c>
      <c r="I72" s="4">
        <v>1734661.112</v>
      </c>
      <c r="J72" s="1">
        <v>5.2222546163818038</v>
      </c>
      <c r="K72" s="2">
        <v>2</v>
      </c>
      <c r="L72" s="1">
        <v>4</v>
      </c>
      <c r="M72" s="4">
        <v>35554.959999999999</v>
      </c>
    </row>
    <row r="73" spans="1:13" x14ac:dyDescent="0.25">
      <c r="A73">
        <f>RANK(H73,H$13:H$798,0)</f>
        <v>61</v>
      </c>
      <c r="B73" s="2">
        <v>131496</v>
      </c>
      <c r="C73" t="s">
        <v>128</v>
      </c>
      <c r="D73" t="s">
        <v>129</v>
      </c>
      <c r="E73" t="s">
        <v>130</v>
      </c>
      <c r="F73" t="s">
        <v>3</v>
      </c>
      <c r="G73" s="4">
        <v>16229</v>
      </c>
      <c r="H73" s="4">
        <v>1822484</v>
      </c>
      <c r="I73" s="4">
        <v>1769557</v>
      </c>
      <c r="J73" s="1">
        <v>2.9909745772529508</v>
      </c>
      <c r="K73" s="2">
        <v>2</v>
      </c>
      <c r="L73" s="1">
        <v>4</v>
      </c>
      <c r="M73" s="4">
        <v>112297.99</v>
      </c>
    </row>
    <row r="74" spans="1:13" x14ac:dyDescent="0.25">
      <c r="A74">
        <f>RANK(H74,H$13:H$798,0)</f>
        <v>62</v>
      </c>
      <c r="B74" s="2">
        <v>155317</v>
      </c>
      <c r="C74" t="s">
        <v>131</v>
      </c>
      <c r="D74" t="s">
        <v>132</v>
      </c>
      <c r="E74" t="s">
        <v>133</v>
      </c>
      <c r="F74" t="s">
        <v>87</v>
      </c>
      <c r="G74" s="4">
        <v>22546</v>
      </c>
      <c r="H74" s="4">
        <v>1816930.9550000001</v>
      </c>
      <c r="I74" s="4">
        <v>1740763.0889999999</v>
      </c>
      <c r="J74" s="1">
        <v>4.3755446379412613</v>
      </c>
      <c r="K74" s="2">
        <v>2</v>
      </c>
      <c r="L74" s="1">
        <v>4</v>
      </c>
      <c r="M74" s="4">
        <v>80587.73</v>
      </c>
    </row>
    <row r="75" spans="1:13" x14ac:dyDescent="0.25">
      <c r="A75">
        <f>RANK(H75,H$13:H$798,0)</f>
        <v>63</v>
      </c>
      <c r="B75" s="2">
        <v>131469</v>
      </c>
      <c r="C75" t="s">
        <v>134</v>
      </c>
      <c r="D75" t="s">
        <v>129</v>
      </c>
      <c r="E75" t="s">
        <v>130</v>
      </c>
      <c r="F75" t="s">
        <v>3</v>
      </c>
      <c r="G75" s="4">
        <v>23788</v>
      </c>
      <c r="H75" s="4">
        <v>1778559.425</v>
      </c>
      <c r="I75" s="4">
        <v>1798809.9790000001</v>
      </c>
      <c r="J75" s="1">
        <v>-1.1257750533081741</v>
      </c>
      <c r="K75" s="2">
        <v>2</v>
      </c>
      <c r="L75" s="1">
        <v>4</v>
      </c>
      <c r="M75" s="4">
        <v>74767.09</v>
      </c>
    </row>
    <row r="76" spans="1:13" x14ac:dyDescent="0.25">
      <c r="A76">
        <f>RANK(H76,H$13:H$798,0)</f>
        <v>64</v>
      </c>
      <c r="B76" s="2">
        <v>161004</v>
      </c>
      <c r="C76" t="s">
        <v>135</v>
      </c>
      <c r="D76" t="s">
        <v>136</v>
      </c>
      <c r="E76" t="s">
        <v>137</v>
      </c>
      <c r="F76" t="s">
        <v>3</v>
      </c>
      <c r="G76" s="4">
        <v>1828</v>
      </c>
      <c r="H76" s="4">
        <v>1743663.0149999999</v>
      </c>
      <c r="I76" s="4">
        <v>1628165.4240000001</v>
      </c>
      <c r="J76" s="1">
        <v>7.0937258154181126</v>
      </c>
      <c r="K76" s="2">
        <v>2</v>
      </c>
      <c r="L76" s="1">
        <v>2</v>
      </c>
      <c r="M76" s="4">
        <v>953863.79</v>
      </c>
    </row>
    <row r="77" spans="1:13" x14ac:dyDescent="0.25">
      <c r="A77">
        <f>RANK(H77,H$13:H$798,0)</f>
        <v>65</v>
      </c>
      <c r="B77" s="2">
        <v>228875</v>
      </c>
      <c r="C77" t="s">
        <v>138</v>
      </c>
      <c r="D77" t="s">
        <v>139</v>
      </c>
      <c r="E77" t="s">
        <v>6</v>
      </c>
      <c r="F77" t="s">
        <v>3</v>
      </c>
      <c r="G77" s="4">
        <v>10782</v>
      </c>
      <c r="H77" s="4">
        <v>1708866.95</v>
      </c>
      <c r="I77" s="4">
        <v>1632901.19</v>
      </c>
      <c r="J77" s="1">
        <v>4.6521957645214291</v>
      </c>
      <c r="K77" s="2">
        <v>2</v>
      </c>
      <c r="L77" s="1">
        <v>4</v>
      </c>
      <c r="M77" s="4">
        <v>158492.57999999999</v>
      </c>
    </row>
    <row r="78" spans="1:13" x14ac:dyDescent="0.25">
      <c r="A78">
        <f>RANK(H78,H$13:H$798,0)</f>
        <v>66</v>
      </c>
      <c r="B78" s="2">
        <v>234207</v>
      </c>
      <c r="C78" t="s">
        <v>140</v>
      </c>
      <c r="D78" t="s">
        <v>141</v>
      </c>
      <c r="E78" t="s">
        <v>49</v>
      </c>
      <c r="F78" t="s">
        <v>3</v>
      </c>
      <c r="G78" s="4">
        <v>2220.3330000000001</v>
      </c>
      <c r="H78" s="4">
        <v>1676308</v>
      </c>
      <c r="I78" s="4">
        <v>1603114</v>
      </c>
      <c r="J78" s="1">
        <v>4.5657389306063081</v>
      </c>
      <c r="K78" s="2">
        <v>2</v>
      </c>
      <c r="L78" s="1">
        <v>2</v>
      </c>
      <c r="M78" s="4">
        <v>754980.45</v>
      </c>
    </row>
    <row r="79" spans="1:13" x14ac:dyDescent="0.25">
      <c r="A79">
        <f>RANK(H79,H$13:H$798,0)</f>
        <v>67</v>
      </c>
      <c r="B79" s="2">
        <v>228246</v>
      </c>
      <c r="C79" t="s">
        <v>142</v>
      </c>
      <c r="D79" t="s">
        <v>143</v>
      </c>
      <c r="E79" t="s">
        <v>6</v>
      </c>
      <c r="F79" t="s">
        <v>3</v>
      </c>
      <c r="G79" s="4">
        <v>10145.6</v>
      </c>
      <c r="H79" s="4">
        <v>1663863.5430000001</v>
      </c>
      <c r="I79" s="4">
        <v>1632794.5689999999</v>
      </c>
      <c r="J79" s="1">
        <v>1.9028097342967194</v>
      </c>
      <c r="K79" s="2">
        <v>2</v>
      </c>
      <c r="L79" s="1">
        <v>4</v>
      </c>
      <c r="M79" s="4">
        <v>163998.54</v>
      </c>
    </row>
    <row r="80" spans="1:13" x14ac:dyDescent="0.25">
      <c r="A80">
        <f>RANK(H80,H$13:H$798,0)</f>
        <v>68</v>
      </c>
      <c r="B80" s="2">
        <v>232557</v>
      </c>
      <c r="C80" t="s">
        <v>144</v>
      </c>
      <c r="D80" t="s">
        <v>145</v>
      </c>
      <c r="E80" t="s">
        <v>49</v>
      </c>
      <c r="F80" t="s">
        <v>3</v>
      </c>
      <c r="G80" s="4">
        <v>68724</v>
      </c>
      <c r="H80" s="4">
        <v>1587918.5589999999</v>
      </c>
      <c r="I80" s="4">
        <v>1432964.2250000001</v>
      </c>
      <c r="J80" s="1">
        <v>10.813552166663461</v>
      </c>
      <c r="K80" s="2">
        <v>2</v>
      </c>
      <c r="L80" s="1">
        <v>4</v>
      </c>
      <c r="M80" s="4">
        <v>23105.74</v>
      </c>
    </row>
    <row r="81" spans="1:13" x14ac:dyDescent="0.25">
      <c r="A81">
        <f>RANK(H81,H$13:H$798,0)</f>
        <v>69</v>
      </c>
      <c r="B81" s="2">
        <v>153658</v>
      </c>
      <c r="C81" t="s">
        <v>146</v>
      </c>
      <c r="D81" t="s">
        <v>147</v>
      </c>
      <c r="E81" t="s">
        <v>113</v>
      </c>
      <c r="F81" t="s">
        <v>7</v>
      </c>
      <c r="G81" s="4">
        <v>62000</v>
      </c>
      <c r="H81" s="4">
        <v>1578933.348</v>
      </c>
      <c r="I81" s="5" t="s">
        <v>1363</v>
      </c>
      <c r="J81" s="40" t="s">
        <v>1363</v>
      </c>
      <c r="K81" s="2">
        <v>2</v>
      </c>
      <c r="L81" s="1">
        <v>4</v>
      </c>
      <c r="M81" s="4">
        <v>25466.67</v>
      </c>
    </row>
    <row r="82" spans="1:13" x14ac:dyDescent="0.25">
      <c r="A82">
        <f>RANK(H82,H$13:H$798,0)</f>
        <v>70</v>
      </c>
      <c r="B82" s="2">
        <v>100733</v>
      </c>
      <c r="C82" t="s">
        <v>148</v>
      </c>
      <c r="D82" t="s">
        <v>149</v>
      </c>
      <c r="E82" t="s">
        <v>150</v>
      </c>
      <c r="F82" t="s">
        <v>7</v>
      </c>
      <c r="G82" s="4">
        <v>59605</v>
      </c>
      <c r="H82" s="4">
        <v>1519595.2720000001</v>
      </c>
      <c r="I82" s="4">
        <v>1451750.2620000001</v>
      </c>
      <c r="J82" s="1">
        <v>4.6733251424755036</v>
      </c>
      <c r="K82" s="2">
        <v>3</v>
      </c>
      <c r="L82" s="1">
        <v>6</v>
      </c>
      <c r="M82" s="4">
        <v>25494.43</v>
      </c>
    </row>
    <row r="83" spans="1:13" x14ac:dyDescent="0.25">
      <c r="A83">
        <f>RANK(H83,H$13:H$798,0)</f>
        <v>71</v>
      </c>
      <c r="B83" s="2">
        <v>186380</v>
      </c>
      <c r="C83" t="s">
        <v>151</v>
      </c>
      <c r="D83" t="s">
        <v>152</v>
      </c>
      <c r="E83" t="s">
        <v>15</v>
      </c>
      <c r="F83" t="s">
        <v>7</v>
      </c>
      <c r="G83" s="4">
        <v>62105</v>
      </c>
      <c r="H83" s="4">
        <v>1476072</v>
      </c>
      <c r="I83" s="4">
        <v>1330011</v>
      </c>
      <c r="J83" s="1">
        <v>10.98</v>
      </c>
      <c r="K83" s="2">
        <v>2</v>
      </c>
      <c r="L83" s="1">
        <v>4</v>
      </c>
      <c r="M83" s="4">
        <v>23767</v>
      </c>
    </row>
    <row r="84" spans="1:13" x14ac:dyDescent="0.25">
      <c r="A84">
        <f>RANK(H84,H$13:H$798,0)</f>
        <v>72</v>
      </c>
      <c r="B84" s="2">
        <v>130943</v>
      </c>
      <c r="C84" t="s">
        <v>153</v>
      </c>
      <c r="D84" t="s">
        <v>154</v>
      </c>
      <c r="E84" t="s">
        <v>155</v>
      </c>
      <c r="F84" t="s">
        <v>7</v>
      </c>
      <c r="G84" s="4">
        <v>22505</v>
      </c>
      <c r="H84" s="4">
        <v>1466069.9339999999</v>
      </c>
      <c r="I84" s="4">
        <v>1413197.459</v>
      </c>
      <c r="J84" s="1">
        <v>3.7413366874727636</v>
      </c>
      <c r="K84" s="2">
        <v>2</v>
      </c>
      <c r="L84" s="1">
        <v>4</v>
      </c>
      <c r="M84" s="4">
        <v>65144.19</v>
      </c>
    </row>
    <row r="85" spans="1:13" x14ac:dyDescent="0.25">
      <c r="A85">
        <f>RANK(H85,H$13:H$798,0)</f>
        <v>73</v>
      </c>
      <c r="B85" s="2">
        <v>201885</v>
      </c>
      <c r="C85" t="s">
        <v>177</v>
      </c>
      <c r="D85" t="s">
        <v>178</v>
      </c>
      <c r="E85" t="s">
        <v>63</v>
      </c>
      <c r="F85" t="s">
        <v>7</v>
      </c>
      <c r="G85" s="4">
        <v>46388</v>
      </c>
      <c r="H85" s="4">
        <v>1453000</v>
      </c>
      <c r="I85" s="4">
        <v>1367000</v>
      </c>
      <c r="J85" s="1">
        <v>6.29</v>
      </c>
      <c r="K85" s="2">
        <v>2</v>
      </c>
      <c r="L85" s="1">
        <v>4</v>
      </c>
      <c r="M85" s="4">
        <v>31323</v>
      </c>
    </row>
    <row r="86" spans="1:13" x14ac:dyDescent="0.25">
      <c r="A86">
        <f>RANK(H86,H$13:H$798,0)</f>
        <v>74</v>
      </c>
      <c r="B86" s="2">
        <v>128300</v>
      </c>
      <c r="C86" t="s">
        <v>156</v>
      </c>
      <c r="D86" t="s">
        <v>157</v>
      </c>
      <c r="E86" t="s">
        <v>158</v>
      </c>
      <c r="F86" t="s">
        <v>75</v>
      </c>
      <c r="G86" s="4">
        <v>59560</v>
      </c>
      <c r="H86" s="4">
        <v>1452722.2819999999</v>
      </c>
      <c r="I86" s="4">
        <v>1360520.9820000001</v>
      </c>
      <c r="J86" s="1">
        <v>6.7769112876496465</v>
      </c>
      <c r="K86" s="2">
        <v>3</v>
      </c>
      <c r="L86" s="1">
        <v>6</v>
      </c>
      <c r="M86" s="4">
        <v>24390.9</v>
      </c>
    </row>
    <row r="87" spans="1:13" x14ac:dyDescent="0.25">
      <c r="A87">
        <f>RANK(H87,H$13:H$798,0)</f>
        <v>75</v>
      </c>
      <c r="B87" s="2">
        <v>164146</v>
      </c>
      <c r="C87" t="s">
        <v>159</v>
      </c>
      <c r="D87" t="s">
        <v>160</v>
      </c>
      <c r="E87" t="s">
        <v>54</v>
      </c>
      <c r="F87" t="s">
        <v>75</v>
      </c>
      <c r="G87" s="5" t="s">
        <v>1363</v>
      </c>
      <c r="H87" s="4">
        <v>1436215.487</v>
      </c>
      <c r="I87" s="4">
        <v>1322817.81</v>
      </c>
      <c r="J87" s="1">
        <v>8.572433493316808</v>
      </c>
      <c r="K87" s="2">
        <v>3</v>
      </c>
      <c r="L87" s="1">
        <v>6</v>
      </c>
      <c r="M87" s="5" t="s">
        <v>1363</v>
      </c>
    </row>
    <row r="88" spans="1:13" x14ac:dyDescent="0.25">
      <c r="A88">
        <f>RANK(H88,H$13:H$798,0)</f>
        <v>76</v>
      </c>
      <c r="B88" s="2">
        <v>181464</v>
      </c>
      <c r="C88" t="s">
        <v>161</v>
      </c>
      <c r="D88" t="s">
        <v>162</v>
      </c>
      <c r="E88" t="s">
        <v>163</v>
      </c>
      <c r="F88" t="s">
        <v>7</v>
      </c>
      <c r="G88" s="4">
        <v>44314</v>
      </c>
      <c r="H88" s="4">
        <v>1435753</v>
      </c>
      <c r="I88" s="4">
        <v>1398207</v>
      </c>
      <c r="J88" s="1">
        <v>2.6852962401132308</v>
      </c>
      <c r="K88" s="2">
        <v>2</v>
      </c>
      <c r="L88" s="1">
        <v>4</v>
      </c>
      <c r="M88" s="4">
        <v>32399.54</v>
      </c>
    </row>
    <row r="89" spans="1:13" x14ac:dyDescent="0.25">
      <c r="A89">
        <f>RANK(H89,H$13:H$798,0)</f>
        <v>77</v>
      </c>
      <c r="B89" s="2">
        <v>160755</v>
      </c>
      <c r="C89" t="s">
        <v>164</v>
      </c>
      <c r="D89" t="s">
        <v>165</v>
      </c>
      <c r="E89" t="s">
        <v>166</v>
      </c>
      <c r="F89" t="s">
        <v>3</v>
      </c>
      <c r="G89" s="4">
        <v>12533</v>
      </c>
      <c r="H89" s="4">
        <v>1429707</v>
      </c>
      <c r="I89" s="4">
        <v>1384371</v>
      </c>
      <c r="J89" s="1">
        <v>3.2748446767521138</v>
      </c>
      <c r="K89" s="2">
        <v>2</v>
      </c>
      <c r="L89" s="1">
        <v>4</v>
      </c>
      <c r="M89" s="4">
        <v>114075.4</v>
      </c>
    </row>
    <row r="90" spans="1:13" x14ac:dyDescent="0.25">
      <c r="A90">
        <f>RANK(H90,H$13:H$798,0)</f>
        <v>78</v>
      </c>
      <c r="B90" s="2">
        <v>213543</v>
      </c>
      <c r="C90" t="s">
        <v>167</v>
      </c>
      <c r="D90" t="s">
        <v>168</v>
      </c>
      <c r="E90" t="s">
        <v>20</v>
      </c>
      <c r="F90" t="s">
        <v>3</v>
      </c>
      <c r="G90" s="4">
        <v>6345</v>
      </c>
      <c r="H90" s="4">
        <v>1411641</v>
      </c>
      <c r="I90" s="4">
        <v>1353116</v>
      </c>
      <c r="J90" s="1">
        <v>4.3252019782487237</v>
      </c>
      <c r="K90" s="2">
        <v>2</v>
      </c>
      <c r="L90" s="1">
        <v>4</v>
      </c>
      <c r="M90" s="4">
        <v>222480.85</v>
      </c>
    </row>
    <row r="91" spans="1:13" x14ac:dyDescent="0.25">
      <c r="A91">
        <f>RANK(H91,H$13:H$798,0)</f>
        <v>79</v>
      </c>
      <c r="B91" s="2">
        <v>157085</v>
      </c>
      <c r="C91" t="s">
        <v>169</v>
      </c>
      <c r="D91" t="s">
        <v>141</v>
      </c>
      <c r="E91" t="s">
        <v>170</v>
      </c>
      <c r="F91" t="s">
        <v>7</v>
      </c>
      <c r="G91" s="4">
        <v>27166</v>
      </c>
      <c r="H91" s="4">
        <v>1407221</v>
      </c>
      <c r="I91" s="4">
        <v>1361246</v>
      </c>
      <c r="J91" s="1">
        <v>3.3774203927871964</v>
      </c>
      <c r="K91" s="2">
        <v>2</v>
      </c>
      <c r="L91" s="1">
        <v>4</v>
      </c>
      <c r="M91" s="4">
        <v>51800.82</v>
      </c>
    </row>
    <row r="92" spans="1:13" x14ac:dyDescent="0.25">
      <c r="A92">
        <f>RANK(H92,H$13:H$798,0)</f>
        <v>80</v>
      </c>
      <c r="B92" s="2">
        <v>199193</v>
      </c>
      <c r="C92" t="s">
        <v>171</v>
      </c>
      <c r="D92" t="s">
        <v>172</v>
      </c>
      <c r="E92" t="s">
        <v>36</v>
      </c>
      <c r="F92" t="s">
        <v>87</v>
      </c>
      <c r="G92" s="4">
        <v>30739</v>
      </c>
      <c r="H92" s="4">
        <v>1400655</v>
      </c>
      <c r="I92" s="4">
        <v>1293743</v>
      </c>
      <c r="J92" s="1">
        <v>8.2637741808071628</v>
      </c>
      <c r="K92" s="2">
        <v>2</v>
      </c>
      <c r="L92" s="1">
        <v>4</v>
      </c>
      <c r="M92" s="4">
        <v>45566.06</v>
      </c>
    </row>
    <row r="93" spans="1:13" x14ac:dyDescent="0.25">
      <c r="A93">
        <f>RANK(H93,H$13:H$798,0)</f>
        <v>81</v>
      </c>
      <c r="B93" s="2">
        <v>196413</v>
      </c>
      <c r="C93" t="s">
        <v>173</v>
      </c>
      <c r="D93" t="s">
        <v>174</v>
      </c>
      <c r="E93" t="s">
        <v>33</v>
      </c>
      <c r="F93" t="s">
        <v>3</v>
      </c>
      <c r="G93" s="4">
        <v>20573</v>
      </c>
      <c r="H93" s="4">
        <v>1392691.38</v>
      </c>
      <c r="I93" s="4">
        <v>1338287.247</v>
      </c>
      <c r="J93" s="1">
        <v>4.0652059654574222</v>
      </c>
      <c r="K93" s="2">
        <v>2</v>
      </c>
      <c r="L93" s="1">
        <v>4</v>
      </c>
      <c r="M93" s="4">
        <v>67695.100000000006</v>
      </c>
    </row>
    <row r="94" spans="1:13" x14ac:dyDescent="0.25">
      <c r="A94">
        <f>RANK(H94,H$13:H$798,0)</f>
        <v>82</v>
      </c>
      <c r="B94" s="2">
        <v>199847</v>
      </c>
      <c r="C94" t="s">
        <v>175</v>
      </c>
      <c r="D94" t="s">
        <v>176</v>
      </c>
      <c r="E94" t="s">
        <v>36</v>
      </c>
      <c r="F94" t="s">
        <v>3</v>
      </c>
      <c r="G94" s="4">
        <v>8053.7</v>
      </c>
      <c r="H94" s="4">
        <v>1375398</v>
      </c>
      <c r="I94" s="4">
        <v>1339003</v>
      </c>
      <c r="J94" s="1">
        <v>2.7180670991775226</v>
      </c>
      <c r="K94" s="2">
        <v>2</v>
      </c>
      <c r="L94" s="1">
        <v>4</v>
      </c>
      <c r="M94" s="4">
        <v>170778.4</v>
      </c>
    </row>
    <row r="95" spans="1:13" x14ac:dyDescent="0.25">
      <c r="A95">
        <f>RANK(H95,H$13:H$798,0)</f>
        <v>83</v>
      </c>
      <c r="B95" s="2">
        <v>233921</v>
      </c>
      <c r="C95" t="s">
        <v>179</v>
      </c>
      <c r="D95" t="s">
        <v>180</v>
      </c>
      <c r="E95" t="s">
        <v>49</v>
      </c>
      <c r="F95" t="s">
        <v>75</v>
      </c>
      <c r="G95" s="4">
        <v>34950</v>
      </c>
      <c r="H95" s="4">
        <v>1357969.45</v>
      </c>
      <c r="I95" s="4">
        <v>1146054.595</v>
      </c>
      <c r="J95" s="1">
        <v>18.490816748568594</v>
      </c>
      <c r="K95" s="2">
        <v>2</v>
      </c>
      <c r="L95" s="1">
        <v>4</v>
      </c>
      <c r="M95" s="4">
        <v>38854.629999999997</v>
      </c>
    </row>
    <row r="96" spans="1:13" x14ac:dyDescent="0.25">
      <c r="A96">
        <f>RANK(H96,H$13:H$798,0)</f>
        <v>84</v>
      </c>
      <c r="B96" s="2">
        <v>221722</v>
      </c>
      <c r="C96" t="s">
        <v>181</v>
      </c>
      <c r="D96" t="s">
        <v>182</v>
      </c>
      <c r="E96" t="s">
        <v>57</v>
      </c>
      <c r="F96" t="s">
        <v>7</v>
      </c>
      <c r="G96" s="4">
        <v>46892</v>
      </c>
      <c r="H96" s="4">
        <v>1354756.0560000001</v>
      </c>
      <c r="I96" s="4">
        <v>1298211.6299999999</v>
      </c>
      <c r="J96" s="1">
        <v>4.3555630448326994</v>
      </c>
      <c r="K96" s="2">
        <v>3</v>
      </c>
      <c r="L96" s="1">
        <v>6</v>
      </c>
      <c r="M96" s="4">
        <v>28890.98</v>
      </c>
    </row>
    <row r="97" spans="1:13" x14ac:dyDescent="0.25">
      <c r="A97">
        <f>RANK(H97,H$13:H$798,0)</f>
        <v>85</v>
      </c>
      <c r="B97" s="2">
        <v>139959</v>
      </c>
      <c r="C97" t="s">
        <v>183</v>
      </c>
      <c r="D97" t="s">
        <v>184</v>
      </c>
      <c r="E97" t="s">
        <v>44</v>
      </c>
      <c r="F97" t="s">
        <v>87</v>
      </c>
      <c r="G97" s="4">
        <v>38652</v>
      </c>
      <c r="H97" s="4">
        <v>1343986.9620000001</v>
      </c>
      <c r="I97" s="4">
        <v>1274343.4339999999</v>
      </c>
      <c r="J97" s="1">
        <v>5.46505173894906</v>
      </c>
      <c r="K97" s="2">
        <v>2</v>
      </c>
      <c r="L97" s="1">
        <v>4</v>
      </c>
      <c r="M97" s="4">
        <v>34771.47</v>
      </c>
    </row>
    <row r="98" spans="1:13" x14ac:dyDescent="0.25">
      <c r="A98">
        <f>RANK(H98,H$13:H$798,0)</f>
        <v>86</v>
      </c>
      <c r="B98" s="2">
        <v>223232</v>
      </c>
      <c r="C98" t="s">
        <v>185</v>
      </c>
      <c r="D98" t="s">
        <v>186</v>
      </c>
      <c r="E98" t="s">
        <v>6</v>
      </c>
      <c r="F98" t="s">
        <v>3</v>
      </c>
      <c r="G98" s="4">
        <v>16706</v>
      </c>
      <c r="H98" s="4">
        <v>1340417</v>
      </c>
      <c r="I98" s="4">
        <v>1312753</v>
      </c>
      <c r="J98" s="1">
        <v>2.1073271209435438</v>
      </c>
      <c r="K98" s="2">
        <v>2</v>
      </c>
      <c r="L98" s="1">
        <v>4</v>
      </c>
      <c r="M98" s="4">
        <v>80235.66</v>
      </c>
    </row>
    <row r="99" spans="1:13" x14ac:dyDescent="0.25">
      <c r="A99" s="30">
        <f>RANK(H99,H$13:H$798,0)</f>
        <v>87</v>
      </c>
      <c r="B99" s="31" t="s">
        <v>1363</v>
      </c>
      <c r="C99" s="30" t="s">
        <v>187</v>
      </c>
      <c r="D99" s="30" t="s">
        <v>188</v>
      </c>
      <c r="E99" s="30" t="s">
        <v>189</v>
      </c>
      <c r="F99" s="30" t="s">
        <v>1388</v>
      </c>
      <c r="G99" s="32">
        <v>64798</v>
      </c>
      <c r="H99" s="32">
        <v>1337797.1669999999</v>
      </c>
      <c r="I99" s="32">
        <v>1300256.9990000001</v>
      </c>
      <c r="J99" s="33">
        <v>2.8871344687143519</v>
      </c>
      <c r="K99" s="24">
        <v>3</v>
      </c>
      <c r="L99" s="33">
        <v>6</v>
      </c>
      <c r="M99" s="32">
        <v>20645.66</v>
      </c>
    </row>
    <row r="100" spans="1:13" x14ac:dyDescent="0.25">
      <c r="A100">
        <f>RANK(H100,H$13:H$798,0)</f>
        <v>88</v>
      </c>
      <c r="B100" s="2">
        <v>229115</v>
      </c>
      <c r="C100" t="s">
        <v>190</v>
      </c>
      <c r="D100" t="s">
        <v>1280</v>
      </c>
      <c r="E100" t="s">
        <v>6</v>
      </c>
      <c r="F100" t="s">
        <v>7</v>
      </c>
      <c r="G100" s="4">
        <v>47114</v>
      </c>
      <c r="H100" s="4">
        <v>1316659.615</v>
      </c>
      <c r="I100" s="4">
        <v>1306551.4550000001</v>
      </c>
      <c r="J100" s="1">
        <v>0.77365188805364848</v>
      </c>
      <c r="K100" s="2">
        <v>2</v>
      </c>
      <c r="L100" s="1">
        <v>4</v>
      </c>
      <c r="M100" s="4">
        <v>27946.25</v>
      </c>
    </row>
    <row r="101" spans="1:13" x14ac:dyDescent="0.25">
      <c r="A101">
        <f>RANK(H101,H$13:H$798,0)</f>
        <v>89</v>
      </c>
      <c r="B101" s="2">
        <v>223223</v>
      </c>
      <c r="C101" t="s">
        <v>191</v>
      </c>
      <c r="D101" t="s">
        <v>51</v>
      </c>
      <c r="E101" t="s">
        <v>6</v>
      </c>
      <c r="F101" t="s">
        <v>3</v>
      </c>
      <c r="G101" s="4">
        <v>1576</v>
      </c>
      <c r="H101" s="4">
        <v>1301005.115</v>
      </c>
      <c r="I101" s="4">
        <v>1272275.76</v>
      </c>
      <c r="J101" s="1">
        <v>2.2581075505203354</v>
      </c>
      <c r="K101" s="2">
        <v>2</v>
      </c>
      <c r="L101" s="1">
        <v>5</v>
      </c>
      <c r="M101" s="4">
        <v>825510.86</v>
      </c>
    </row>
    <row r="102" spans="1:13" x14ac:dyDescent="0.25">
      <c r="A102" s="30">
        <f>RANK(H102,H$13:H$798,0)</f>
        <v>90</v>
      </c>
      <c r="B102" s="31" t="s">
        <v>1363</v>
      </c>
      <c r="C102" s="30" t="s">
        <v>192</v>
      </c>
      <c r="D102" s="30" t="s">
        <v>193</v>
      </c>
      <c r="E102" s="30" t="s">
        <v>194</v>
      </c>
      <c r="F102" s="30" t="s">
        <v>1388</v>
      </c>
      <c r="G102" s="32">
        <v>34043</v>
      </c>
      <c r="H102" s="32">
        <v>1281896.273</v>
      </c>
      <c r="I102" s="32">
        <v>1256357.6359999999</v>
      </c>
      <c r="J102" s="33">
        <v>2.0327521613439781</v>
      </c>
      <c r="K102" s="24">
        <v>3</v>
      </c>
      <c r="L102" s="33">
        <v>6</v>
      </c>
      <c r="M102" s="32">
        <v>37655.21</v>
      </c>
    </row>
    <row r="103" spans="1:13" x14ac:dyDescent="0.25">
      <c r="A103">
        <f>RANK(H103,H$13:H$798,0)</f>
        <v>91</v>
      </c>
      <c r="B103" s="2">
        <v>229267</v>
      </c>
      <c r="C103" t="s">
        <v>195</v>
      </c>
      <c r="D103" t="s">
        <v>196</v>
      </c>
      <c r="E103" t="s">
        <v>6</v>
      </c>
      <c r="F103" t="s">
        <v>3</v>
      </c>
      <c r="G103" s="4">
        <v>2478</v>
      </c>
      <c r="H103" s="4">
        <v>1280248.4151900001</v>
      </c>
      <c r="I103" s="4">
        <v>1320357.7351199999</v>
      </c>
      <c r="J103" s="1">
        <v>-3.0377615749987981</v>
      </c>
      <c r="K103" s="2">
        <v>2</v>
      </c>
      <c r="L103" s="1">
        <v>3</v>
      </c>
      <c r="M103" s="4">
        <v>516645.85</v>
      </c>
    </row>
    <row r="104" spans="1:13" x14ac:dyDescent="0.25">
      <c r="A104" s="30">
        <f>RANK(H104,H$13:H$798,0)</f>
        <v>92</v>
      </c>
      <c r="B104" s="31" t="s">
        <v>1363</v>
      </c>
      <c r="C104" s="30" t="s">
        <v>1412</v>
      </c>
      <c r="D104" s="30" t="s">
        <v>1413</v>
      </c>
      <c r="E104" s="30" t="s">
        <v>1414</v>
      </c>
      <c r="F104" s="30" t="s">
        <v>1388</v>
      </c>
      <c r="G104" s="37">
        <v>36502</v>
      </c>
      <c r="H104" s="32">
        <v>1280242</v>
      </c>
      <c r="I104" s="32">
        <v>1271077</v>
      </c>
      <c r="J104" s="33">
        <v>0.72</v>
      </c>
      <c r="K104" s="24">
        <v>3</v>
      </c>
      <c r="L104" s="33">
        <v>6</v>
      </c>
      <c r="M104" s="37">
        <v>35073</v>
      </c>
    </row>
    <row r="105" spans="1:13" x14ac:dyDescent="0.25">
      <c r="A105">
        <f>RANK(H105,H$13:H$798,0)</f>
        <v>93</v>
      </c>
      <c r="B105" s="2">
        <v>179159</v>
      </c>
      <c r="C105" t="s">
        <v>197</v>
      </c>
      <c r="D105" t="s">
        <v>198</v>
      </c>
      <c r="E105" t="s">
        <v>41</v>
      </c>
      <c r="F105" t="s">
        <v>3</v>
      </c>
      <c r="G105" s="4">
        <v>11823</v>
      </c>
      <c r="H105" s="4">
        <v>1252677.8692600001</v>
      </c>
      <c r="I105" s="4">
        <v>1226095.4453099999</v>
      </c>
      <c r="J105" s="1">
        <v>2.1680550279900301</v>
      </c>
      <c r="K105" s="2">
        <v>2</v>
      </c>
      <c r="L105" s="1">
        <v>4</v>
      </c>
      <c r="M105" s="4">
        <v>105952.62</v>
      </c>
    </row>
    <row r="106" spans="1:13" x14ac:dyDescent="0.25">
      <c r="A106">
        <f>RANK(H106,H$13:H$798,0)</f>
        <v>94</v>
      </c>
      <c r="B106" s="2">
        <v>230764</v>
      </c>
      <c r="C106" t="s">
        <v>199</v>
      </c>
      <c r="D106" t="s">
        <v>200</v>
      </c>
      <c r="E106" t="s">
        <v>201</v>
      </c>
      <c r="F106" t="s">
        <v>7</v>
      </c>
      <c r="G106" s="4">
        <v>26715</v>
      </c>
      <c r="H106" s="4">
        <v>1225044.6156900001</v>
      </c>
      <c r="I106" s="4">
        <v>1186951.7765799998</v>
      </c>
      <c r="J106" s="1">
        <v>3.2092996414528603</v>
      </c>
      <c r="K106" s="2">
        <v>2</v>
      </c>
      <c r="L106" s="1">
        <v>4</v>
      </c>
      <c r="M106" s="4">
        <v>45856.06</v>
      </c>
    </row>
    <row r="107" spans="1:13" x14ac:dyDescent="0.25">
      <c r="A107">
        <f>RANK(H107,H$13:H$798,0)</f>
        <v>95</v>
      </c>
      <c r="B107" s="2">
        <v>108056</v>
      </c>
      <c r="C107" t="s">
        <v>202</v>
      </c>
      <c r="D107" t="s">
        <v>203</v>
      </c>
      <c r="E107" t="s">
        <v>204</v>
      </c>
      <c r="F107" t="s">
        <v>87</v>
      </c>
      <c r="G107" s="5" t="s">
        <v>1363</v>
      </c>
      <c r="H107" s="4">
        <v>1221935.0319999999</v>
      </c>
      <c r="I107" s="4">
        <v>1185714.9269999999</v>
      </c>
      <c r="J107" s="1">
        <v>3.054705998484911</v>
      </c>
      <c r="K107" s="2">
        <v>3</v>
      </c>
      <c r="L107" s="1">
        <v>6</v>
      </c>
      <c r="M107" s="5" t="s">
        <v>1363</v>
      </c>
    </row>
    <row r="108" spans="1:13" x14ac:dyDescent="0.25">
      <c r="A108">
        <f>RANK(H108,H$13:H$798,0)</f>
        <v>96</v>
      </c>
      <c r="B108" s="2">
        <v>156295</v>
      </c>
      <c r="C108" t="s">
        <v>205</v>
      </c>
      <c r="D108" t="s">
        <v>206</v>
      </c>
      <c r="E108" t="s">
        <v>170</v>
      </c>
      <c r="F108" t="s">
        <v>3</v>
      </c>
      <c r="G108" s="4">
        <v>1645</v>
      </c>
      <c r="H108" s="4">
        <v>1218740</v>
      </c>
      <c r="I108" s="4">
        <v>1192078.1000000001</v>
      </c>
      <c r="J108" s="1">
        <v>2.2365900355018606</v>
      </c>
      <c r="K108" s="2">
        <v>2</v>
      </c>
      <c r="L108" s="1">
        <v>2</v>
      </c>
      <c r="M108" s="4">
        <v>740875.38</v>
      </c>
    </row>
    <row r="109" spans="1:13" x14ac:dyDescent="0.25">
      <c r="A109">
        <f>RANK(H109,H$13:H$798,0)</f>
        <v>97</v>
      </c>
      <c r="B109" s="2">
        <v>230959</v>
      </c>
      <c r="C109" t="s">
        <v>207</v>
      </c>
      <c r="D109" t="s">
        <v>208</v>
      </c>
      <c r="E109" t="s">
        <v>209</v>
      </c>
      <c r="F109" t="s">
        <v>3</v>
      </c>
      <c r="G109" s="4">
        <v>3195</v>
      </c>
      <c r="H109" s="4">
        <v>1157786</v>
      </c>
      <c r="I109" s="4">
        <v>1124144</v>
      </c>
      <c r="J109" s="1">
        <v>2.9926770947494274</v>
      </c>
      <c r="K109" s="2">
        <v>2</v>
      </c>
      <c r="L109" s="1">
        <v>2</v>
      </c>
      <c r="M109" s="4">
        <v>362374.33</v>
      </c>
    </row>
    <row r="110" spans="1:13" x14ac:dyDescent="0.25">
      <c r="A110">
        <f>RANK(H110,H$13:H$798,0)</f>
        <v>98</v>
      </c>
      <c r="B110" s="2">
        <v>186122</v>
      </c>
      <c r="C110" t="s">
        <v>210</v>
      </c>
      <c r="D110" t="s">
        <v>14</v>
      </c>
      <c r="E110" t="s">
        <v>15</v>
      </c>
      <c r="F110" t="s">
        <v>3</v>
      </c>
      <c r="G110" s="4">
        <v>424</v>
      </c>
      <c r="H110" s="4">
        <v>1127362.324</v>
      </c>
      <c r="I110" s="4">
        <v>1119688.682</v>
      </c>
      <c r="J110" s="1">
        <v>0.68533710515794899</v>
      </c>
      <c r="K110" s="2">
        <v>2</v>
      </c>
      <c r="L110" s="1">
        <v>5</v>
      </c>
      <c r="M110" s="4">
        <v>2658873.41</v>
      </c>
    </row>
    <row r="111" spans="1:13" x14ac:dyDescent="0.25">
      <c r="A111">
        <f>RANK(H111,H$13:H$798,0)</f>
        <v>99</v>
      </c>
      <c r="B111" s="2">
        <v>197133</v>
      </c>
      <c r="C111" t="s">
        <v>211</v>
      </c>
      <c r="D111" t="s">
        <v>212</v>
      </c>
      <c r="E111" t="s">
        <v>33</v>
      </c>
      <c r="F111" t="s">
        <v>3</v>
      </c>
      <c r="G111" s="4">
        <v>2442</v>
      </c>
      <c r="H111" s="4">
        <v>1117379.5060000001</v>
      </c>
      <c r="I111" s="4">
        <v>1082831.324</v>
      </c>
      <c r="J111" s="1">
        <v>3.1905414291469119</v>
      </c>
      <c r="K111" s="2">
        <v>2</v>
      </c>
      <c r="L111" s="1">
        <v>2</v>
      </c>
      <c r="M111" s="4">
        <v>457567.37</v>
      </c>
    </row>
    <row r="112" spans="1:13" x14ac:dyDescent="0.25">
      <c r="A112">
        <f>RANK(H112,H$13:H$798,0)</f>
        <v>100</v>
      </c>
      <c r="B112" s="2">
        <v>207971</v>
      </c>
      <c r="C112" t="s">
        <v>213</v>
      </c>
      <c r="D112" t="s">
        <v>214</v>
      </c>
      <c r="E112" t="s">
        <v>215</v>
      </c>
      <c r="F112" t="s">
        <v>3</v>
      </c>
      <c r="G112" s="4">
        <v>4290</v>
      </c>
      <c r="H112" s="4">
        <v>1113721.7860000001</v>
      </c>
      <c r="I112" s="4">
        <v>1093041.7749999999</v>
      </c>
      <c r="J112" s="1">
        <v>1.8919689505920463</v>
      </c>
      <c r="K112" s="2">
        <v>2</v>
      </c>
      <c r="L112" s="1">
        <v>4</v>
      </c>
      <c r="M112" s="4">
        <v>259608.81</v>
      </c>
    </row>
    <row r="113" spans="1:13" x14ac:dyDescent="0.25">
      <c r="A113">
        <f>RANK(H113,H$13:H$798,0)</f>
        <v>101</v>
      </c>
      <c r="B113" s="2">
        <v>153603</v>
      </c>
      <c r="C113" t="s">
        <v>216</v>
      </c>
      <c r="D113" t="s">
        <v>217</v>
      </c>
      <c r="E113" t="s">
        <v>113</v>
      </c>
      <c r="F113" t="s">
        <v>87</v>
      </c>
      <c r="G113" s="4">
        <v>33634</v>
      </c>
      <c r="H113" s="4">
        <v>1101709.3999999999</v>
      </c>
      <c r="I113" s="4">
        <v>1062681.675</v>
      </c>
      <c r="J113" s="1">
        <v>3.6725696808500872</v>
      </c>
      <c r="K113" s="2">
        <v>2</v>
      </c>
      <c r="L113" s="1">
        <v>4</v>
      </c>
      <c r="M113" s="4">
        <v>32755.82</v>
      </c>
    </row>
    <row r="114" spans="1:13" x14ac:dyDescent="0.25">
      <c r="A114">
        <f>RANK(H114,H$13:H$798,0)</f>
        <v>102</v>
      </c>
      <c r="B114" s="2">
        <v>117636</v>
      </c>
      <c r="C114" t="s">
        <v>218</v>
      </c>
      <c r="D114" t="s">
        <v>219</v>
      </c>
      <c r="E114" t="s">
        <v>12</v>
      </c>
      <c r="F114" t="s">
        <v>3</v>
      </c>
      <c r="G114" s="4">
        <v>4482</v>
      </c>
      <c r="H114" s="4">
        <v>1076898.1540000001</v>
      </c>
      <c r="I114" s="4">
        <v>1015223.747</v>
      </c>
      <c r="J114" s="1">
        <v>6.0749570902226075</v>
      </c>
      <c r="K114" s="2">
        <v>2</v>
      </c>
      <c r="L114" s="1">
        <v>5</v>
      </c>
      <c r="M114" s="4">
        <v>240271.79</v>
      </c>
    </row>
    <row r="115" spans="1:13" x14ac:dyDescent="0.25">
      <c r="A115">
        <f>RANK(H115,H$13:H$798,0)</f>
        <v>103</v>
      </c>
      <c r="B115" s="2">
        <v>165015</v>
      </c>
      <c r="C115" t="s">
        <v>220</v>
      </c>
      <c r="D115" t="s">
        <v>1</v>
      </c>
      <c r="E115" t="s">
        <v>2</v>
      </c>
      <c r="F115" t="s">
        <v>3</v>
      </c>
      <c r="G115" s="4">
        <v>5442</v>
      </c>
      <c r="H115" s="4">
        <v>1073525.8840000001</v>
      </c>
      <c r="I115" s="4">
        <v>1046386.269</v>
      </c>
      <c r="J115" s="1">
        <v>2.5936516756796344</v>
      </c>
      <c r="K115" s="2">
        <v>2</v>
      </c>
      <c r="L115" s="1">
        <v>4</v>
      </c>
      <c r="M115" s="4">
        <v>197266.79</v>
      </c>
    </row>
    <row r="116" spans="1:13" x14ac:dyDescent="0.25">
      <c r="A116">
        <f>RANK(H116,H$13:H$798,0)</f>
        <v>104</v>
      </c>
      <c r="B116" s="2">
        <v>236939</v>
      </c>
      <c r="C116" t="s">
        <v>221</v>
      </c>
      <c r="D116" t="s">
        <v>222</v>
      </c>
      <c r="E116" t="s">
        <v>82</v>
      </c>
      <c r="F116" t="s">
        <v>7</v>
      </c>
      <c r="G116" s="4">
        <v>28281</v>
      </c>
      <c r="H116" s="4">
        <v>1067842.352</v>
      </c>
      <c r="I116" s="4">
        <v>1024379.757</v>
      </c>
      <c r="J116" s="1">
        <v>4.2428205656156841</v>
      </c>
      <c r="K116" s="2">
        <v>2</v>
      </c>
      <c r="L116" s="1">
        <v>4</v>
      </c>
      <c r="M116" s="4">
        <v>37758.300000000003</v>
      </c>
    </row>
    <row r="117" spans="1:13" x14ac:dyDescent="0.25">
      <c r="A117">
        <f>RANK(H117,H$13:H$798,0)</f>
        <v>105</v>
      </c>
      <c r="B117" s="2">
        <v>139144</v>
      </c>
      <c r="C117" t="s">
        <v>223</v>
      </c>
      <c r="D117" t="s">
        <v>224</v>
      </c>
      <c r="E117" t="s">
        <v>44</v>
      </c>
      <c r="F117" t="s">
        <v>3</v>
      </c>
      <c r="G117" s="4">
        <v>1978</v>
      </c>
      <c r="H117" s="4">
        <v>1058604.6950000001</v>
      </c>
      <c r="I117" s="4">
        <v>976753.55299999996</v>
      </c>
      <c r="J117" s="1">
        <v>8.3799175082192008</v>
      </c>
      <c r="K117" s="2">
        <v>2</v>
      </c>
      <c r="L117" s="1">
        <v>3</v>
      </c>
      <c r="M117" s="4">
        <v>535189.43000000005</v>
      </c>
    </row>
    <row r="118" spans="1:13" x14ac:dyDescent="0.25">
      <c r="A118">
        <f>RANK(H118,H$13:H$798,0)</f>
        <v>106</v>
      </c>
      <c r="B118" s="2">
        <v>167358</v>
      </c>
      <c r="C118" t="s">
        <v>225</v>
      </c>
      <c r="D118" t="s">
        <v>1</v>
      </c>
      <c r="E118" t="s">
        <v>2</v>
      </c>
      <c r="F118" t="s">
        <v>3</v>
      </c>
      <c r="G118" s="4">
        <v>27405</v>
      </c>
      <c r="H118" s="4">
        <v>1055474</v>
      </c>
      <c r="I118" s="4">
        <v>831129</v>
      </c>
      <c r="J118" s="1">
        <v>26.992801358152583</v>
      </c>
      <c r="K118" s="2">
        <v>2</v>
      </c>
      <c r="L118" s="1">
        <v>4</v>
      </c>
      <c r="M118" s="4">
        <v>38513.919999999998</v>
      </c>
    </row>
    <row r="119" spans="1:13" x14ac:dyDescent="0.25">
      <c r="A119">
        <f>RANK(H119,H$13:H$798,0)</f>
        <v>107</v>
      </c>
      <c r="B119" s="2">
        <v>104179</v>
      </c>
      <c r="C119" t="s">
        <v>226</v>
      </c>
      <c r="D119" t="s">
        <v>227</v>
      </c>
      <c r="E119" t="s">
        <v>228</v>
      </c>
      <c r="F119" t="s">
        <v>87</v>
      </c>
      <c r="G119" s="4">
        <v>39168</v>
      </c>
      <c r="H119" s="4">
        <v>1038132.8689999999</v>
      </c>
      <c r="I119" s="4">
        <v>959631.70200000005</v>
      </c>
      <c r="J119" s="1">
        <v>8.1803432333876653</v>
      </c>
      <c r="K119" s="2">
        <v>2</v>
      </c>
      <c r="L119" s="1">
        <v>4</v>
      </c>
      <c r="M119" s="4">
        <v>26504.62</v>
      </c>
    </row>
    <row r="120" spans="1:13" x14ac:dyDescent="0.25">
      <c r="A120">
        <f>RANK(H120,H$13:H$798,0)</f>
        <v>108</v>
      </c>
      <c r="B120" s="2">
        <v>110653</v>
      </c>
      <c r="C120" t="s">
        <v>229</v>
      </c>
      <c r="D120" t="s">
        <v>230</v>
      </c>
      <c r="E120" t="s">
        <v>12</v>
      </c>
      <c r="F120" t="s">
        <v>75</v>
      </c>
      <c r="G120" s="4">
        <v>37954</v>
      </c>
      <c r="H120" s="4">
        <v>1029019.812</v>
      </c>
      <c r="I120" s="4">
        <v>972184.94499999995</v>
      </c>
      <c r="J120" s="1">
        <v>5.8460961869760375</v>
      </c>
      <c r="K120" s="2">
        <v>2</v>
      </c>
      <c r="L120" s="1">
        <v>4</v>
      </c>
      <c r="M120" s="4">
        <v>27112.29</v>
      </c>
    </row>
    <row r="121" spans="1:13" x14ac:dyDescent="0.25">
      <c r="A121">
        <f>RANK(H121,H$13:H$798,0)</f>
        <v>109</v>
      </c>
      <c r="B121" s="2">
        <v>122931</v>
      </c>
      <c r="C121" t="s">
        <v>231</v>
      </c>
      <c r="D121" t="s">
        <v>232</v>
      </c>
      <c r="E121" t="s">
        <v>12</v>
      </c>
      <c r="F121" t="s">
        <v>3</v>
      </c>
      <c r="G121" s="4">
        <v>8305</v>
      </c>
      <c r="H121" s="4">
        <v>1019760</v>
      </c>
      <c r="I121" s="4">
        <v>979248</v>
      </c>
      <c r="J121" s="1">
        <v>4.1370521052889559</v>
      </c>
      <c r="K121" s="2">
        <v>2</v>
      </c>
      <c r="L121" s="1">
        <v>4</v>
      </c>
      <c r="M121" s="4">
        <v>122788.68</v>
      </c>
    </row>
    <row r="122" spans="1:13" x14ac:dyDescent="0.25">
      <c r="A122">
        <f>RANK(H122,H$13:H$798,0)</f>
        <v>110</v>
      </c>
      <c r="B122" s="2">
        <v>130697</v>
      </c>
      <c r="C122" t="s">
        <v>233</v>
      </c>
      <c r="D122" t="s">
        <v>234</v>
      </c>
      <c r="E122" t="s">
        <v>10</v>
      </c>
      <c r="F122" t="s">
        <v>3</v>
      </c>
      <c r="G122" s="4">
        <v>3107</v>
      </c>
      <c r="H122" s="4">
        <v>1004806</v>
      </c>
      <c r="I122" s="4">
        <v>990125</v>
      </c>
      <c r="J122" s="1">
        <v>1.4827420780204519</v>
      </c>
      <c r="K122" s="2">
        <v>2</v>
      </c>
      <c r="L122" s="1">
        <v>2</v>
      </c>
      <c r="M122" s="4">
        <v>323400.71000000002</v>
      </c>
    </row>
    <row r="123" spans="1:13" ht="17.25" x14ac:dyDescent="0.25">
      <c r="A123">
        <f>RANK(H123,H$13:H$798,0)</f>
        <v>111</v>
      </c>
      <c r="B123" s="2">
        <v>135726</v>
      </c>
      <c r="C123" t="s">
        <v>1407</v>
      </c>
      <c r="D123" t="s">
        <v>235</v>
      </c>
      <c r="E123" t="s">
        <v>127</v>
      </c>
      <c r="F123" t="s">
        <v>3</v>
      </c>
      <c r="G123" s="4">
        <v>16700.099999999999</v>
      </c>
      <c r="H123" s="4">
        <v>997413.18799999997</v>
      </c>
      <c r="I123" s="4">
        <v>1021508.292</v>
      </c>
      <c r="J123" s="1">
        <v>-2.3587771326676661</v>
      </c>
      <c r="K123" s="2">
        <v>2</v>
      </c>
      <c r="L123" s="1">
        <v>4</v>
      </c>
      <c r="M123" s="4">
        <v>59724.98</v>
      </c>
    </row>
    <row r="124" spans="1:13" x14ac:dyDescent="0.25">
      <c r="A124">
        <f>RANK(H124,H$13:H$798,0)</f>
        <v>112</v>
      </c>
      <c r="B124" s="2">
        <v>231624</v>
      </c>
      <c r="C124" t="s">
        <v>236</v>
      </c>
      <c r="D124" t="s">
        <v>237</v>
      </c>
      <c r="E124" t="s">
        <v>49</v>
      </c>
      <c r="F124" t="s">
        <v>87</v>
      </c>
      <c r="G124" s="4">
        <v>8263</v>
      </c>
      <c r="H124" s="4">
        <v>995873.95799999998</v>
      </c>
      <c r="I124" s="4">
        <v>935524.33900000004</v>
      </c>
      <c r="J124" s="1">
        <v>6.4508871104848877</v>
      </c>
      <c r="K124" s="2">
        <v>2</v>
      </c>
      <c r="L124" s="1">
        <v>4</v>
      </c>
      <c r="M124" s="4">
        <v>120522.08</v>
      </c>
    </row>
    <row r="125" spans="1:13" x14ac:dyDescent="0.25">
      <c r="A125">
        <f>RANK(H125,H$13:H$798,0)</f>
        <v>113</v>
      </c>
      <c r="B125" s="2">
        <v>191515</v>
      </c>
      <c r="C125" t="s">
        <v>238</v>
      </c>
      <c r="D125" t="s">
        <v>239</v>
      </c>
      <c r="E125" t="s">
        <v>33</v>
      </c>
      <c r="F125" t="s">
        <v>3</v>
      </c>
      <c r="G125" s="4">
        <v>1850</v>
      </c>
      <c r="H125" s="4">
        <v>969362</v>
      </c>
      <c r="I125" s="4">
        <v>964169</v>
      </c>
      <c r="J125" s="1">
        <v>0.53859852370279482</v>
      </c>
      <c r="K125" s="2">
        <v>2</v>
      </c>
      <c r="L125" s="1">
        <v>2</v>
      </c>
      <c r="M125" s="4">
        <v>523979.46</v>
      </c>
    </row>
    <row r="126" spans="1:13" x14ac:dyDescent="0.25">
      <c r="A126">
        <f>RANK(H126,H$13:H$798,0)</f>
        <v>114</v>
      </c>
      <c r="B126" s="3" t="s">
        <v>1363</v>
      </c>
      <c r="C126" t="s">
        <v>240</v>
      </c>
      <c r="D126" t="s">
        <v>129</v>
      </c>
      <c r="E126" t="s">
        <v>130</v>
      </c>
      <c r="F126" t="s">
        <v>87</v>
      </c>
      <c r="G126" s="5" t="s">
        <v>1363</v>
      </c>
      <c r="H126" s="4">
        <v>966752.53799999994</v>
      </c>
      <c r="I126" s="4">
        <v>983966.04099999997</v>
      </c>
      <c r="J126" s="1">
        <v>-1.7494001096324447</v>
      </c>
      <c r="K126" s="2">
        <v>3</v>
      </c>
      <c r="L126" s="1">
        <v>6</v>
      </c>
      <c r="M126" s="5" t="s">
        <v>1363</v>
      </c>
    </row>
    <row r="127" spans="1:13" x14ac:dyDescent="0.25">
      <c r="A127">
        <f>RANK(H127,H$13:H$798,0)</f>
        <v>115</v>
      </c>
      <c r="B127" s="2">
        <v>229407</v>
      </c>
      <c r="C127" t="s">
        <v>241</v>
      </c>
      <c r="D127" t="s">
        <v>51</v>
      </c>
      <c r="E127" t="s">
        <v>6</v>
      </c>
      <c r="F127" t="s">
        <v>7</v>
      </c>
      <c r="G127" s="4">
        <v>58369</v>
      </c>
      <c r="H127" s="4">
        <v>959814.94200000004</v>
      </c>
      <c r="I127" s="4">
        <v>915916.72499999998</v>
      </c>
      <c r="J127" s="1">
        <v>4.7928174911316379</v>
      </c>
      <c r="K127" s="2">
        <v>3</v>
      </c>
      <c r="L127" s="1">
        <v>6</v>
      </c>
      <c r="M127" s="4">
        <v>16443.919999999998</v>
      </c>
    </row>
    <row r="128" spans="1:13" x14ac:dyDescent="0.25">
      <c r="A128">
        <f>RANK(H128,H$13:H$798,0)</f>
        <v>116</v>
      </c>
      <c r="B128" s="2">
        <v>190099</v>
      </c>
      <c r="C128" t="s">
        <v>242</v>
      </c>
      <c r="D128" t="s">
        <v>243</v>
      </c>
      <c r="E128" t="s">
        <v>33</v>
      </c>
      <c r="F128" t="s">
        <v>3</v>
      </c>
      <c r="G128" s="4">
        <v>2951</v>
      </c>
      <c r="H128" s="4">
        <v>950360.14800000004</v>
      </c>
      <c r="I128" s="4">
        <v>934826.54599999997</v>
      </c>
      <c r="J128" s="1">
        <v>1.6616560651242003</v>
      </c>
      <c r="K128" s="2">
        <v>2</v>
      </c>
      <c r="L128" s="1">
        <v>2</v>
      </c>
      <c r="M128" s="4">
        <v>322046.81</v>
      </c>
    </row>
    <row r="129" spans="1:13" x14ac:dyDescent="0.25">
      <c r="A129">
        <f>RANK(H129,H$13:H$798,0)</f>
        <v>117</v>
      </c>
      <c r="B129" s="2">
        <v>195003</v>
      </c>
      <c r="C129" t="s">
        <v>244</v>
      </c>
      <c r="D129" t="s">
        <v>245</v>
      </c>
      <c r="E129" t="s">
        <v>33</v>
      </c>
      <c r="F129" t="s">
        <v>3</v>
      </c>
      <c r="G129" s="4">
        <v>15399</v>
      </c>
      <c r="H129" s="4">
        <v>944882.87600000005</v>
      </c>
      <c r="I129" s="4">
        <v>920635.08299999998</v>
      </c>
      <c r="J129" s="1">
        <v>2.6338115337714174</v>
      </c>
      <c r="K129" s="2">
        <v>2</v>
      </c>
      <c r="L129" s="1">
        <v>4</v>
      </c>
      <c r="M129" s="4">
        <v>61360.02</v>
      </c>
    </row>
    <row r="130" spans="1:13" x14ac:dyDescent="0.25">
      <c r="A130">
        <f>RANK(H130,H$13:H$798,0)</f>
        <v>118</v>
      </c>
      <c r="B130" s="2">
        <v>204501</v>
      </c>
      <c r="C130" t="s">
        <v>246</v>
      </c>
      <c r="D130" t="s">
        <v>247</v>
      </c>
      <c r="E130" t="s">
        <v>63</v>
      </c>
      <c r="F130" t="s">
        <v>3</v>
      </c>
      <c r="G130" s="4">
        <v>2785</v>
      </c>
      <c r="H130" s="4">
        <v>943468.68200000003</v>
      </c>
      <c r="I130" s="4">
        <v>905947.04399999999</v>
      </c>
      <c r="J130" s="1">
        <v>4.141703231828199</v>
      </c>
      <c r="K130" s="2">
        <v>2</v>
      </c>
      <c r="L130" s="1">
        <v>2</v>
      </c>
      <c r="M130" s="4">
        <v>338767.93</v>
      </c>
    </row>
    <row r="131" spans="1:13" x14ac:dyDescent="0.25">
      <c r="A131">
        <f>RANK(H131,H$13:H$798,0)</f>
        <v>119</v>
      </c>
      <c r="B131" s="2">
        <v>239169</v>
      </c>
      <c r="C131" t="s">
        <v>248</v>
      </c>
      <c r="D131" t="s">
        <v>249</v>
      </c>
      <c r="E131" t="s">
        <v>74</v>
      </c>
      <c r="F131" t="s">
        <v>3</v>
      </c>
      <c r="G131" s="4">
        <v>1391</v>
      </c>
      <c r="H131" s="4">
        <v>937908.53</v>
      </c>
      <c r="I131" s="4">
        <v>930960.91799999995</v>
      </c>
      <c r="J131" s="1">
        <v>0.74628395947337511</v>
      </c>
      <c r="K131" s="2">
        <v>2</v>
      </c>
      <c r="L131" s="1">
        <v>5</v>
      </c>
      <c r="M131" s="4">
        <v>674269.25</v>
      </c>
    </row>
    <row r="132" spans="1:13" ht="17.25" x14ac:dyDescent="0.25">
      <c r="A132">
        <f>RANK(H132,H$13:H$798,0)</f>
        <v>120</v>
      </c>
      <c r="B132" s="2">
        <v>159638</v>
      </c>
      <c r="C132" t="s">
        <v>1408</v>
      </c>
      <c r="D132" t="s">
        <v>258</v>
      </c>
      <c r="E132" t="s">
        <v>166</v>
      </c>
      <c r="F132" t="s">
        <v>7</v>
      </c>
      <c r="G132" s="5">
        <v>41159</v>
      </c>
      <c r="H132" s="4">
        <v>926246.81499999994</v>
      </c>
      <c r="I132" s="4">
        <v>886387</v>
      </c>
      <c r="J132" s="1">
        <v>4.5</v>
      </c>
      <c r="K132" s="2">
        <v>3</v>
      </c>
      <c r="L132" s="1">
        <v>6</v>
      </c>
      <c r="M132" s="5">
        <v>22504</v>
      </c>
    </row>
    <row r="133" spans="1:13" x14ac:dyDescent="0.25">
      <c r="A133">
        <f>RANK(H133,H$13:H$798,0)</f>
        <v>121</v>
      </c>
      <c r="B133" s="2">
        <v>104151</v>
      </c>
      <c r="C133" t="s">
        <v>250</v>
      </c>
      <c r="D133" t="s">
        <v>251</v>
      </c>
      <c r="E133" t="s">
        <v>228</v>
      </c>
      <c r="F133" t="s">
        <v>87</v>
      </c>
      <c r="G133" s="4">
        <v>111249</v>
      </c>
      <c r="H133" s="4">
        <v>922102.98499999999</v>
      </c>
      <c r="I133" s="4">
        <v>720564.50800000003</v>
      </c>
      <c r="J133" s="1">
        <v>27.969525942845902</v>
      </c>
      <c r="K133" s="2">
        <v>2</v>
      </c>
      <c r="L133" s="1">
        <v>4</v>
      </c>
      <c r="M133" s="4">
        <v>8288.64</v>
      </c>
    </row>
    <row r="134" spans="1:13" x14ac:dyDescent="0.25">
      <c r="A134">
        <f>RANK(H134,H$13:H$798,0)</f>
        <v>122</v>
      </c>
      <c r="B134" s="2">
        <v>211273</v>
      </c>
      <c r="C134" t="s">
        <v>252</v>
      </c>
      <c r="D134" t="s">
        <v>253</v>
      </c>
      <c r="E134" t="s">
        <v>20</v>
      </c>
      <c r="F134" t="s">
        <v>3</v>
      </c>
      <c r="G134" s="4">
        <v>1676</v>
      </c>
      <c r="H134" s="4">
        <v>907976.43500000006</v>
      </c>
      <c r="I134" s="4">
        <v>893464.65399999998</v>
      </c>
      <c r="J134" s="1">
        <v>1.6242143362953982</v>
      </c>
      <c r="K134" s="2">
        <v>2</v>
      </c>
      <c r="L134" s="1">
        <v>2</v>
      </c>
      <c r="M134" s="4">
        <v>541752.05000000005</v>
      </c>
    </row>
    <row r="135" spans="1:13" x14ac:dyDescent="0.25">
      <c r="A135">
        <f>RANK(H135,H$13:H$798,0)</f>
        <v>123</v>
      </c>
      <c r="B135" s="2">
        <v>173258</v>
      </c>
      <c r="C135" t="s">
        <v>254</v>
      </c>
      <c r="D135" t="s">
        <v>255</v>
      </c>
      <c r="E135" t="s">
        <v>95</v>
      </c>
      <c r="F135" t="s">
        <v>3</v>
      </c>
      <c r="G135" s="4">
        <v>2046</v>
      </c>
      <c r="H135" s="4">
        <v>892352.8</v>
      </c>
      <c r="I135" s="4">
        <v>878493.99800000002</v>
      </c>
      <c r="J135" s="1">
        <v>1.5775636522903171</v>
      </c>
      <c r="K135" s="2">
        <v>2</v>
      </c>
      <c r="L135" s="1">
        <v>2</v>
      </c>
      <c r="M135" s="4">
        <v>436145.06</v>
      </c>
    </row>
    <row r="136" spans="1:13" x14ac:dyDescent="0.25">
      <c r="A136">
        <f>RANK(H136,H$13:H$798,0)</f>
        <v>124</v>
      </c>
      <c r="B136" s="2">
        <v>121150</v>
      </c>
      <c r="C136" t="s">
        <v>256</v>
      </c>
      <c r="D136" t="s">
        <v>257</v>
      </c>
      <c r="E136" t="s">
        <v>12</v>
      </c>
      <c r="F136" t="s">
        <v>3</v>
      </c>
      <c r="G136" s="4">
        <v>7961</v>
      </c>
      <c r="H136" s="4">
        <v>887461</v>
      </c>
      <c r="I136" s="4">
        <v>891846.39</v>
      </c>
      <c r="J136" s="1">
        <v>-0.4917203286543565</v>
      </c>
      <c r="K136" s="2">
        <v>2</v>
      </c>
      <c r="L136" s="1">
        <v>4</v>
      </c>
      <c r="M136" s="4">
        <v>111476.07</v>
      </c>
    </row>
    <row r="137" spans="1:13" x14ac:dyDescent="0.25">
      <c r="A137">
        <f>RANK(H137,H$13:H$798,0)</f>
        <v>125</v>
      </c>
      <c r="B137" s="2">
        <v>198385</v>
      </c>
      <c r="C137" t="s">
        <v>259</v>
      </c>
      <c r="D137" t="s">
        <v>260</v>
      </c>
      <c r="E137" t="s">
        <v>36</v>
      </c>
      <c r="F137" t="s">
        <v>3</v>
      </c>
      <c r="G137" s="4">
        <v>1843</v>
      </c>
      <c r="H137" s="4">
        <v>881465.07499999995</v>
      </c>
      <c r="I137" s="4">
        <v>821775.59299999999</v>
      </c>
      <c r="J137" s="1">
        <v>7.2634770986682193</v>
      </c>
      <c r="K137" s="2">
        <v>2</v>
      </c>
      <c r="L137" s="1">
        <v>2</v>
      </c>
      <c r="M137" s="4">
        <v>478277.31</v>
      </c>
    </row>
    <row r="138" spans="1:13" x14ac:dyDescent="0.25">
      <c r="A138">
        <f>RANK(H138,H$13:H$798,0)</f>
        <v>126</v>
      </c>
      <c r="B138" s="3">
        <v>166665</v>
      </c>
      <c r="C138" t="s">
        <v>261</v>
      </c>
      <c r="D138" t="s">
        <v>1</v>
      </c>
      <c r="E138" t="s">
        <v>2</v>
      </c>
      <c r="F138" t="s">
        <v>75</v>
      </c>
      <c r="G138" s="5" t="s">
        <v>1363</v>
      </c>
      <c r="H138" s="4">
        <v>881302.31299999997</v>
      </c>
      <c r="I138" s="4">
        <v>842858.08499999996</v>
      </c>
      <c r="J138" s="1">
        <v>4.5611744947549511</v>
      </c>
      <c r="K138" s="2">
        <v>3</v>
      </c>
      <c r="L138" s="1">
        <v>6</v>
      </c>
      <c r="M138" s="5" t="s">
        <v>1363</v>
      </c>
    </row>
    <row r="139" spans="1:13" ht="17.25" x14ac:dyDescent="0.25">
      <c r="A139">
        <f>RANK(H139,H$13:H$798,0)</f>
        <v>127</v>
      </c>
      <c r="B139" s="2">
        <v>209490</v>
      </c>
      <c r="C139" t="s">
        <v>1409</v>
      </c>
      <c r="D139" t="s">
        <v>262</v>
      </c>
      <c r="E139" t="s">
        <v>263</v>
      </c>
      <c r="F139" t="s">
        <v>87</v>
      </c>
      <c r="G139" s="4">
        <v>2642.48</v>
      </c>
      <c r="H139" s="4">
        <v>877757.82200000004</v>
      </c>
      <c r="I139" s="4">
        <v>745744.13500000001</v>
      </c>
      <c r="J139" s="1">
        <v>17.702276263962844</v>
      </c>
      <c r="K139" s="2">
        <v>2</v>
      </c>
      <c r="L139" s="1">
        <v>5</v>
      </c>
      <c r="M139" s="4">
        <v>332171.98</v>
      </c>
    </row>
    <row r="140" spans="1:13" x14ac:dyDescent="0.25">
      <c r="A140">
        <f>RANK(H140,H$13:H$798,0)</f>
        <v>128</v>
      </c>
      <c r="B140" s="2">
        <v>202523</v>
      </c>
      <c r="C140" t="s">
        <v>264</v>
      </c>
      <c r="D140" t="s">
        <v>265</v>
      </c>
      <c r="E140" t="s">
        <v>63</v>
      </c>
      <c r="F140" t="s">
        <v>3</v>
      </c>
      <c r="G140" s="4">
        <v>2256</v>
      </c>
      <c r="H140" s="4">
        <v>877592.01199999999</v>
      </c>
      <c r="I140" s="4">
        <v>836357.46900000004</v>
      </c>
      <c r="J140" s="1">
        <v>4.9302534536222273</v>
      </c>
      <c r="K140" s="2">
        <v>2</v>
      </c>
      <c r="L140" s="1">
        <v>2</v>
      </c>
      <c r="M140" s="4">
        <v>389003.55</v>
      </c>
    </row>
    <row r="141" spans="1:13" x14ac:dyDescent="0.25">
      <c r="A141">
        <f>RANK(H141,H$13:H$798,0)</f>
        <v>129</v>
      </c>
      <c r="B141" s="2">
        <v>161086</v>
      </c>
      <c r="C141" t="s">
        <v>266</v>
      </c>
      <c r="D141" t="s">
        <v>267</v>
      </c>
      <c r="E141" t="s">
        <v>137</v>
      </c>
      <c r="F141" t="s">
        <v>3</v>
      </c>
      <c r="G141" s="4">
        <v>2000</v>
      </c>
      <c r="H141" s="4">
        <v>869927</v>
      </c>
      <c r="I141" s="4">
        <v>828013</v>
      </c>
      <c r="J141" s="1">
        <v>5.0619978188748238</v>
      </c>
      <c r="K141" s="2">
        <v>2</v>
      </c>
      <c r="L141" s="1">
        <v>2</v>
      </c>
      <c r="M141" s="4">
        <v>434963.5</v>
      </c>
    </row>
    <row r="142" spans="1:13" x14ac:dyDescent="0.25">
      <c r="A142" s="30">
        <f>RANK(H142,H$13:H$798,0)</f>
        <v>130</v>
      </c>
      <c r="B142" s="31" t="s">
        <v>1363</v>
      </c>
      <c r="C142" s="30" t="s">
        <v>268</v>
      </c>
      <c r="D142" s="30" t="s">
        <v>269</v>
      </c>
      <c r="E142" s="30" t="s">
        <v>117</v>
      </c>
      <c r="F142" s="30" t="s">
        <v>1388</v>
      </c>
      <c r="G142" s="32">
        <v>24649</v>
      </c>
      <c r="H142" s="32">
        <v>867210.13120000006</v>
      </c>
      <c r="I142" s="32">
        <v>827854.84400000004</v>
      </c>
      <c r="J142" s="33">
        <v>4.7538874097594848</v>
      </c>
      <c r="K142" s="24">
        <v>3</v>
      </c>
      <c r="L142" s="33">
        <v>6</v>
      </c>
      <c r="M142" s="32">
        <v>35182.370000000003</v>
      </c>
    </row>
    <row r="143" spans="1:13" x14ac:dyDescent="0.25">
      <c r="A143">
        <f>RANK(H143,H$13:H$798,0)</f>
        <v>131</v>
      </c>
      <c r="B143" s="2">
        <v>211291</v>
      </c>
      <c r="C143" t="s">
        <v>270</v>
      </c>
      <c r="D143" t="s">
        <v>271</v>
      </c>
      <c r="E143" t="s">
        <v>20</v>
      </c>
      <c r="F143" t="s">
        <v>3</v>
      </c>
      <c r="G143" s="4">
        <v>3637</v>
      </c>
      <c r="H143" s="4">
        <v>866835</v>
      </c>
      <c r="I143" s="4">
        <v>851309</v>
      </c>
      <c r="J143" s="1">
        <v>1.8237796146874989</v>
      </c>
      <c r="K143" s="2">
        <v>2</v>
      </c>
      <c r="L143" s="1">
        <v>2</v>
      </c>
      <c r="M143" s="4">
        <v>238337.92000000001</v>
      </c>
    </row>
    <row r="144" spans="1:13" x14ac:dyDescent="0.25">
      <c r="A144">
        <f>RANK(H144,H$13:H$798,0)</f>
        <v>132</v>
      </c>
      <c r="B144" s="2">
        <v>112260</v>
      </c>
      <c r="C144" t="s">
        <v>272</v>
      </c>
      <c r="D144" t="s">
        <v>99</v>
      </c>
      <c r="E144" t="s">
        <v>12</v>
      </c>
      <c r="F144" t="s">
        <v>3</v>
      </c>
      <c r="G144" s="4">
        <v>1327</v>
      </c>
      <c r="H144" s="4">
        <v>865475</v>
      </c>
      <c r="I144" s="4">
        <v>835306</v>
      </c>
      <c r="J144" s="1">
        <v>3.6117303120054207</v>
      </c>
      <c r="K144" s="2">
        <v>2</v>
      </c>
      <c r="L144" s="1">
        <v>2</v>
      </c>
      <c r="M144" s="4">
        <v>652204.22</v>
      </c>
    </row>
    <row r="145" spans="1:13" x14ac:dyDescent="0.25">
      <c r="A145">
        <f>RANK(H145,H$13:H$798,0)</f>
        <v>133</v>
      </c>
      <c r="B145" s="2">
        <v>213385</v>
      </c>
      <c r="C145" t="s">
        <v>273</v>
      </c>
      <c r="D145" t="s">
        <v>584</v>
      </c>
      <c r="E145" t="s">
        <v>20</v>
      </c>
      <c r="F145" t="s">
        <v>3</v>
      </c>
      <c r="G145" s="4">
        <v>2620</v>
      </c>
      <c r="H145" s="4">
        <v>832067.897</v>
      </c>
      <c r="I145" s="4">
        <v>830637.41399999999</v>
      </c>
      <c r="J145" s="1">
        <v>0.17221509360039583</v>
      </c>
      <c r="K145" s="2">
        <v>2</v>
      </c>
      <c r="L145" s="1">
        <v>2</v>
      </c>
      <c r="M145" s="4">
        <v>317583.17</v>
      </c>
    </row>
    <row r="146" spans="1:13" x14ac:dyDescent="0.25">
      <c r="A146">
        <f>RANK(H146,H$13:H$798,0)</f>
        <v>134</v>
      </c>
      <c r="B146" s="2">
        <v>212054</v>
      </c>
      <c r="C146" t="s">
        <v>274</v>
      </c>
      <c r="D146" t="s">
        <v>19</v>
      </c>
      <c r="E146" t="s">
        <v>20</v>
      </c>
      <c r="F146" t="s">
        <v>3</v>
      </c>
      <c r="G146" s="4">
        <v>20419</v>
      </c>
      <c r="H146" s="4">
        <v>813685.16799999995</v>
      </c>
      <c r="I146" s="4">
        <v>779691.69700000004</v>
      </c>
      <c r="J146" s="1">
        <v>4.3598605873059464</v>
      </c>
      <c r="K146" s="2">
        <v>2</v>
      </c>
      <c r="L146" s="1">
        <v>4</v>
      </c>
      <c r="M146" s="4">
        <v>39849.410000000003</v>
      </c>
    </row>
    <row r="147" spans="1:13" ht="17.25" x14ac:dyDescent="0.25">
      <c r="A147" s="25">
        <f>RANK(H147,H$13:H$798,0)</f>
        <v>135</v>
      </c>
      <c r="B147" s="26">
        <v>183327</v>
      </c>
      <c r="C147" s="25" t="s">
        <v>1410</v>
      </c>
      <c r="D147" s="25" t="s">
        <v>343</v>
      </c>
      <c r="E147" s="25" t="s">
        <v>344</v>
      </c>
      <c r="F147" s="25" t="s">
        <v>1380</v>
      </c>
      <c r="G147" s="27">
        <v>24762</v>
      </c>
      <c r="H147" s="27">
        <v>803867</v>
      </c>
      <c r="I147" s="27">
        <v>776795</v>
      </c>
      <c r="J147" s="28">
        <v>3.49</v>
      </c>
      <c r="K147" s="26">
        <v>3</v>
      </c>
      <c r="L147" s="28">
        <v>6</v>
      </c>
      <c r="M147" s="27">
        <v>22919.84</v>
      </c>
    </row>
    <row r="148" spans="1:13" x14ac:dyDescent="0.25">
      <c r="A148">
        <f>RANK(H148,H$13:H$798,0)</f>
        <v>136</v>
      </c>
      <c r="B148" s="2">
        <v>196088</v>
      </c>
      <c r="C148" t="s">
        <v>275</v>
      </c>
      <c r="D148" t="s">
        <v>276</v>
      </c>
      <c r="E148" t="s">
        <v>33</v>
      </c>
      <c r="F148" t="s">
        <v>75</v>
      </c>
      <c r="G148" s="4">
        <v>28082</v>
      </c>
      <c r="H148" s="4">
        <v>794894.68900000001</v>
      </c>
      <c r="I148" s="4">
        <v>724999.67700000003</v>
      </c>
      <c r="J148" s="1">
        <v>9.6406956054409374</v>
      </c>
      <c r="K148" s="2">
        <v>2</v>
      </c>
      <c r="L148" s="1">
        <v>4</v>
      </c>
      <c r="M148" s="4">
        <v>28306.2</v>
      </c>
    </row>
    <row r="149" spans="1:13" x14ac:dyDescent="0.25">
      <c r="A149">
        <f>RANK(H149,H$13:H$798,0)</f>
        <v>137</v>
      </c>
      <c r="B149" s="2">
        <v>166939</v>
      </c>
      <c r="C149" t="s">
        <v>277</v>
      </c>
      <c r="D149" t="s">
        <v>278</v>
      </c>
      <c r="E149" t="s">
        <v>2</v>
      </c>
      <c r="F149" t="s">
        <v>3</v>
      </c>
      <c r="G149" s="4">
        <v>2264</v>
      </c>
      <c r="H149" s="4">
        <v>794203.69310000003</v>
      </c>
      <c r="I149" s="4">
        <v>777739.10297999997</v>
      </c>
      <c r="J149" s="1">
        <v>2.1169811389081543</v>
      </c>
      <c r="K149" s="2">
        <v>2</v>
      </c>
      <c r="L149" s="1">
        <v>2</v>
      </c>
      <c r="M149" s="4">
        <v>350796.68</v>
      </c>
    </row>
    <row r="150" spans="1:13" x14ac:dyDescent="0.25">
      <c r="A150">
        <f>RANK(H150,H$13:H$798,0)</f>
        <v>138</v>
      </c>
      <c r="B150" s="2">
        <v>100858</v>
      </c>
      <c r="C150" t="s">
        <v>279</v>
      </c>
      <c r="D150" t="s">
        <v>280</v>
      </c>
      <c r="E150" t="s">
        <v>150</v>
      </c>
      <c r="F150" t="s">
        <v>87</v>
      </c>
      <c r="G150" s="4">
        <v>27468</v>
      </c>
      <c r="H150" s="4">
        <v>792983.22900000005</v>
      </c>
      <c r="I150" s="4">
        <v>767361.201</v>
      </c>
      <c r="J150" s="1">
        <v>3.3389788233507587</v>
      </c>
      <c r="K150" s="2">
        <v>2</v>
      </c>
      <c r="L150" s="1">
        <v>4</v>
      </c>
      <c r="M150" s="4">
        <v>28869.35</v>
      </c>
    </row>
    <row r="151" spans="1:13" x14ac:dyDescent="0.25">
      <c r="A151">
        <f>RANK(H151,H$13:H$798,0)</f>
        <v>139</v>
      </c>
      <c r="B151" s="2">
        <v>110680</v>
      </c>
      <c r="C151" t="s">
        <v>281</v>
      </c>
      <c r="D151" t="s">
        <v>282</v>
      </c>
      <c r="E151" t="s">
        <v>12</v>
      </c>
      <c r="F151" t="s">
        <v>75</v>
      </c>
      <c r="G151" s="4">
        <v>37085</v>
      </c>
      <c r="H151" s="4">
        <v>792363.82499999995</v>
      </c>
      <c r="I151" s="4">
        <v>738174.29200000002</v>
      </c>
      <c r="J151" s="1">
        <v>7.3410214345421734</v>
      </c>
      <c r="K151" s="2">
        <v>2</v>
      </c>
      <c r="L151" s="1">
        <v>4</v>
      </c>
      <c r="M151" s="4">
        <v>21366.15</v>
      </c>
    </row>
    <row r="152" spans="1:13" x14ac:dyDescent="0.25">
      <c r="A152">
        <f>RANK(H152,H$13:H$798,0)</f>
        <v>140</v>
      </c>
      <c r="B152" s="2">
        <v>218663</v>
      </c>
      <c r="C152" t="s">
        <v>283</v>
      </c>
      <c r="D152" t="s">
        <v>284</v>
      </c>
      <c r="E152" t="s">
        <v>285</v>
      </c>
      <c r="F152" t="s">
        <v>87</v>
      </c>
      <c r="G152" s="4">
        <v>46093</v>
      </c>
      <c r="H152" s="4">
        <v>788261.17500000005</v>
      </c>
      <c r="I152" s="4">
        <v>809937.29299999995</v>
      </c>
      <c r="J152" s="1">
        <v>-2.6762711369557719</v>
      </c>
      <c r="K152" s="2">
        <v>2</v>
      </c>
      <c r="L152" s="1">
        <v>4</v>
      </c>
      <c r="M152" s="4">
        <v>17101.54</v>
      </c>
    </row>
    <row r="153" spans="1:13" x14ac:dyDescent="0.25">
      <c r="A153">
        <f>RANK(H153,H$13:H$798,0)</f>
        <v>141</v>
      </c>
      <c r="B153" s="2">
        <v>127060</v>
      </c>
      <c r="C153" t="s">
        <v>286</v>
      </c>
      <c r="D153" t="s">
        <v>157</v>
      </c>
      <c r="E153" t="s">
        <v>158</v>
      </c>
      <c r="F153" t="s">
        <v>3</v>
      </c>
      <c r="G153" s="4">
        <v>9669</v>
      </c>
      <c r="H153" s="4">
        <v>786425.33400000003</v>
      </c>
      <c r="I153" s="4">
        <v>761952.22400000005</v>
      </c>
      <c r="J153" s="1">
        <v>3.2118956056751378</v>
      </c>
      <c r="K153" s="2">
        <v>2</v>
      </c>
      <c r="L153" s="1">
        <v>4</v>
      </c>
      <c r="M153" s="4">
        <v>81334.710000000006</v>
      </c>
    </row>
    <row r="154" spans="1:13" x14ac:dyDescent="0.25">
      <c r="A154">
        <f>RANK(H154,H$13:H$798,0)</f>
        <v>142</v>
      </c>
      <c r="B154" s="2">
        <v>166124</v>
      </c>
      <c r="C154" t="s">
        <v>287</v>
      </c>
      <c r="D154" t="s">
        <v>288</v>
      </c>
      <c r="E154" t="s">
        <v>2</v>
      </c>
      <c r="F154" t="s">
        <v>3</v>
      </c>
      <c r="G154" s="4">
        <v>3102</v>
      </c>
      <c r="H154" s="4">
        <v>785852</v>
      </c>
      <c r="I154" s="4">
        <v>783207</v>
      </c>
      <c r="J154" s="1">
        <v>0.33771403983876547</v>
      </c>
      <c r="K154" s="2">
        <v>2</v>
      </c>
      <c r="L154" s="1">
        <v>2</v>
      </c>
      <c r="M154" s="4">
        <v>253337.2</v>
      </c>
    </row>
    <row r="155" spans="1:13" x14ac:dyDescent="0.25">
      <c r="A155">
        <f>RANK(H155,H$13:H$798,0)</f>
        <v>143</v>
      </c>
      <c r="B155" s="2">
        <v>217882</v>
      </c>
      <c r="C155" t="s">
        <v>289</v>
      </c>
      <c r="D155" t="s">
        <v>290</v>
      </c>
      <c r="E155" t="s">
        <v>285</v>
      </c>
      <c r="F155" t="s">
        <v>75</v>
      </c>
      <c r="G155" s="4">
        <v>22944</v>
      </c>
      <c r="H155" s="4">
        <v>774514.04700000002</v>
      </c>
      <c r="I155" s="4">
        <v>741801.92200000002</v>
      </c>
      <c r="J155" s="1">
        <v>4.4098193911123351</v>
      </c>
      <c r="K155" s="2">
        <v>2</v>
      </c>
      <c r="L155" s="1">
        <v>4</v>
      </c>
      <c r="M155" s="4">
        <v>33756.71</v>
      </c>
    </row>
    <row r="156" spans="1:13" x14ac:dyDescent="0.25">
      <c r="A156">
        <f>RANK(H156,H$13:H$798,0)</f>
        <v>144</v>
      </c>
      <c r="B156" s="2">
        <v>173902</v>
      </c>
      <c r="C156" t="s">
        <v>291</v>
      </c>
      <c r="D156" t="s">
        <v>292</v>
      </c>
      <c r="E156" t="s">
        <v>95</v>
      </c>
      <c r="F156" t="s">
        <v>3</v>
      </c>
      <c r="G156" s="4">
        <v>2151</v>
      </c>
      <c r="H156" s="4">
        <v>770781.70299999998</v>
      </c>
      <c r="I156" s="4">
        <v>767522.26800000004</v>
      </c>
      <c r="J156" s="1">
        <v>0.42466976345759122</v>
      </c>
      <c r="K156" s="2">
        <v>2</v>
      </c>
      <c r="L156" s="1">
        <v>2</v>
      </c>
      <c r="M156" s="4">
        <v>358336.45</v>
      </c>
    </row>
    <row r="157" spans="1:13" x14ac:dyDescent="0.25">
      <c r="A157">
        <f>RANK(H157,H$13:H$798,0)</f>
        <v>145</v>
      </c>
      <c r="B157" s="3" t="s">
        <v>1363</v>
      </c>
      <c r="C157" t="s">
        <v>293</v>
      </c>
      <c r="D157" t="s">
        <v>46</v>
      </c>
      <c r="E157" t="s">
        <v>33</v>
      </c>
      <c r="F157" t="s">
        <v>3</v>
      </c>
      <c r="G157" s="4">
        <v>8874</v>
      </c>
      <c r="H157" s="4">
        <v>768038.82400000002</v>
      </c>
      <c r="I157" s="4">
        <v>731537.076</v>
      </c>
      <c r="J157" s="1">
        <v>4.9897331519530557</v>
      </c>
      <c r="K157" s="2">
        <v>3</v>
      </c>
      <c r="L157" s="1">
        <v>6</v>
      </c>
      <c r="M157" s="4">
        <v>86549.34</v>
      </c>
    </row>
    <row r="158" spans="1:13" x14ac:dyDescent="0.25">
      <c r="A158">
        <f>RANK(H158,H$13:H$798,0)</f>
        <v>146</v>
      </c>
      <c r="B158" s="2">
        <v>126678</v>
      </c>
      <c r="C158" t="s">
        <v>294</v>
      </c>
      <c r="D158" t="s">
        <v>295</v>
      </c>
      <c r="E158" t="s">
        <v>158</v>
      </c>
      <c r="F158" t="s">
        <v>3</v>
      </c>
      <c r="G158" s="4">
        <v>2056</v>
      </c>
      <c r="H158" s="4">
        <v>766909.73699999996</v>
      </c>
      <c r="I158" s="4">
        <v>729897.45</v>
      </c>
      <c r="J158" s="1">
        <v>5.070888657029835</v>
      </c>
      <c r="K158" s="2">
        <v>2</v>
      </c>
      <c r="L158" s="1">
        <v>2</v>
      </c>
      <c r="M158" s="4">
        <v>373010.57</v>
      </c>
    </row>
    <row r="159" spans="1:13" x14ac:dyDescent="0.25">
      <c r="A159">
        <f>RANK(H159,H$13:H$798,0)</f>
        <v>147</v>
      </c>
      <c r="B159" s="2">
        <v>216597</v>
      </c>
      <c r="C159" t="s">
        <v>296</v>
      </c>
      <c r="D159" t="s">
        <v>297</v>
      </c>
      <c r="E159" t="s">
        <v>20</v>
      </c>
      <c r="F159" t="s">
        <v>3</v>
      </c>
      <c r="G159" s="4">
        <v>10784</v>
      </c>
      <c r="H159" s="4">
        <v>766903.01800000004</v>
      </c>
      <c r="I159" s="4">
        <v>715650.473</v>
      </c>
      <c r="J159" s="1">
        <v>7.1616727625638061</v>
      </c>
      <c r="K159" s="2">
        <v>2</v>
      </c>
      <c r="L159" s="1">
        <v>4</v>
      </c>
      <c r="M159" s="4">
        <v>71114.89</v>
      </c>
    </row>
    <row r="160" spans="1:13" x14ac:dyDescent="0.25">
      <c r="A160">
        <f>RANK(H160,H$13:H$798,0)</f>
        <v>148</v>
      </c>
      <c r="B160" s="3" t="s">
        <v>1363</v>
      </c>
      <c r="C160" t="s">
        <v>298</v>
      </c>
      <c r="D160" t="s">
        <v>299</v>
      </c>
      <c r="E160" t="s">
        <v>215</v>
      </c>
      <c r="F160" t="s">
        <v>7</v>
      </c>
      <c r="G160" s="4">
        <v>64619</v>
      </c>
      <c r="H160" s="4">
        <v>756512.89599999995</v>
      </c>
      <c r="I160" s="4">
        <v>747707.21900000004</v>
      </c>
      <c r="J160" s="1">
        <v>1.1776905152496473</v>
      </c>
      <c r="K160" s="2">
        <v>3</v>
      </c>
      <c r="L160" s="1">
        <v>6</v>
      </c>
      <c r="M160" s="4">
        <v>11707.28</v>
      </c>
    </row>
    <row r="161" spans="1:13" ht="17.25" x14ac:dyDescent="0.25">
      <c r="A161">
        <f>RANK(H161,H$13:H$798,0)</f>
        <v>149</v>
      </c>
      <c r="B161" s="2">
        <v>195809</v>
      </c>
      <c r="C161" t="s">
        <v>1418</v>
      </c>
      <c r="D161" t="s">
        <v>300</v>
      </c>
      <c r="E161" t="s">
        <v>33</v>
      </c>
      <c r="F161" t="s">
        <v>3</v>
      </c>
      <c r="G161" s="4">
        <v>16993</v>
      </c>
      <c r="H161" s="4">
        <v>748873</v>
      </c>
      <c r="I161" s="4">
        <v>756099</v>
      </c>
      <c r="J161" s="1">
        <v>-0.9556949552902464</v>
      </c>
      <c r="K161" s="2">
        <v>2</v>
      </c>
      <c r="L161" s="1">
        <v>4</v>
      </c>
      <c r="M161" s="4">
        <v>44069.5</v>
      </c>
    </row>
    <row r="162" spans="1:13" x14ac:dyDescent="0.25">
      <c r="A162">
        <f>RANK(H162,H$13:H$798,0)</f>
        <v>150</v>
      </c>
      <c r="B162" s="2">
        <v>194824</v>
      </c>
      <c r="C162" t="s">
        <v>301</v>
      </c>
      <c r="D162" t="s">
        <v>302</v>
      </c>
      <c r="E162" t="s">
        <v>33</v>
      </c>
      <c r="F162" t="s">
        <v>3</v>
      </c>
      <c r="G162" s="4">
        <v>7962</v>
      </c>
      <c r="H162" s="4">
        <v>739648</v>
      </c>
      <c r="I162" s="4">
        <v>718199</v>
      </c>
      <c r="J162" s="1">
        <v>2.9864981711197038</v>
      </c>
      <c r="K162" s="2">
        <v>2</v>
      </c>
      <c r="L162" s="1">
        <v>4</v>
      </c>
      <c r="M162" s="4">
        <v>92897.26</v>
      </c>
    </row>
    <row r="163" spans="1:13" x14ac:dyDescent="0.25">
      <c r="A163">
        <f>RANK(H163,H$13:H$798,0)</f>
        <v>151</v>
      </c>
      <c r="B163" s="2">
        <v>176017</v>
      </c>
      <c r="C163" t="s">
        <v>303</v>
      </c>
      <c r="D163" t="s">
        <v>304</v>
      </c>
      <c r="E163" t="s">
        <v>305</v>
      </c>
      <c r="F163" t="s">
        <v>7</v>
      </c>
      <c r="G163" s="4">
        <v>20728</v>
      </c>
      <c r="H163" s="4">
        <v>736287.81200000003</v>
      </c>
      <c r="I163" s="4">
        <v>713129.38199999998</v>
      </c>
      <c r="J163" s="1">
        <v>3.2474373633366929</v>
      </c>
      <c r="K163" s="2">
        <v>2</v>
      </c>
      <c r="L163" s="1">
        <v>4</v>
      </c>
      <c r="M163" s="4">
        <v>35521.410000000003</v>
      </c>
    </row>
    <row r="164" spans="1:13" x14ac:dyDescent="0.25">
      <c r="A164">
        <f>RANK(H164,H$13:H$798,0)</f>
        <v>152</v>
      </c>
      <c r="B164" s="2">
        <v>191241</v>
      </c>
      <c r="C164" t="s">
        <v>306</v>
      </c>
      <c r="D164" t="s">
        <v>307</v>
      </c>
      <c r="E164" t="s">
        <v>33</v>
      </c>
      <c r="F164" t="s">
        <v>3</v>
      </c>
      <c r="G164" s="4">
        <v>14732</v>
      </c>
      <c r="H164" s="4">
        <v>733516</v>
      </c>
      <c r="I164" s="4">
        <v>729179</v>
      </c>
      <c r="J164" s="1">
        <v>0.59477851117489677</v>
      </c>
      <c r="K164" s="2">
        <v>2</v>
      </c>
      <c r="L164" s="1">
        <v>4</v>
      </c>
      <c r="M164" s="4">
        <v>49790.66</v>
      </c>
    </row>
    <row r="165" spans="1:13" x14ac:dyDescent="0.25">
      <c r="A165">
        <f>RANK(H165,H$13:H$798,0)</f>
        <v>153</v>
      </c>
      <c r="B165" s="2">
        <v>150400</v>
      </c>
      <c r="C165" t="s">
        <v>308</v>
      </c>
      <c r="D165" t="s">
        <v>309</v>
      </c>
      <c r="E165" t="s">
        <v>27</v>
      </c>
      <c r="F165" t="s">
        <v>3</v>
      </c>
      <c r="G165" s="4">
        <v>2144</v>
      </c>
      <c r="H165" s="4">
        <v>730340.87800000003</v>
      </c>
      <c r="I165" s="4">
        <v>730849.94099999999</v>
      </c>
      <c r="J165" s="1">
        <v>-6.9653559703846998E-2</v>
      </c>
      <c r="K165" s="2">
        <v>2</v>
      </c>
      <c r="L165" s="1">
        <v>2</v>
      </c>
      <c r="M165" s="4">
        <v>340644.07</v>
      </c>
    </row>
    <row r="166" spans="1:13" x14ac:dyDescent="0.25">
      <c r="A166">
        <f>RANK(H166,H$13:H$798,0)</f>
        <v>154</v>
      </c>
      <c r="B166" s="2">
        <v>131159</v>
      </c>
      <c r="C166" t="s">
        <v>310</v>
      </c>
      <c r="D166" t="s">
        <v>129</v>
      </c>
      <c r="E166" t="s">
        <v>130</v>
      </c>
      <c r="F166" t="s">
        <v>3</v>
      </c>
      <c r="G166" s="4">
        <v>12394</v>
      </c>
      <c r="H166" s="4">
        <v>723368.77099999995</v>
      </c>
      <c r="I166" s="4">
        <v>695024.64599999995</v>
      </c>
      <c r="J166" s="1">
        <v>4.0781467481945954</v>
      </c>
      <c r="K166" s="2">
        <v>2</v>
      </c>
      <c r="L166" s="1">
        <v>4</v>
      </c>
      <c r="M166" s="4">
        <v>58364.43</v>
      </c>
    </row>
    <row r="167" spans="1:13" x14ac:dyDescent="0.25">
      <c r="A167">
        <f>RANK(H167,H$13:H$798,0)</f>
        <v>155</v>
      </c>
      <c r="B167" s="2">
        <v>157289</v>
      </c>
      <c r="C167" t="s">
        <v>311</v>
      </c>
      <c r="D167" t="s">
        <v>312</v>
      </c>
      <c r="E167" t="s">
        <v>170</v>
      </c>
      <c r="F167" t="s">
        <v>75</v>
      </c>
      <c r="G167" s="4">
        <v>18677</v>
      </c>
      <c r="H167" s="4">
        <v>719815.96299999999</v>
      </c>
      <c r="I167" s="4">
        <v>712295.23699999996</v>
      </c>
      <c r="J167" s="1">
        <v>1.0558439266946866</v>
      </c>
      <c r="K167" s="2">
        <v>2</v>
      </c>
      <c r="L167" s="1">
        <v>4</v>
      </c>
      <c r="M167" s="4">
        <v>38540.230000000003</v>
      </c>
    </row>
    <row r="168" spans="1:13" x14ac:dyDescent="0.25">
      <c r="A168">
        <f>RANK(H168,H$13:H$798,0)</f>
        <v>156</v>
      </c>
      <c r="B168" s="2">
        <v>148016</v>
      </c>
      <c r="C168" t="s">
        <v>313</v>
      </c>
      <c r="D168" t="s">
        <v>40</v>
      </c>
      <c r="E168" t="s">
        <v>41</v>
      </c>
      <c r="F168" t="s">
        <v>3</v>
      </c>
      <c r="G168" s="4">
        <v>447</v>
      </c>
      <c r="H168" s="4">
        <v>707265.94900000002</v>
      </c>
      <c r="I168" s="4">
        <v>686709.95400000003</v>
      </c>
      <c r="J168" s="1">
        <v>2.9934028013230161</v>
      </c>
      <c r="K168" s="2">
        <v>2</v>
      </c>
      <c r="L168" s="1">
        <v>2</v>
      </c>
      <c r="M168" s="4">
        <v>1582250.45</v>
      </c>
    </row>
    <row r="169" spans="1:13" x14ac:dyDescent="0.25">
      <c r="A169">
        <f>RANK(H169,H$13:H$798,0)</f>
        <v>157</v>
      </c>
      <c r="B169" s="2">
        <v>134097</v>
      </c>
      <c r="C169" t="s">
        <v>314</v>
      </c>
      <c r="D169" t="s">
        <v>315</v>
      </c>
      <c r="E169" t="s">
        <v>127</v>
      </c>
      <c r="F169" t="s">
        <v>7</v>
      </c>
      <c r="G169" s="4">
        <v>36825</v>
      </c>
      <c r="H169" s="4">
        <v>704105.60900000005</v>
      </c>
      <c r="I169" s="4">
        <v>681369.75300000003</v>
      </c>
      <c r="J169" s="1">
        <v>3.3367868033320272</v>
      </c>
      <c r="K169" s="2">
        <v>2</v>
      </c>
      <c r="L169" s="1">
        <v>4</v>
      </c>
      <c r="M169" s="4">
        <v>19120.32</v>
      </c>
    </row>
    <row r="170" spans="1:13" x14ac:dyDescent="0.25">
      <c r="A170">
        <f>RANK(H170,H$13:H$798,0)</f>
        <v>158</v>
      </c>
      <c r="B170" s="2">
        <v>239105</v>
      </c>
      <c r="C170" t="s">
        <v>316</v>
      </c>
      <c r="D170" t="s">
        <v>249</v>
      </c>
      <c r="E170" t="s">
        <v>74</v>
      </c>
      <c r="F170" t="s">
        <v>3</v>
      </c>
      <c r="G170" s="4">
        <v>11605</v>
      </c>
      <c r="H170" s="4">
        <v>698021.348</v>
      </c>
      <c r="I170" s="4">
        <v>668567.38500000001</v>
      </c>
      <c r="J170" s="1">
        <v>4.4055339313328883</v>
      </c>
      <c r="K170" s="2">
        <v>2</v>
      </c>
      <c r="L170" s="1">
        <v>4</v>
      </c>
      <c r="M170" s="4">
        <v>60148.33</v>
      </c>
    </row>
    <row r="171" spans="1:13" x14ac:dyDescent="0.25">
      <c r="A171">
        <f>RANK(H171,H$13:H$798,0)</f>
        <v>159</v>
      </c>
      <c r="B171" s="2">
        <v>144740</v>
      </c>
      <c r="C171" t="s">
        <v>317</v>
      </c>
      <c r="D171" t="s">
        <v>38</v>
      </c>
      <c r="E171" t="s">
        <v>30</v>
      </c>
      <c r="F171" t="s">
        <v>3</v>
      </c>
      <c r="G171" s="4">
        <v>19602</v>
      </c>
      <c r="H171" s="4">
        <v>696452.19900000002</v>
      </c>
      <c r="I171" s="4">
        <v>593407.45900000003</v>
      </c>
      <c r="J171" s="1">
        <v>17.364921595972049</v>
      </c>
      <c r="K171" s="2">
        <v>2</v>
      </c>
      <c r="L171" s="1">
        <v>4</v>
      </c>
      <c r="M171" s="4">
        <v>35529.65</v>
      </c>
    </row>
    <row r="172" spans="1:13" x14ac:dyDescent="0.25">
      <c r="A172">
        <f>RANK(H172,H$13:H$798,0)</f>
        <v>160</v>
      </c>
      <c r="B172" s="2">
        <v>218070</v>
      </c>
      <c r="C172" t="s">
        <v>318</v>
      </c>
      <c r="D172" t="s">
        <v>319</v>
      </c>
      <c r="E172" t="s">
        <v>285</v>
      </c>
      <c r="F172" t="s">
        <v>3</v>
      </c>
      <c r="G172" s="4">
        <v>2807</v>
      </c>
      <c r="H172" s="4">
        <v>694271.73600000003</v>
      </c>
      <c r="I172" s="4">
        <v>702854.86600000004</v>
      </c>
      <c r="J172" s="1">
        <v>-1.2211809884517473</v>
      </c>
      <c r="K172" s="2">
        <v>2</v>
      </c>
      <c r="L172" s="1">
        <v>2</v>
      </c>
      <c r="M172" s="4">
        <v>247335.85</v>
      </c>
    </row>
    <row r="173" spans="1:13" x14ac:dyDescent="0.25">
      <c r="A173">
        <f>RANK(H173,H$13:H$798,0)</f>
        <v>161</v>
      </c>
      <c r="B173" s="2">
        <v>131520</v>
      </c>
      <c r="C173" t="s">
        <v>320</v>
      </c>
      <c r="D173" t="s">
        <v>129</v>
      </c>
      <c r="E173" t="s">
        <v>130</v>
      </c>
      <c r="F173" t="s">
        <v>3</v>
      </c>
      <c r="G173" s="4">
        <v>6075</v>
      </c>
      <c r="H173" s="4">
        <v>692832.36100000003</v>
      </c>
      <c r="I173" s="4">
        <v>688562.37899999996</v>
      </c>
      <c r="J173" s="1">
        <v>0.62013001729797912</v>
      </c>
      <c r="K173" s="2">
        <v>1</v>
      </c>
      <c r="L173" s="1">
        <v>4</v>
      </c>
      <c r="M173" s="4">
        <v>114046.48</v>
      </c>
    </row>
    <row r="174" spans="1:13" x14ac:dyDescent="0.25">
      <c r="A174">
        <f>RANK(H174,H$13:H$798,0)</f>
        <v>162</v>
      </c>
      <c r="B174" s="2">
        <v>146719</v>
      </c>
      <c r="C174" t="s">
        <v>321</v>
      </c>
      <c r="D174" t="s">
        <v>38</v>
      </c>
      <c r="E174" t="s">
        <v>30</v>
      </c>
      <c r="F174" t="s">
        <v>3</v>
      </c>
      <c r="G174" s="4">
        <v>15814</v>
      </c>
      <c r="H174" s="4">
        <v>692166</v>
      </c>
      <c r="I174" s="4">
        <v>643806</v>
      </c>
      <c r="J174" s="1">
        <v>7.511579575213652</v>
      </c>
      <c r="K174" s="2">
        <v>2</v>
      </c>
      <c r="L174" s="1">
        <v>4</v>
      </c>
      <c r="M174" s="4">
        <v>43769.19</v>
      </c>
    </row>
    <row r="175" spans="1:13" x14ac:dyDescent="0.25">
      <c r="A175">
        <f>RANK(H175,H$13:H$798,0)</f>
        <v>163</v>
      </c>
      <c r="B175" s="2">
        <v>197708</v>
      </c>
      <c r="C175" t="s">
        <v>322</v>
      </c>
      <c r="D175" t="s">
        <v>46</v>
      </c>
      <c r="E175" t="s">
        <v>33</v>
      </c>
      <c r="F175" t="s">
        <v>3</v>
      </c>
      <c r="G175" s="4">
        <v>7305</v>
      </c>
      <c r="H175" s="4">
        <v>665000.59199999995</v>
      </c>
      <c r="I175" s="4">
        <v>647619.01300000004</v>
      </c>
      <c r="J175" s="1">
        <v>2.6839204302360269</v>
      </c>
      <c r="K175" s="2">
        <v>2</v>
      </c>
      <c r="L175" s="1">
        <v>4</v>
      </c>
      <c r="M175" s="4">
        <v>91033.62</v>
      </c>
    </row>
    <row r="176" spans="1:13" x14ac:dyDescent="0.25">
      <c r="A176">
        <f>RANK(H176,H$13:H$798,0)</f>
        <v>164</v>
      </c>
      <c r="B176" s="2">
        <v>216339</v>
      </c>
      <c r="C176" t="s">
        <v>323</v>
      </c>
      <c r="D176" t="s">
        <v>19</v>
      </c>
      <c r="E176" t="s">
        <v>20</v>
      </c>
      <c r="F176" t="s">
        <v>7</v>
      </c>
      <c r="G176" s="4">
        <v>36168</v>
      </c>
      <c r="H176" s="4">
        <v>644089</v>
      </c>
      <c r="I176" s="4">
        <v>642326</v>
      </c>
      <c r="J176" s="1">
        <v>0.27447121866466556</v>
      </c>
      <c r="K176" s="2">
        <v>2</v>
      </c>
      <c r="L176" s="1">
        <v>4</v>
      </c>
      <c r="M176" s="4">
        <v>17808.259999999998</v>
      </c>
    </row>
    <row r="177" spans="1:13" x14ac:dyDescent="0.25">
      <c r="A177">
        <f>RANK(H177,H$13:H$798,0)</f>
        <v>165</v>
      </c>
      <c r="B177" s="2">
        <v>130590</v>
      </c>
      <c r="C177" t="s">
        <v>324</v>
      </c>
      <c r="D177" t="s">
        <v>325</v>
      </c>
      <c r="E177" t="s">
        <v>10</v>
      </c>
      <c r="F177" t="s">
        <v>3</v>
      </c>
      <c r="G177" s="4">
        <v>2175</v>
      </c>
      <c r="H177" s="4">
        <v>623153</v>
      </c>
      <c r="I177" s="4">
        <v>614782.33900000004</v>
      </c>
      <c r="J177" s="1">
        <v>1.3615649749496079</v>
      </c>
      <c r="K177" s="2">
        <v>2</v>
      </c>
      <c r="L177" s="1">
        <v>2</v>
      </c>
      <c r="M177" s="4">
        <v>286507.13</v>
      </c>
    </row>
    <row r="178" spans="1:13" x14ac:dyDescent="0.25">
      <c r="A178">
        <f>RANK(H178,H$13:H$798,0)</f>
        <v>166</v>
      </c>
      <c r="B178" s="2">
        <v>209542</v>
      </c>
      <c r="C178" t="s">
        <v>326</v>
      </c>
      <c r="D178" t="s">
        <v>327</v>
      </c>
      <c r="E178" t="s">
        <v>263</v>
      </c>
      <c r="F178" t="s">
        <v>75</v>
      </c>
      <c r="G178" s="4">
        <v>25084</v>
      </c>
      <c r="H178" s="4">
        <v>622472.58100000001</v>
      </c>
      <c r="I178" s="4">
        <v>595763.049</v>
      </c>
      <c r="J178" s="1">
        <v>4.4832474999636984</v>
      </c>
      <c r="K178" s="2">
        <v>2</v>
      </c>
      <c r="L178" s="1">
        <v>4</v>
      </c>
      <c r="M178" s="4">
        <v>24815.52</v>
      </c>
    </row>
    <row r="179" spans="1:13" x14ac:dyDescent="0.25">
      <c r="A179">
        <f>RANK(H179,H$13:H$798,0)</f>
        <v>167</v>
      </c>
      <c r="B179" s="2">
        <v>191649</v>
      </c>
      <c r="C179" t="s">
        <v>328</v>
      </c>
      <c r="D179" t="s">
        <v>329</v>
      </c>
      <c r="E179" t="s">
        <v>33</v>
      </c>
      <c r="F179" t="s">
        <v>3</v>
      </c>
      <c r="G179" s="4">
        <v>9844</v>
      </c>
      <c r="H179" s="4">
        <v>622235.19299999997</v>
      </c>
      <c r="I179" s="4">
        <v>573574.45700000005</v>
      </c>
      <c r="J179" s="1">
        <v>8.4837697017599076</v>
      </c>
      <c r="K179" s="2">
        <v>2</v>
      </c>
      <c r="L179" s="1">
        <v>4</v>
      </c>
      <c r="M179" s="4">
        <v>63209.59</v>
      </c>
    </row>
    <row r="180" spans="1:13" x14ac:dyDescent="0.25">
      <c r="A180">
        <f>RANK(H180,H$13:H$798,0)</f>
        <v>168</v>
      </c>
      <c r="B180" s="2">
        <v>148511</v>
      </c>
      <c r="C180" t="s">
        <v>330</v>
      </c>
      <c r="D180" t="s">
        <v>38</v>
      </c>
      <c r="E180" t="s">
        <v>30</v>
      </c>
      <c r="F180" t="s">
        <v>3</v>
      </c>
      <c r="G180" s="4">
        <v>2005</v>
      </c>
      <c r="H180" s="4">
        <v>620253.17700000003</v>
      </c>
      <c r="I180" s="4">
        <v>602791.72400000005</v>
      </c>
      <c r="J180" s="1">
        <v>2.8967638912043157</v>
      </c>
      <c r="K180" s="2">
        <v>2</v>
      </c>
      <c r="L180" s="1">
        <v>5</v>
      </c>
      <c r="M180" s="4">
        <v>309353.21000000002</v>
      </c>
    </row>
    <row r="181" spans="1:13" x14ac:dyDescent="0.25">
      <c r="A181">
        <f>RANK(H181,H$13:H$798,0)</f>
        <v>169</v>
      </c>
      <c r="B181" s="2">
        <v>202480</v>
      </c>
      <c r="C181" t="s">
        <v>331</v>
      </c>
      <c r="D181" t="s">
        <v>332</v>
      </c>
      <c r="E181" t="s">
        <v>63</v>
      </c>
      <c r="F181" t="s">
        <v>3</v>
      </c>
      <c r="G181" s="4">
        <v>10438</v>
      </c>
      <c r="H181" s="4">
        <v>604176.17000000004</v>
      </c>
      <c r="I181" s="4">
        <v>568373.58600000001</v>
      </c>
      <c r="J181" s="1">
        <v>6.2991287564865885</v>
      </c>
      <c r="K181" s="2">
        <v>2</v>
      </c>
      <c r="L181" s="1">
        <v>4</v>
      </c>
      <c r="M181" s="4">
        <v>57882.37</v>
      </c>
    </row>
    <row r="182" spans="1:13" x14ac:dyDescent="0.25">
      <c r="A182">
        <f>RANK(H182,H$13:H$798,0)</f>
        <v>170</v>
      </c>
      <c r="B182" s="2">
        <v>240435</v>
      </c>
      <c r="C182" t="s">
        <v>333</v>
      </c>
      <c r="D182" t="s">
        <v>73</v>
      </c>
      <c r="E182" t="s">
        <v>74</v>
      </c>
      <c r="F182" t="s">
        <v>7</v>
      </c>
      <c r="G182" s="4">
        <v>174516</v>
      </c>
      <c r="H182" s="4">
        <v>604171.28</v>
      </c>
      <c r="I182" s="4">
        <v>576611.41700000002</v>
      </c>
      <c r="J182" s="1">
        <v>4.779624923729183</v>
      </c>
      <c r="K182" s="2">
        <v>3</v>
      </c>
      <c r="L182" s="1">
        <v>6</v>
      </c>
      <c r="M182" s="4">
        <v>3461.98</v>
      </c>
    </row>
    <row r="183" spans="1:13" x14ac:dyDescent="0.25">
      <c r="A183" s="30">
        <f>RANK(H183,H$13:H$798,0)</f>
        <v>171</v>
      </c>
      <c r="B183" s="31" t="s">
        <v>1363</v>
      </c>
      <c r="C183" s="30" t="s">
        <v>334</v>
      </c>
      <c r="D183" s="30" t="s">
        <v>335</v>
      </c>
      <c r="E183" s="30" t="s">
        <v>117</v>
      </c>
      <c r="F183" s="30" t="s">
        <v>1388</v>
      </c>
      <c r="G183" s="32">
        <v>31375</v>
      </c>
      <c r="H183" s="32">
        <v>591486.59470000002</v>
      </c>
      <c r="I183" s="32">
        <v>558019.12229999993</v>
      </c>
      <c r="J183" s="33">
        <v>5.9975493782464762</v>
      </c>
      <c r="K183" s="24">
        <v>3</v>
      </c>
      <c r="L183" s="33">
        <v>6</v>
      </c>
      <c r="M183" s="32">
        <v>18852.16</v>
      </c>
    </row>
    <row r="184" spans="1:13" x14ac:dyDescent="0.25">
      <c r="A184">
        <f>RANK(H184,H$13:H$798,0)</f>
        <v>172</v>
      </c>
      <c r="B184" s="2">
        <v>238032</v>
      </c>
      <c r="C184" t="s">
        <v>336</v>
      </c>
      <c r="D184" t="s">
        <v>337</v>
      </c>
      <c r="E184" t="s">
        <v>338</v>
      </c>
      <c r="F184" t="s">
        <v>75</v>
      </c>
      <c r="G184" s="4">
        <v>24852</v>
      </c>
      <c r="H184" s="4">
        <v>589835.179</v>
      </c>
      <c r="I184" s="4">
        <v>593084.97199999995</v>
      </c>
      <c r="J184" s="1">
        <v>-0.54794728469362519</v>
      </c>
      <c r="K184" s="2">
        <v>2</v>
      </c>
      <c r="L184" s="1">
        <v>4</v>
      </c>
      <c r="M184" s="4">
        <v>23733.91</v>
      </c>
    </row>
    <row r="185" spans="1:13" x14ac:dyDescent="0.25">
      <c r="A185">
        <f>RANK(H185,H$13:H$798,0)</f>
        <v>173</v>
      </c>
      <c r="B185" s="2">
        <v>181002</v>
      </c>
      <c r="C185" t="s">
        <v>339</v>
      </c>
      <c r="D185" t="s">
        <v>340</v>
      </c>
      <c r="E185" t="s">
        <v>163</v>
      </c>
      <c r="F185" t="s">
        <v>3</v>
      </c>
      <c r="G185" s="4">
        <v>7716</v>
      </c>
      <c r="H185" s="4">
        <v>587024.34100000001</v>
      </c>
      <c r="I185" s="4">
        <v>568813.24399999995</v>
      </c>
      <c r="J185" s="1">
        <v>3.2015951091321755</v>
      </c>
      <c r="K185" s="2">
        <v>2</v>
      </c>
      <c r="L185" s="1">
        <v>4</v>
      </c>
      <c r="M185" s="4">
        <v>76078.84</v>
      </c>
    </row>
    <row r="186" spans="1:13" x14ac:dyDescent="0.25">
      <c r="A186">
        <f>RANK(H186,H$13:H$798,0)</f>
        <v>174</v>
      </c>
      <c r="B186" s="2">
        <v>204857</v>
      </c>
      <c r="C186" t="s">
        <v>341</v>
      </c>
      <c r="D186" t="s">
        <v>184</v>
      </c>
      <c r="E186" t="s">
        <v>63</v>
      </c>
      <c r="F186" t="s">
        <v>87</v>
      </c>
      <c r="G186" s="4">
        <v>27734</v>
      </c>
      <c r="H186" s="4">
        <v>580656.63699999999</v>
      </c>
      <c r="I186" s="4">
        <v>568907.11199999996</v>
      </c>
      <c r="J186" s="1">
        <v>2.065280034678143</v>
      </c>
      <c r="K186" s="2">
        <v>2</v>
      </c>
      <c r="L186" s="1">
        <v>4</v>
      </c>
      <c r="M186" s="4">
        <v>20936.64</v>
      </c>
    </row>
    <row r="187" spans="1:13" x14ac:dyDescent="0.25">
      <c r="A187">
        <f>RANK(H187,H$13:H$798,0)</f>
        <v>175</v>
      </c>
      <c r="B187" s="2">
        <v>209922</v>
      </c>
      <c r="C187" t="s">
        <v>342</v>
      </c>
      <c r="D187" t="s">
        <v>262</v>
      </c>
      <c r="E187" t="s">
        <v>263</v>
      </c>
      <c r="F187" t="s">
        <v>3</v>
      </c>
      <c r="G187" s="4">
        <v>1472</v>
      </c>
      <c r="H187" s="4">
        <v>579820.39399999997</v>
      </c>
      <c r="I187" s="4">
        <v>577790.27899999998</v>
      </c>
      <c r="J187" s="1">
        <v>0.35135845544400213</v>
      </c>
      <c r="K187" s="2">
        <v>2</v>
      </c>
      <c r="L187" s="1">
        <v>2</v>
      </c>
      <c r="M187" s="4">
        <v>393899.72</v>
      </c>
    </row>
    <row r="188" spans="1:13" x14ac:dyDescent="0.25">
      <c r="A188">
        <f>RANK(H188,H$13:H$798,0)</f>
        <v>176</v>
      </c>
      <c r="B188" s="2">
        <v>237057</v>
      </c>
      <c r="C188" t="s">
        <v>345</v>
      </c>
      <c r="D188" t="s">
        <v>346</v>
      </c>
      <c r="E188" t="s">
        <v>82</v>
      </c>
      <c r="F188" t="s">
        <v>3</v>
      </c>
      <c r="G188" s="4">
        <v>1449</v>
      </c>
      <c r="H188" s="4">
        <v>565255.65500000003</v>
      </c>
      <c r="I188" s="4">
        <v>561009.95700000005</v>
      </c>
      <c r="J188" s="1">
        <v>0.75679548054794588</v>
      </c>
      <c r="K188" s="2">
        <v>2</v>
      </c>
      <c r="L188" s="1">
        <v>2</v>
      </c>
      <c r="M188" s="4">
        <v>390100.52</v>
      </c>
    </row>
    <row r="189" spans="1:13" x14ac:dyDescent="0.25">
      <c r="A189">
        <f>RANK(H189,H$13:H$798,0)</f>
        <v>177</v>
      </c>
      <c r="B189" s="2">
        <v>204024</v>
      </c>
      <c r="C189" t="s">
        <v>347</v>
      </c>
      <c r="D189" t="s">
        <v>304</v>
      </c>
      <c r="E189" t="s">
        <v>63</v>
      </c>
      <c r="F189" t="s">
        <v>87</v>
      </c>
      <c r="G189" s="5" t="s">
        <v>1363</v>
      </c>
      <c r="H189" s="4">
        <v>560964.63500000001</v>
      </c>
      <c r="I189" s="4">
        <v>534685.84499999997</v>
      </c>
      <c r="J189" s="1">
        <v>4.9148093681066189</v>
      </c>
      <c r="K189" s="2">
        <v>2</v>
      </c>
      <c r="L189" s="1">
        <v>4</v>
      </c>
      <c r="M189" s="5" t="s">
        <v>1363</v>
      </c>
    </row>
    <row r="190" spans="1:13" x14ac:dyDescent="0.25">
      <c r="A190">
        <f>RANK(H190,H$13:H$798,0)</f>
        <v>178</v>
      </c>
      <c r="B190" s="2">
        <v>130226</v>
      </c>
      <c r="C190" t="s">
        <v>348</v>
      </c>
      <c r="D190" t="s">
        <v>349</v>
      </c>
      <c r="E190" t="s">
        <v>10</v>
      </c>
      <c r="F190" t="s">
        <v>3</v>
      </c>
      <c r="G190" s="4">
        <v>9152</v>
      </c>
      <c r="H190" s="4">
        <v>556603.87</v>
      </c>
      <c r="I190" s="4">
        <v>526568.41200000001</v>
      </c>
      <c r="J190" s="1">
        <v>5.7039991984935066</v>
      </c>
      <c r="K190" s="2">
        <v>2</v>
      </c>
      <c r="L190" s="1">
        <v>4</v>
      </c>
      <c r="M190" s="4">
        <v>60817.73</v>
      </c>
    </row>
    <row r="191" spans="1:13" x14ac:dyDescent="0.25">
      <c r="A191">
        <f>RANK(H191,H$13:H$798,0)</f>
        <v>179</v>
      </c>
      <c r="B191" s="3" t="s">
        <v>1363</v>
      </c>
      <c r="C191" t="s">
        <v>350</v>
      </c>
      <c r="D191" t="s">
        <v>66</v>
      </c>
      <c r="E191" t="s">
        <v>20</v>
      </c>
      <c r="F191" t="s">
        <v>1364</v>
      </c>
      <c r="G191" s="5" t="s">
        <v>1363</v>
      </c>
      <c r="H191" s="4">
        <v>554000</v>
      </c>
      <c r="I191" s="4">
        <v>502000</v>
      </c>
      <c r="J191" s="1">
        <v>10.358565737051793</v>
      </c>
      <c r="K191" s="2">
        <v>3</v>
      </c>
      <c r="L191" s="1">
        <v>6</v>
      </c>
      <c r="M191" s="5" t="s">
        <v>1363</v>
      </c>
    </row>
    <row r="192" spans="1:13" x14ac:dyDescent="0.25">
      <c r="A192">
        <f>RANK(H192,H$13:H$798,0)</f>
        <v>180</v>
      </c>
      <c r="B192" s="2">
        <v>122436</v>
      </c>
      <c r="C192" t="s">
        <v>351</v>
      </c>
      <c r="D192" t="s">
        <v>352</v>
      </c>
      <c r="E192" t="s">
        <v>12</v>
      </c>
      <c r="F192" t="s">
        <v>3</v>
      </c>
      <c r="G192" s="4">
        <v>7924</v>
      </c>
      <c r="H192" s="4">
        <v>545551.67099999997</v>
      </c>
      <c r="I192" s="4">
        <v>529996.74699999997</v>
      </c>
      <c r="J192" s="1">
        <v>2.9349093344529527</v>
      </c>
      <c r="K192" s="2">
        <v>2</v>
      </c>
      <c r="L192" s="1">
        <v>4</v>
      </c>
      <c r="M192" s="4">
        <v>68848.02</v>
      </c>
    </row>
    <row r="193" spans="1:13" x14ac:dyDescent="0.25">
      <c r="A193">
        <f>RANK(H193,H$13:H$798,0)</f>
        <v>181</v>
      </c>
      <c r="B193" s="2">
        <v>174844</v>
      </c>
      <c r="C193" t="s">
        <v>353</v>
      </c>
      <c r="D193" t="s">
        <v>255</v>
      </c>
      <c r="E193" t="s">
        <v>95</v>
      </c>
      <c r="F193" t="s">
        <v>3</v>
      </c>
      <c r="G193" s="4">
        <v>3031</v>
      </c>
      <c r="H193" s="4">
        <v>544840.47100000002</v>
      </c>
      <c r="I193" s="4">
        <v>530828.36499999999</v>
      </c>
      <c r="J193" s="1">
        <v>2.6396679084773531</v>
      </c>
      <c r="K193" s="2">
        <v>2</v>
      </c>
      <c r="L193" s="1">
        <v>2</v>
      </c>
      <c r="M193" s="4">
        <v>179756.01</v>
      </c>
    </row>
    <row r="194" spans="1:13" x14ac:dyDescent="0.25">
      <c r="A194">
        <f>RANK(H194,H$13:H$798,0)</f>
        <v>182</v>
      </c>
      <c r="B194" s="3" t="s">
        <v>1363</v>
      </c>
      <c r="C194" t="s">
        <v>354</v>
      </c>
      <c r="D194" t="s">
        <v>46</v>
      </c>
      <c r="E194" t="s">
        <v>33</v>
      </c>
      <c r="F194" t="s">
        <v>3</v>
      </c>
      <c r="G194" s="4">
        <v>8406</v>
      </c>
      <c r="H194" s="4">
        <v>543357.66483000002</v>
      </c>
      <c r="I194" s="4">
        <v>522991.04505000002</v>
      </c>
      <c r="J194" s="1">
        <v>3.8942578410788813</v>
      </c>
      <c r="K194" s="2">
        <v>3</v>
      </c>
      <c r="L194" s="1">
        <v>6</v>
      </c>
      <c r="M194" s="4">
        <v>64639.27</v>
      </c>
    </row>
    <row r="195" spans="1:13" x14ac:dyDescent="0.25">
      <c r="A195">
        <f>RANK(H195,H$13:H$798,0)</f>
        <v>183</v>
      </c>
      <c r="B195" s="2">
        <v>174914</v>
      </c>
      <c r="C195" t="s">
        <v>355</v>
      </c>
      <c r="D195" t="s">
        <v>292</v>
      </c>
      <c r="E195" t="s">
        <v>95</v>
      </c>
      <c r="F195" t="s">
        <v>3</v>
      </c>
      <c r="G195" s="4">
        <v>8783</v>
      </c>
      <c r="H195" s="4">
        <v>540611.13500000001</v>
      </c>
      <c r="I195" s="4">
        <v>518710.26699999999</v>
      </c>
      <c r="J195" s="1">
        <v>4.2221774646307546</v>
      </c>
      <c r="K195" s="2">
        <v>2</v>
      </c>
      <c r="L195" s="1">
        <v>4</v>
      </c>
      <c r="M195" s="4">
        <v>61551.99</v>
      </c>
    </row>
    <row r="196" spans="1:13" x14ac:dyDescent="0.25">
      <c r="A196">
        <f>RANK(H196,H$13:H$798,0)</f>
        <v>184</v>
      </c>
      <c r="B196" s="3" t="s">
        <v>1363</v>
      </c>
      <c r="C196" t="s">
        <v>356</v>
      </c>
      <c r="D196" t="s">
        <v>357</v>
      </c>
      <c r="E196" t="s">
        <v>358</v>
      </c>
      <c r="F196" t="s">
        <v>3</v>
      </c>
      <c r="G196" s="4">
        <v>5904</v>
      </c>
      <c r="H196" s="4">
        <v>535485.598</v>
      </c>
      <c r="I196" s="4">
        <v>536553.07700000005</v>
      </c>
      <c r="J196" s="1">
        <v>-0.19895124000939243</v>
      </c>
      <c r="K196" s="2">
        <v>3</v>
      </c>
      <c r="L196" s="1">
        <v>6</v>
      </c>
      <c r="M196" s="4">
        <v>90698.78</v>
      </c>
    </row>
    <row r="197" spans="1:13" x14ac:dyDescent="0.25">
      <c r="A197">
        <f>RANK(H197,H$13:H$798,0)</f>
        <v>185</v>
      </c>
      <c r="B197" s="2">
        <v>212911</v>
      </c>
      <c r="C197" t="s">
        <v>359</v>
      </c>
      <c r="D197" t="s">
        <v>360</v>
      </c>
      <c r="E197" t="s">
        <v>20</v>
      </c>
      <c r="F197" t="s">
        <v>3</v>
      </c>
      <c r="G197" s="4">
        <v>1309</v>
      </c>
      <c r="H197" s="4">
        <v>529487</v>
      </c>
      <c r="I197" s="4">
        <v>521538</v>
      </c>
      <c r="J197" s="1">
        <v>1.5241458915745354</v>
      </c>
      <c r="K197" s="2">
        <v>2</v>
      </c>
      <c r="L197" s="1">
        <v>2</v>
      </c>
      <c r="M197" s="4">
        <v>404497.33</v>
      </c>
    </row>
    <row r="198" spans="1:13" x14ac:dyDescent="0.25">
      <c r="A198">
        <f>RANK(H198,H$13:H$798,0)</f>
        <v>186</v>
      </c>
      <c r="B198" s="2">
        <v>176080</v>
      </c>
      <c r="C198" t="s">
        <v>364</v>
      </c>
      <c r="D198" t="s">
        <v>365</v>
      </c>
      <c r="E198" t="s">
        <v>305</v>
      </c>
      <c r="F198" t="s">
        <v>87</v>
      </c>
      <c r="G198" s="4">
        <v>20227</v>
      </c>
      <c r="H198" s="4">
        <v>528679</v>
      </c>
      <c r="I198" s="4">
        <v>506137.79200000002</v>
      </c>
      <c r="J198" s="1">
        <v>4.268737553586992</v>
      </c>
      <c r="K198" s="2">
        <v>2</v>
      </c>
      <c r="L198" s="1">
        <v>4</v>
      </c>
      <c r="M198" s="4">
        <v>26137</v>
      </c>
    </row>
    <row r="199" spans="1:13" x14ac:dyDescent="0.25">
      <c r="A199">
        <f>RANK(H199,H$13:H$798,0)</f>
        <v>187</v>
      </c>
      <c r="B199" s="2">
        <v>168421</v>
      </c>
      <c r="C199" t="s">
        <v>361</v>
      </c>
      <c r="D199" t="s">
        <v>288</v>
      </c>
      <c r="E199" t="s">
        <v>2</v>
      </c>
      <c r="F199" t="s">
        <v>3</v>
      </c>
      <c r="G199" s="4">
        <v>5872</v>
      </c>
      <c r="H199" s="4">
        <v>528287</v>
      </c>
      <c r="I199" s="4">
        <v>519631</v>
      </c>
      <c r="J199" s="1">
        <v>1.6657974601207395</v>
      </c>
      <c r="K199" s="2">
        <v>2</v>
      </c>
      <c r="L199" s="1">
        <v>4</v>
      </c>
      <c r="M199" s="4">
        <v>89967.13</v>
      </c>
    </row>
    <row r="200" spans="1:13" x14ac:dyDescent="0.25">
      <c r="A200">
        <f>RANK(H200,H$13:H$798,0)</f>
        <v>188</v>
      </c>
      <c r="B200" s="3" t="s">
        <v>1363</v>
      </c>
      <c r="C200" t="s">
        <v>362</v>
      </c>
      <c r="D200" t="s">
        <v>363</v>
      </c>
      <c r="E200" t="s">
        <v>2</v>
      </c>
      <c r="F200" t="s">
        <v>75</v>
      </c>
      <c r="G200" s="5" t="s">
        <v>1363</v>
      </c>
      <c r="H200" s="4">
        <v>527896.16</v>
      </c>
      <c r="I200" s="4">
        <v>519177.25099999999</v>
      </c>
      <c r="J200" s="1">
        <v>1.6793703852020365</v>
      </c>
      <c r="K200" s="2">
        <v>3</v>
      </c>
      <c r="L200" s="1">
        <v>6</v>
      </c>
      <c r="M200" s="5" t="s">
        <v>1363</v>
      </c>
    </row>
    <row r="201" spans="1:13" x14ac:dyDescent="0.25">
      <c r="A201">
        <f>RANK(H201,H$13:H$798,0)</f>
        <v>189</v>
      </c>
      <c r="B201" s="2">
        <v>240727</v>
      </c>
      <c r="C201" t="s">
        <v>366</v>
      </c>
      <c r="D201" t="s">
        <v>367</v>
      </c>
      <c r="E201" t="s">
        <v>368</v>
      </c>
      <c r="F201" t="s">
        <v>75</v>
      </c>
      <c r="G201" s="4">
        <v>10811</v>
      </c>
      <c r="H201" s="4">
        <v>515121.386</v>
      </c>
      <c r="I201" s="4">
        <v>488288.32</v>
      </c>
      <c r="J201" s="1">
        <v>5.495332347904613</v>
      </c>
      <c r="K201" s="2">
        <v>2</v>
      </c>
      <c r="L201" s="1">
        <v>4</v>
      </c>
      <c r="M201" s="4">
        <v>47647.89</v>
      </c>
    </row>
    <row r="202" spans="1:13" x14ac:dyDescent="0.25">
      <c r="A202">
        <f>RANK(H202,H$13:H$798,0)</f>
        <v>190</v>
      </c>
      <c r="B202" s="2">
        <v>137351</v>
      </c>
      <c r="C202" t="s">
        <v>369</v>
      </c>
      <c r="D202" t="s">
        <v>370</v>
      </c>
      <c r="E202" t="s">
        <v>127</v>
      </c>
      <c r="F202" t="s">
        <v>7</v>
      </c>
      <c r="G202" s="4">
        <v>35982</v>
      </c>
      <c r="H202" s="4">
        <v>513544.652</v>
      </c>
      <c r="I202" s="4">
        <v>480426.76400000002</v>
      </c>
      <c r="J202" s="1">
        <v>6.8934311078472668</v>
      </c>
      <c r="K202" s="2">
        <v>2</v>
      </c>
      <c r="L202" s="1">
        <v>4</v>
      </c>
      <c r="M202" s="4">
        <v>14272.27</v>
      </c>
    </row>
    <row r="203" spans="1:13" x14ac:dyDescent="0.25">
      <c r="A203">
        <f>RANK(H203,H$13:H$798,0)</f>
        <v>191</v>
      </c>
      <c r="B203" s="2">
        <v>234085</v>
      </c>
      <c r="C203" t="s">
        <v>371</v>
      </c>
      <c r="D203" t="s">
        <v>372</v>
      </c>
      <c r="E203" t="s">
        <v>49</v>
      </c>
      <c r="F203" t="s">
        <v>75</v>
      </c>
      <c r="G203" s="4">
        <v>1705</v>
      </c>
      <c r="H203" s="4">
        <v>512178.59600000002</v>
      </c>
      <c r="I203" s="4">
        <v>491861.826</v>
      </c>
      <c r="J203" s="1">
        <v>4.130584836238139</v>
      </c>
      <c r="K203" s="2">
        <v>2</v>
      </c>
      <c r="L203" s="1">
        <v>2</v>
      </c>
      <c r="M203" s="4">
        <v>300398</v>
      </c>
    </row>
    <row r="204" spans="1:13" x14ac:dyDescent="0.25">
      <c r="A204">
        <f>RANK(H204,H$13:H$798,0)</f>
        <v>192</v>
      </c>
      <c r="B204" s="2">
        <v>155399</v>
      </c>
      <c r="C204" t="s">
        <v>373</v>
      </c>
      <c r="D204" t="s">
        <v>374</v>
      </c>
      <c r="E204" t="s">
        <v>133</v>
      </c>
      <c r="F204" t="s">
        <v>75</v>
      </c>
      <c r="G204" s="4">
        <v>19966</v>
      </c>
      <c r="H204" s="4">
        <v>510300</v>
      </c>
      <c r="I204" s="4">
        <v>472700</v>
      </c>
      <c r="J204" s="1">
        <v>7.9543050560609272</v>
      </c>
      <c r="K204" s="2">
        <v>2</v>
      </c>
      <c r="L204" s="1">
        <v>4</v>
      </c>
      <c r="M204" s="4">
        <v>25558.45</v>
      </c>
    </row>
    <row r="205" spans="1:13" x14ac:dyDescent="0.25">
      <c r="A205" s="30">
        <f>RANK(H205,H$13:H$798,0)</f>
        <v>193</v>
      </c>
      <c r="B205" s="31" t="s">
        <v>1363</v>
      </c>
      <c r="C205" s="30" t="s">
        <v>375</v>
      </c>
      <c r="D205" s="30" t="s">
        <v>376</v>
      </c>
      <c r="E205" s="30" t="s">
        <v>377</v>
      </c>
      <c r="F205" s="30" t="s">
        <v>1388</v>
      </c>
      <c r="G205" s="32">
        <v>17621</v>
      </c>
      <c r="H205" s="32">
        <v>507427.34850000002</v>
      </c>
      <c r="I205" s="32">
        <v>490034.74479999999</v>
      </c>
      <c r="J205" s="33">
        <v>3.5492592891752106</v>
      </c>
      <c r="K205" s="24">
        <v>3</v>
      </c>
      <c r="L205" s="33">
        <v>6</v>
      </c>
      <c r="M205" s="32">
        <v>28796.74</v>
      </c>
    </row>
    <row r="206" spans="1:13" x14ac:dyDescent="0.25">
      <c r="A206">
        <f>RANK(H206,H$13:H$798,0)</f>
        <v>194</v>
      </c>
      <c r="B206" s="2">
        <v>149781</v>
      </c>
      <c r="C206" t="s">
        <v>379</v>
      </c>
      <c r="D206" t="s">
        <v>380</v>
      </c>
      <c r="E206" t="s">
        <v>30</v>
      </c>
      <c r="F206" t="s">
        <v>3</v>
      </c>
      <c r="G206" s="4">
        <v>2715</v>
      </c>
      <c r="H206" s="4">
        <v>503366</v>
      </c>
      <c r="I206" s="4">
        <v>489131</v>
      </c>
      <c r="J206" s="1">
        <v>2.9102633036957379</v>
      </c>
      <c r="K206" s="2">
        <v>2</v>
      </c>
      <c r="L206" s="1">
        <v>2</v>
      </c>
      <c r="M206" s="4">
        <v>185401.84</v>
      </c>
    </row>
    <row r="207" spans="1:13" x14ac:dyDescent="0.25">
      <c r="A207">
        <f>RANK(H207,H$13:H$798,0)</f>
        <v>195</v>
      </c>
      <c r="B207" s="3" t="s">
        <v>1363</v>
      </c>
      <c r="C207" t="s">
        <v>381</v>
      </c>
      <c r="D207" t="s">
        <v>91</v>
      </c>
      <c r="E207" t="s">
        <v>49</v>
      </c>
      <c r="F207" t="s">
        <v>75</v>
      </c>
      <c r="G207" s="4">
        <v>30697</v>
      </c>
      <c r="H207" s="4">
        <v>496004.995</v>
      </c>
      <c r="I207" s="4">
        <v>456110.19300000003</v>
      </c>
      <c r="J207" s="1">
        <v>8.746746424936827</v>
      </c>
      <c r="K207" s="2">
        <v>3</v>
      </c>
      <c r="L207" s="1">
        <v>6</v>
      </c>
      <c r="M207" s="4">
        <v>16158.09</v>
      </c>
    </row>
    <row r="208" spans="1:13" x14ac:dyDescent="0.25">
      <c r="A208">
        <f>RANK(H208,H$13:H$798,0)</f>
        <v>196</v>
      </c>
      <c r="B208" s="2">
        <v>135717</v>
      </c>
      <c r="C208" t="s">
        <v>382</v>
      </c>
      <c r="D208" t="s">
        <v>383</v>
      </c>
      <c r="E208" t="s">
        <v>127</v>
      </c>
      <c r="F208" t="s">
        <v>7</v>
      </c>
      <c r="G208" s="4">
        <v>47485</v>
      </c>
      <c r="H208" s="4">
        <v>491655.61300000001</v>
      </c>
      <c r="I208" s="4">
        <v>486093.29</v>
      </c>
      <c r="J208" s="1">
        <v>1.1442912532283738</v>
      </c>
      <c r="K208" s="2">
        <v>2</v>
      </c>
      <c r="L208" s="1">
        <v>2</v>
      </c>
      <c r="M208" s="4">
        <v>10353.91</v>
      </c>
    </row>
    <row r="209" spans="1:13" x14ac:dyDescent="0.25">
      <c r="A209">
        <f>RANK(H209,H$13:H$798,0)</f>
        <v>197</v>
      </c>
      <c r="B209" s="2">
        <v>212106</v>
      </c>
      <c r="C209" t="s">
        <v>384</v>
      </c>
      <c r="D209" t="s">
        <v>66</v>
      </c>
      <c r="E209" t="s">
        <v>20</v>
      </c>
      <c r="F209" t="s">
        <v>3</v>
      </c>
      <c r="G209" s="4">
        <v>9003</v>
      </c>
      <c r="H209" s="4">
        <v>488350.76699999999</v>
      </c>
      <c r="I209" s="4">
        <v>392813.99900000001</v>
      </c>
      <c r="J209" s="1">
        <v>24.321120999559891</v>
      </c>
      <c r="K209" s="2">
        <v>2</v>
      </c>
      <c r="L209" s="1">
        <v>4</v>
      </c>
      <c r="M209" s="4">
        <v>54243.12</v>
      </c>
    </row>
    <row r="210" spans="1:13" x14ac:dyDescent="0.25">
      <c r="A210">
        <f>RANK(H210,H$13:H$798,0)</f>
        <v>198</v>
      </c>
      <c r="B210" s="2">
        <v>110644</v>
      </c>
      <c r="C210" t="s">
        <v>385</v>
      </c>
      <c r="D210" t="s">
        <v>386</v>
      </c>
      <c r="E210" t="s">
        <v>12</v>
      </c>
      <c r="F210" t="s">
        <v>75</v>
      </c>
      <c r="G210" s="4">
        <v>37082</v>
      </c>
      <c r="H210" s="4">
        <v>477554.62900000002</v>
      </c>
      <c r="I210" s="4">
        <v>442614.56900000002</v>
      </c>
      <c r="J210" s="1">
        <v>7.894014894028488</v>
      </c>
      <c r="K210" s="2">
        <v>2</v>
      </c>
      <c r="L210" s="1">
        <v>4</v>
      </c>
      <c r="M210" s="4">
        <v>12878.34</v>
      </c>
    </row>
    <row r="211" spans="1:13" x14ac:dyDescent="0.25">
      <c r="A211">
        <f>RANK(H211,H$13:H$798,0)</f>
        <v>199</v>
      </c>
      <c r="B211" s="2">
        <v>178697</v>
      </c>
      <c r="C211" t="s">
        <v>387</v>
      </c>
      <c r="D211" t="s">
        <v>388</v>
      </c>
      <c r="E211" t="s">
        <v>41</v>
      </c>
      <c r="F211" t="s">
        <v>3</v>
      </c>
      <c r="G211" s="4">
        <v>1518</v>
      </c>
      <c r="H211" s="4">
        <v>476624.24099999998</v>
      </c>
      <c r="I211" s="4">
        <v>509082.71899999998</v>
      </c>
      <c r="J211" s="1">
        <v>-6.3758750373139268</v>
      </c>
      <c r="K211" s="2">
        <v>2</v>
      </c>
      <c r="L211" s="1">
        <v>2</v>
      </c>
      <c r="M211" s="4">
        <v>313981.71000000002</v>
      </c>
    </row>
    <row r="212" spans="1:13" x14ac:dyDescent="0.25">
      <c r="A212">
        <f>RANK(H212,H$13:H$798,0)</f>
        <v>200</v>
      </c>
      <c r="B212" s="2">
        <v>196866</v>
      </c>
      <c r="C212" t="s">
        <v>389</v>
      </c>
      <c r="D212" t="s">
        <v>390</v>
      </c>
      <c r="E212" t="s">
        <v>33</v>
      </c>
      <c r="F212" t="s">
        <v>3</v>
      </c>
      <c r="G212" s="4">
        <v>2199</v>
      </c>
      <c r="H212" s="4">
        <v>466371.96399999998</v>
      </c>
      <c r="I212" s="4">
        <v>452304.13199999998</v>
      </c>
      <c r="J212" s="1">
        <v>3.1102594481714783</v>
      </c>
      <c r="K212" s="2">
        <v>2</v>
      </c>
      <c r="L212" s="1">
        <v>2</v>
      </c>
      <c r="M212" s="4">
        <v>212083.66</v>
      </c>
    </row>
    <row r="213" spans="1:13" x14ac:dyDescent="0.25">
      <c r="A213">
        <f>RANK(H213,H$13:H$798,0)</f>
        <v>201</v>
      </c>
      <c r="B213" s="2">
        <v>120883</v>
      </c>
      <c r="C213" t="s">
        <v>391</v>
      </c>
      <c r="D213" t="s">
        <v>392</v>
      </c>
      <c r="E213" t="s">
        <v>12</v>
      </c>
      <c r="F213" t="s">
        <v>3</v>
      </c>
      <c r="G213" s="4">
        <v>5956</v>
      </c>
      <c r="H213" s="4">
        <v>463312.94199999998</v>
      </c>
      <c r="I213" s="4">
        <v>452976.087</v>
      </c>
      <c r="J213" s="1">
        <v>2.2819869076223402</v>
      </c>
      <c r="K213" s="2">
        <v>2</v>
      </c>
      <c r="L213" s="1">
        <v>4</v>
      </c>
      <c r="M213" s="4">
        <v>77789.279999999999</v>
      </c>
    </row>
    <row r="214" spans="1:13" x14ac:dyDescent="0.25">
      <c r="A214">
        <f>RANK(H214,H$13:H$798,0)</f>
        <v>202</v>
      </c>
      <c r="B214" s="2">
        <v>129020</v>
      </c>
      <c r="C214" t="s">
        <v>393</v>
      </c>
      <c r="D214" t="s">
        <v>394</v>
      </c>
      <c r="E214" t="s">
        <v>10</v>
      </c>
      <c r="F214" t="s">
        <v>75</v>
      </c>
      <c r="G214" s="4">
        <v>28922</v>
      </c>
      <c r="H214" s="4">
        <v>462375</v>
      </c>
      <c r="I214" s="4">
        <v>447217</v>
      </c>
      <c r="J214" s="1">
        <v>3.3894060377847888</v>
      </c>
      <c r="K214" s="2">
        <v>2</v>
      </c>
      <c r="L214" s="1">
        <v>4</v>
      </c>
      <c r="M214" s="4">
        <v>15986.96</v>
      </c>
    </row>
    <row r="215" spans="1:13" x14ac:dyDescent="0.25">
      <c r="A215">
        <f>RANK(H215,H$13:H$798,0)</f>
        <v>203</v>
      </c>
      <c r="B215" s="2">
        <v>164580</v>
      </c>
      <c r="C215" t="s">
        <v>395</v>
      </c>
      <c r="D215" t="s">
        <v>396</v>
      </c>
      <c r="E215" t="s">
        <v>2</v>
      </c>
      <c r="F215" t="s">
        <v>3</v>
      </c>
      <c r="G215" s="4">
        <v>2468</v>
      </c>
      <c r="H215" s="4">
        <v>457669.8</v>
      </c>
      <c r="I215" s="4">
        <v>420115.4</v>
      </c>
      <c r="J215" s="1">
        <v>8.9390676942573322</v>
      </c>
      <c r="K215" s="2">
        <v>2</v>
      </c>
      <c r="L215" s="1">
        <v>5</v>
      </c>
      <c r="M215" s="4">
        <v>185441.57</v>
      </c>
    </row>
    <row r="216" spans="1:13" x14ac:dyDescent="0.25">
      <c r="A216">
        <f>RANK(H216,H$13:H$798,0)</f>
        <v>204</v>
      </c>
      <c r="B216" s="2">
        <v>187985</v>
      </c>
      <c r="C216" t="s">
        <v>397</v>
      </c>
      <c r="D216" t="s">
        <v>398</v>
      </c>
      <c r="E216" t="s">
        <v>399</v>
      </c>
      <c r="F216" t="s">
        <v>87</v>
      </c>
      <c r="G216" s="4">
        <v>20244</v>
      </c>
      <c r="H216" s="4">
        <v>457313.10800000001</v>
      </c>
      <c r="I216" s="4">
        <v>452527.17499999999</v>
      </c>
      <c r="J216" s="1">
        <v>1.0576012368759995</v>
      </c>
      <c r="K216" s="2">
        <v>2</v>
      </c>
      <c r="L216" s="1">
        <v>4</v>
      </c>
      <c r="M216" s="4">
        <v>22590.06</v>
      </c>
    </row>
    <row r="217" spans="1:13" x14ac:dyDescent="0.25">
      <c r="A217">
        <f>RANK(H217,H$13:H$798,0)</f>
        <v>205</v>
      </c>
      <c r="B217" s="2">
        <v>212009</v>
      </c>
      <c r="C217" t="s">
        <v>400</v>
      </c>
      <c r="D217" t="s">
        <v>401</v>
      </c>
      <c r="E217" t="s">
        <v>20</v>
      </c>
      <c r="F217" t="s">
        <v>3</v>
      </c>
      <c r="G217" s="4">
        <v>2377</v>
      </c>
      <c r="H217" s="4">
        <v>455442.348</v>
      </c>
      <c r="I217" s="4">
        <v>437527.413</v>
      </c>
      <c r="J217" s="1">
        <v>4.0945857259919842</v>
      </c>
      <c r="K217" s="2">
        <v>2</v>
      </c>
      <c r="L217" s="1">
        <v>2</v>
      </c>
      <c r="M217" s="4">
        <v>191603.85</v>
      </c>
    </row>
    <row r="218" spans="1:13" x14ac:dyDescent="0.25">
      <c r="A218">
        <f>RANK(H218,H$13:H$798,0)</f>
        <v>206</v>
      </c>
      <c r="B218" s="2">
        <v>206084</v>
      </c>
      <c r="C218" t="s">
        <v>402</v>
      </c>
      <c r="D218" t="s">
        <v>403</v>
      </c>
      <c r="E218" t="s">
        <v>63</v>
      </c>
      <c r="F218" t="s">
        <v>75</v>
      </c>
      <c r="G218" s="4">
        <v>16908</v>
      </c>
      <c r="H218" s="4">
        <v>454113.92499999999</v>
      </c>
      <c r="I218" s="4">
        <v>454578.196</v>
      </c>
      <c r="J218" s="1">
        <v>-0.10213226329051821</v>
      </c>
      <c r="K218" s="2">
        <v>2</v>
      </c>
      <c r="L218" s="1">
        <v>4</v>
      </c>
      <c r="M218" s="4">
        <v>26857.93</v>
      </c>
    </row>
    <row r="219" spans="1:13" ht="17.25" x14ac:dyDescent="0.25">
      <c r="A219">
        <f>RANK(H219,H$13:H$798,0)</f>
        <v>207</v>
      </c>
      <c r="B219" s="2">
        <v>222178</v>
      </c>
      <c r="C219" t="s">
        <v>1419</v>
      </c>
      <c r="D219" t="s">
        <v>404</v>
      </c>
      <c r="E219" t="s">
        <v>6</v>
      </c>
      <c r="F219" t="s">
        <v>3</v>
      </c>
      <c r="G219" s="4">
        <v>4717</v>
      </c>
      <c r="H219" s="4">
        <v>451731.25099999999</v>
      </c>
      <c r="I219" s="4">
        <v>427572.15</v>
      </c>
      <c r="J219" s="1">
        <v>5.6502980841946711</v>
      </c>
      <c r="K219" s="2">
        <v>2</v>
      </c>
      <c r="L219" s="1">
        <v>3</v>
      </c>
      <c r="M219" s="4">
        <v>95766.64</v>
      </c>
    </row>
    <row r="220" spans="1:13" x14ac:dyDescent="0.25">
      <c r="A220">
        <f>RANK(H220,H$13:H$798,0)</f>
        <v>208</v>
      </c>
      <c r="B220" s="2">
        <v>120254</v>
      </c>
      <c r="C220" t="s">
        <v>405</v>
      </c>
      <c r="D220" t="s">
        <v>59</v>
      </c>
      <c r="E220" t="s">
        <v>12</v>
      </c>
      <c r="F220" t="s">
        <v>3</v>
      </c>
      <c r="G220" s="4">
        <v>2021</v>
      </c>
      <c r="H220" s="4">
        <v>448094.636</v>
      </c>
      <c r="I220" s="4">
        <v>434234.01899999997</v>
      </c>
      <c r="J220" s="1">
        <v>3.1919693974967052</v>
      </c>
      <c r="K220" s="2">
        <v>2</v>
      </c>
      <c r="L220" s="1">
        <v>2</v>
      </c>
      <c r="M220" s="4">
        <v>221719.27</v>
      </c>
    </row>
    <row r="221" spans="1:13" x14ac:dyDescent="0.25">
      <c r="A221">
        <f>RANK(H221,H$13:H$798,0)</f>
        <v>209</v>
      </c>
      <c r="B221" s="2">
        <v>165334</v>
      </c>
      <c r="C221" t="s">
        <v>406</v>
      </c>
      <c r="D221" t="s">
        <v>288</v>
      </c>
      <c r="E221" t="s">
        <v>2</v>
      </c>
      <c r="F221" t="s">
        <v>3</v>
      </c>
      <c r="G221" s="4">
        <v>3003</v>
      </c>
      <c r="H221" s="4">
        <v>438767.06300000002</v>
      </c>
      <c r="I221" s="4">
        <v>441829.52799999999</v>
      </c>
      <c r="J221" s="1">
        <v>-0.69313271429879797</v>
      </c>
      <c r="K221" s="2">
        <v>2</v>
      </c>
      <c r="L221" s="1">
        <v>4</v>
      </c>
      <c r="M221" s="4">
        <v>146109.57999999999</v>
      </c>
    </row>
    <row r="222" spans="1:13" x14ac:dyDescent="0.25">
      <c r="A222">
        <f>RANK(H222,H$13:H$798,0)</f>
        <v>210</v>
      </c>
      <c r="B222" s="2">
        <v>203535</v>
      </c>
      <c r="C222" t="s">
        <v>407</v>
      </c>
      <c r="D222" t="s">
        <v>408</v>
      </c>
      <c r="E222" t="s">
        <v>63</v>
      </c>
      <c r="F222" t="s">
        <v>3</v>
      </c>
      <c r="G222" s="4">
        <v>1724</v>
      </c>
      <c r="H222" s="4">
        <v>422019.04100000003</v>
      </c>
      <c r="I222" s="4">
        <v>413864.40299999999</v>
      </c>
      <c r="J222" s="1">
        <v>1.9703646752146586</v>
      </c>
      <c r="K222" s="2">
        <v>2</v>
      </c>
      <c r="L222" s="1">
        <v>2</v>
      </c>
      <c r="M222" s="4">
        <v>244790.63</v>
      </c>
    </row>
    <row r="223" spans="1:13" x14ac:dyDescent="0.25">
      <c r="A223">
        <f>RANK(H223,H$13:H$798,0)</f>
        <v>211</v>
      </c>
      <c r="B223" s="2">
        <v>150455</v>
      </c>
      <c r="C223" t="s">
        <v>409</v>
      </c>
      <c r="D223" t="s">
        <v>91</v>
      </c>
      <c r="E223" t="s">
        <v>27</v>
      </c>
      <c r="F223" t="s">
        <v>3</v>
      </c>
      <c r="G223" s="4">
        <v>1104</v>
      </c>
      <c r="H223" s="4">
        <v>418844.92800000001</v>
      </c>
      <c r="I223" s="4">
        <v>429201.77500000002</v>
      </c>
      <c r="J223" s="1">
        <v>-2.4130485014886083</v>
      </c>
      <c r="K223" s="2">
        <v>2</v>
      </c>
      <c r="L223" s="1">
        <v>2</v>
      </c>
      <c r="M223" s="4">
        <v>379388.52</v>
      </c>
    </row>
    <row r="224" spans="1:13" x14ac:dyDescent="0.25">
      <c r="A224">
        <f>RANK(H224,H$13:H$798,0)</f>
        <v>212</v>
      </c>
      <c r="B224" s="2">
        <v>215123</v>
      </c>
      <c r="C224" t="s">
        <v>410</v>
      </c>
      <c r="D224" t="s">
        <v>19</v>
      </c>
      <c r="E224" t="s">
        <v>20</v>
      </c>
      <c r="F224" t="s">
        <v>3</v>
      </c>
      <c r="G224" s="4">
        <v>2700</v>
      </c>
      <c r="H224" s="4">
        <v>417899.04499999998</v>
      </c>
      <c r="I224" s="4">
        <v>406578.23800000001</v>
      </c>
      <c r="J224" s="1">
        <v>2.7844104632083067</v>
      </c>
      <c r="K224" s="2">
        <v>2</v>
      </c>
      <c r="L224" s="1">
        <v>5</v>
      </c>
      <c r="M224" s="4">
        <v>154777.42000000001</v>
      </c>
    </row>
    <row r="225" spans="1:13" ht="17.25" x14ac:dyDescent="0.25">
      <c r="A225">
        <f>RANK(H225,H$13:H$798,0)</f>
        <v>213</v>
      </c>
      <c r="B225" s="2">
        <v>111948</v>
      </c>
      <c r="C225" t="s">
        <v>1420</v>
      </c>
      <c r="D225" t="s">
        <v>411</v>
      </c>
      <c r="E225" t="s">
        <v>12</v>
      </c>
      <c r="F225" t="s">
        <v>3</v>
      </c>
      <c r="G225" s="4">
        <v>9555.4</v>
      </c>
      <c r="H225" s="4">
        <v>417705.06800000003</v>
      </c>
      <c r="I225" s="4">
        <v>392217.46399999998</v>
      </c>
      <c r="J225" s="1">
        <v>6.4983348115269166</v>
      </c>
      <c r="K225" s="2">
        <v>2</v>
      </c>
      <c r="L225" s="1">
        <v>4</v>
      </c>
      <c r="M225" s="4">
        <v>43714.03</v>
      </c>
    </row>
    <row r="226" spans="1:13" x14ac:dyDescent="0.25">
      <c r="A226">
        <f>RANK(H226,H$13:H$798,0)</f>
        <v>214</v>
      </c>
      <c r="B226" s="2">
        <v>221519</v>
      </c>
      <c r="C226" t="s">
        <v>412</v>
      </c>
      <c r="D226" t="s">
        <v>413</v>
      </c>
      <c r="E226" t="s">
        <v>57</v>
      </c>
      <c r="F226" t="s">
        <v>3</v>
      </c>
      <c r="G226" s="4">
        <v>1679.7</v>
      </c>
      <c r="H226" s="4">
        <v>408769.26299999998</v>
      </c>
      <c r="I226" s="4">
        <v>410985.859</v>
      </c>
      <c r="J226" s="1">
        <v>-0.53933631813838623</v>
      </c>
      <c r="K226" s="2">
        <v>2</v>
      </c>
      <c r="L226" s="1">
        <v>2</v>
      </c>
      <c r="M226" s="4">
        <v>243358.49</v>
      </c>
    </row>
    <row r="227" spans="1:13" x14ac:dyDescent="0.25">
      <c r="A227">
        <f>RANK(H227,H$13:H$798,0)</f>
        <v>215</v>
      </c>
      <c r="B227" s="2">
        <v>172699</v>
      </c>
      <c r="C227" t="s">
        <v>414</v>
      </c>
      <c r="D227" t="s">
        <v>415</v>
      </c>
      <c r="E227" t="s">
        <v>24</v>
      </c>
      <c r="F227" t="s">
        <v>7</v>
      </c>
      <c r="G227" s="4">
        <v>19403</v>
      </c>
      <c r="H227" s="4">
        <v>404653.05200000003</v>
      </c>
      <c r="I227" s="4">
        <v>405245.29200000002</v>
      </c>
      <c r="J227" s="1">
        <v>-0.14614358554966028</v>
      </c>
      <c r="K227" s="2">
        <v>2</v>
      </c>
      <c r="L227" s="1">
        <v>4</v>
      </c>
      <c r="M227" s="4">
        <v>20855.18</v>
      </c>
    </row>
    <row r="228" spans="1:13" x14ac:dyDescent="0.25">
      <c r="A228" s="30">
        <f>RANK(H228,H$13:H$798,0)</f>
        <v>216</v>
      </c>
      <c r="B228" s="31" t="s">
        <v>1363</v>
      </c>
      <c r="C228" s="30" t="s">
        <v>416</v>
      </c>
      <c r="D228" s="30" t="s">
        <v>417</v>
      </c>
      <c r="E228" s="30" t="s">
        <v>189</v>
      </c>
      <c r="F228" s="30" t="s">
        <v>1388</v>
      </c>
      <c r="G228" s="37" t="s">
        <v>1363</v>
      </c>
      <c r="H228" s="32">
        <v>403965.04130000004</v>
      </c>
      <c r="I228" s="32">
        <v>372930.97649999999</v>
      </c>
      <c r="J228" s="33">
        <v>8.3216645319351876</v>
      </c>
      <c r="K228" s="24">
        <v>3</v>
      </c>
      <c r="L228" s="33">
        <v>6</v>
      </c>
      <c r="M228" s="37" t="s">
        <v>1363</v>
      </c>
    </row>
    <row r="229" spans="1:13" x14ac:dyDescent="0.25">
      <c r="A229">
        <f>RANK(H229,H$13:H$798,0)</f>
        <v>217</v>
      </c>
      <c r="B229" s="2">
        <v>230728</v>
      </c>
      <c r="C229" t="s">
        <v>418</v>
      </c>
      <c r="D229" t="s">
        <v>419</v>
      </c>
      <c r="E229" t="s">
        <v>201</v>
      </c>
      <c r="F229" t="s">
        <v>7</v>
      </c>
      <c r="G229" s="4">
        <v>22351</v>
      </c>
      <c r="H229" s="4">
        <v>402862.47499999998</v>
      </c>
      <c r="I229" s="4">
        <v>375423.90500000003</v>
      </c>
      <c r="J229" s="1">
        <v>7.3086901591948292</v>
      </c>
      <c r="K229" s="2">
        <v>2</v>
      </c>
      <c r="L229" s="1">
        <v>4</v>
      </c>
      <c r="M229" s="4">
        <v>18024.36</v>
      </c>
    </row>
    <row r="230" spans="1:13" x14ac:dyDescent="0.25">
      <c r="A230">
        <f>RANK(H230,H$13:H$798,0)</f>
        <v>218</v>
      </c>
      <c r="B230" s="2">
        <v>122612</v>
      </c>
      <c r="C230" t="s">
        <v>420</v>
      </c>
      <c r="D230" t="s">
        <v>110</v>
      </c>
      <c r="E230" t="s">
        <v>12</v>
      </c>
      <c r="F230" t="s">
        <v>3</v>
      </c>
      <c r="G230" s="4">
        <v>10327</v>
      </c>
      <c r="H230" s="4">
        <v>399571</v>
      </c>
      <c r="I230" s="4">
        <v>393399.755</v>
      </c>
      <c r="J230" s="1">
        <v>1.57</v>
      </c>
      <c r="K230" s="2">
        <v>2</v>
      </c>
      <c r="L230" s="1">
        <v>4</v>
      </c>
      <c r="M230" s="4">
        <v>38692</v>
      </c>
    </row>
    <row r="231" spans="1:13" x14ac:dyDescent="0.25">
      <c r="A231">
        <f>RANK(H231,H$13:H$798,0)</f>
        <v>219</v>
      </c>
      <c r="B231" s="2">
        <v>193654</v>
      </c>
      <c r="C231" t="s">
        <v>421</v>
      </c>
      <c r="D231" t="s">
        <v>46</v>
      </c>
      <c r="E231" t="s">
        <v>33</v>
      </c>
      <c r="F231" t="s">
        <v>3</v>
      </c>
      <c r="G231" s="4">
        <v>9990</v>
      </c>
      <c r="H231" s="4">
        <v>399257.3</v>
      </c>
      <c r="I231" s="4">
        <v>392132.96799999999</v>
      </c>
      <c r="J231" s="1">
        <v>1.8168153614668774</v>
      </c>
      <c r="K231" s="2">
        <v>2</v>
      </c>
      <c r="L231" s="1">
        <v>4</v>
      </c>
      <c r="M231" s="4">
        <v>39965.699999999997</v>
      </c>
    </row>
    <row r="232" spans="1:13" x14ac:dyDescent="0.25">
      <c r="A232">
        <f>RANK(H232,H$13:H$798,0)</f>
        <v>220</v>
      </c>
      <c r="B232" s="2">
        <v>172644</v>
      </c>
      <c r="C232" t="s">
        <v>422</v>
      </c>
      <c r="D232" t="s">
        <v>423</v>
      </c>
      <c r="E232" t="s">
        <v>24</v>
      </c>
      <c r="F232" t="s">
        <v>7</v>
      </c>
      <c r="G232" s="4">
        <v>21953</v>
      </c>
      <c r="H232" s="4">
        <v>394509.18599999999</v>
      </c>
      <c r="I232" s="4">
        <v>376466.57699999999</v>
      </c>
      <c r="J232" s="1">
        <v>4.7926190802324529</v>
      </c>
      <c r="K232" s="2">
        <v>2</v>
      </c>
      <c r="L232" s="1">
        <v>4</v>
      </c>
      <c r="M232" s="4">
        <v>17970.63</v>
      </c>
    </row>
    <row r="233" spans="1:13" x14ac:dyDescent="0.25">
      <c r="A233">
        <f>RANK(H233,H$13:H$798,0)</f>
        <v>221</v>
      </c>
      <c r="B233" s="2">
        <v>141060</v>
      </c>
      <c r="C233" t="s">
        <v>424</v>
      </c>
      <c r="D233" t="s">
        <v>43</v>
      </c>
      <c r="E233" t="s">
        <v>44</v>
      </c>
      <c r="F233" t="s">
        <v>3</v>
      </c>
      <c r="G233" s="4">
        <v>2171</v>
      </c>
      <c r="H233" s="4">
        <v>390461.99599999998</v>
      </c>
      <c r="I233" s="4">
        <v>389406.80200000003</v>
      </c>
      <c r="J233" s="1">
        <v>0.27097472221349628</v>
      </c>
      <c r="K233" s="2">
        <v>1</v>
      </c>
      <c r="L233" s="1">
        <v>2</v>
      </c>
      <c r="M233" s="4">
        <v>179853.52</v>
      </c>
    </row>
    <row r="234" spans="1:13" x14ac:dyDescent="0.25">
      <c r="A234">
        <f>RANK(H234,H$13:H$798,0)</f>
        <v>222</v>
      </c>
      <c r="B234" s="2">
        <v>195526</v>
      </c>
      <c r="C234" t="s">
        <v>425</v>
      </c>
      <c r="D234" t="s">
        <v>426</v>
      </c>
      <c r="E234" t="s">
        <v>33</v>
      </c>
      <c r="F234" t="s">
        <v>3</v>
      </c>
      <c r="G234" s="4">
        <v>2594</v>
      </c>
      <c r="H234" s="4">
        <v>384279.94300000003</v>
      </c>
      <c r="I234" s="4">
        <v>376010.48300000001</v>
      </c>
      <c r="J234" s="1">
        <v>2.199263151926544</v>
      </c>
      <c r="K234" s="2">
        <v>2</v>
      </c>
      <c r="L234" s="1">
        <v>2</v>
      </c>
      <c r="M234" s="4">
        <v>148141.84</v>
      </c>
    </row>
    <row r="235" spans="1:13" x14ac:dyDescent="0.25">
      <c r="A235">
        <f>RANK(H235,H$13:H$798,0)</f>
        <v>223</v>
      </c>
      <c r="B235" s="3" t="s">
        <v>1363</v>
      </c>
      <c r="C235" t="s">
        <v>427</v>
      </c>
      <c r="D235" t="s">
        <v>428</v>
      </c>
      <c r="E235" t="s">
        <v>150</v>
      </c>
      <c r="F235" t="s">
        <v>87</v>
      </c>
      <c r="G235" s="4">
        <v>15093</v>
      </c>
      <c r="H235" s="4">
        <v>383512</v>
      </c>
      <c r="I235" s="4">
        <v>374210</v>
      </c>
      <c r="J235" s="1">
        <v>2.4857700221800592</v>
      </c>
      <c r="K235" s="2">
        <v>3</v>
      </c>
      <c r="L235" s="1">
        <v>6</v>
      </c>
      <c r="M235" s="4">
        <v>25409.93</v>
      </c>
    </row>
    <row r="236" spans="1:13" x14ac:dyDescent="0.25">
      <c r="A236">
        <f>RANK(H236,H$13:H$798,0)</f>
        <v>224</v>
      </c>
      <c r="B236" s="2">
        <v>236328</v>
      </c>
      <c r="C236" t="s">
        <v>429</v>
      </c>
      <c r="D236" t="s">
        <v>430</v>
      </c>
      <c r="E236" t="s">
        <v>82</v>
      </c>
      <c r="F236" t="s">
        <v>3</v>
      </c>
      <c r="G236" s="4">
        <v>2615</v>
      </c>
      <c r="H236" s="4">
        <v>380507.48935000005</v>
      </c>
      <c r="I236" s="4">
        <v>369038.11443999998</v>
      </c>
      <c r="J236" s="1">
        <v>3.1079106632127611</v>
      </c>
      <c r="K236" s="2">
        <v>2</v>
      </c>
      <c r="L236" s="1">
        <v>2</v>
      </c>
      <c r="M236" s="4">
        <v>145509.56</v>
      </c>
    </row>
    <row r="237" spans="1:13" x14ac:dyDescent="0.25">
      <c r="A237">
        <f>RANK(H237,H$13:H$798,0)</f>
        <v>225</v>
      </c>
      <c r="B237" s="2">
        <v>136950</v>
      </c>
      <c r="C237" t="s">
        <v>431</v>
      </c>
      <c r="D237" t="s">
        <v>432</v>
      </c>
      <c r="E237" t="s">
        <v>127</v>
      </c>
      <c r="F237" t="s">
        <v>3</v>
      </c>
      <c r="G237" s="4">
        <v>3127</v>
      </c>
      <c r="H237" s="4">
        <v>379841</v>
      </c>
      <c r="I237" s="4">
        <v>379418</v>
      </c>
      <c r="J237" s="1">
        <v>0.11148653991112703</v>
      </c>
      <c r="K237" s="2">
        <v>2</v>
      </c>
      <c r="L237" s="1">
        <v>3</v>
      </c>
      <c r="M237" s="4">
        <v>121471.38</v>
      </c>
    </row>
    <row r="238" spans="1:13" ht="17.25" x14ac:dyDescent="0.25">
      <c r="A238">
        <f>RANK(H238,H$13:H$798,0)</f>
        <v>226</v>
      </c>
      <c r="B238" s="2">
        <v>182290</v>
      </c>
      <c r="C238" t="s">
        <v>1421</v>
      </c>
      <c r="D238" t="s">
        <v>433</v>
      </c>
      <c r="E238" t="s">
        <v>434</v>
      </c>
      <c r="F238" t="s">
        <v>7</v>
      </c>
      <c r="G238" s="4">
        <v>18333</v>
      </c>
      <c r="H238" s="4">
        <v>377446.38199999998</v>
      </c>
      <c r="I238" s="4">
        <v>358433.391</v>
      </c>
      <c r="J238" s="1">
        <v>5.3044698059394744</v>
      </c>
      <c r="K238" s="2">
        <v>2</v>
      </c>
      <c r="L238" s="1">
        <v>4</v>
      </c>
      <c r="M238" s="4">
        <v>20588.36</v>
      </c>
    </row>
    <row r="239" spans="1:13" x14ac:dyDescent="0.25">
      <c r="A239">
        <f>RANK(H239,H$13:H$798,0)</f>
        <v>227</v>
      </c>
      <c r="B239" s="3" t="s">
        <v>1363</v>
      </c>
      <c r="C239" t="s">
        <v>435</v>
      </c>
      <c r="D239" t="s">
        <v>129</v>
      </c>
      <c r="E239" t="s">
        <v>130</v>
      </c>
      <c r="F239" t="s">
        <v>1364</v>
      </c>
      <c r="G239" s="5" t="s">
        <v>1363</v>
      </c>
      <c r="H239" s="4">
        <v>377235</v>
      </c>
      <c r="I239" s="4">
        <v>372666</v>
      </c>
      <c r="J239" s="1">
        <v>1.2260308157975237</v>
      </c>
      <c r="K239" s="2">
        <v>3</v>
      </c>
      <c r="L239" s="1">
        <v>6</v>
      </c>
      <c r="M239" s="5" t="s">
        <v>1363</v>
      </c>
    </row>
    <row r="240" spans="1:13" x14ac:dyDescent="0.25">
      <c r="A240">
        <f>RANK(H240,H$13:H$798,0)</f>
        <v>228</v>
      </c>
      <c r="B240" s="2">
        <v>126818</v>
      </c>
      <c r="C240" t="s">
        <v>436</v>
      </c>
      <c r="D240" t="s">
        <v>437</v>
      </c>
      <c r="E240" t="s">
        <v>158</v>
      </c>
      <c r="F240" t="s">
        <v>75</v>
      </c>
      <c r="G240" s="4">
        <v>28226.7</v>
      </c>
      <c r="H240" s="4">
        <v>376063.06800000003</v>
      </c>
      <c r="I240" s="4">
        <v>355923.05099999998</v>
      </c>
      <c r="J240" s="1">
        <v>5.6585312312351617</v>
      </c>
      <c r="K240" s="2">
        <v>2</v>
      </c>
      <c r="L240" s="1">
        <v>4</v>
      </c>
      <c r="M240" s="4">
        <v>13322.96</v>
      </c>
    </row>
    <row r="241" spans="1:13" x14ac:dyDescent="0.25">
      <c r="A241">
        <f>RANK(H241,H$13:H$798,0)</f>
        <v>229</v>
      </c>
      <c r="B241" s="2">
        <v>218335</v>
      </c>
      <c r="C241" t="s">
        <v>438</v>
      </c>
      <c r="D241" t="s">
        <v>439</v>
      </c>
      <c r="E241" t="s">
        <v>285</v>
      </c>
      <c r="F241" t="s">
        <v>75</v>
      </c>
      <c r="G241" s="4">
        <v>2300</v>
      </c>
      <c r="H241" s="4">
        <v>375592.69099999999</v>
      </c>
      <c r="I241" s="4">
        <v>371301.22</v>
      </c>
      <c r="J241" s="1">
        <v>1.1557923240866326</v>
      </c>
      <c r="K241" s="2">
        <v>2</v>
      </c>
      <c r="L241" s="1">
        <v>5</v>
      </c>
      <c r="M241" s="4">
        <v>163301.17000000001</v>
      </c>
    </row>
    <row r="242" spans="1:13" x14ac:dyDescent="0.25">
      <c r="A242">
        <f>RANK(H242,H$13:H$798,0)</f>
        <v>230</v>
      </c>
      <c r="B242" s="2">
        <v>123165</v>
      </c>
      <c r="C242" t="s">
        <v>440</v>
      </c>
      <c r="D242" t="s">
        <v>99</v>
      </c>
      <c r="E242" t="s">
        <v>12</v>
      </c>
      <c r="F242" t="s">
        <v>3</v>
      </c>
      <c r="G242" s="4">
        <v>1066</v>
      </c>
      <c r="H242" s="4">
        <v>375584.84</v>
      </c>
      <c r="I242" s="4">
        <v>362045.5</v>
      </c>
      <c r="J242" s="1">
        <v>3.7396791287283024</v>
      </c>
      <c r="K242" s="2">
        <v>2</v>
      </c>
      <c r="L242" s="1">
        <v>2</v>
      </c>
      <c r="M242" s="4">
        <v>352330.99</v>
      </c>
    </row>
    <row r="243" spans="1:13" x14ac:dyDescent="0.25">
      <c r="A243">
        <f>RANK(H243,H$13:H$798,0)</f>
        <v>231</v>
      </c>
      <c r="B243" s="2">
        <v>129242</v>
      </c>
      <c r="C243" t="s">
        <v>441</v>
      </c>
      <c r="D243" t="s">
        <v>442</v>
      </c>
      <c r="E243" t="s">
        <v>10</v>
      </c>
      <c r="F243" t="s">
        <v>3</v>
      </c>
      <c r="G243" s="4">
        <v>4732</v>
      </c>
      <c r="H243" s="4">
        <v>374895.84</v>
      </c>
      <c r="I243" s="4">
        <v>362647.70199999999</v>
      </c>
      <c r="J243" s="1">
        <v>3.3774205468424654</v>
      </c>
      <c r="K243" s="2">
        <v>2</v>
      </c>
      <c r="L243" s="1">
        <v>3</v>
      </c>
      <c r="M243" s="4">
        <v>79225.66</v>
      </c>
    </row>
    <row r="244" spans="1:13" x14ac:dyDescent="0.25">
      <c r="A244">
        <f>RANK(H244,H$13:H$798,0)</f>
        <v>232</v>
      </c>
      <c r="B244" s="3" t="s">
        <v>1363</v>
      </c>
      <c r="C244" t="s">
        <v>443</v>
      </c>
      <c r="D244" t="s">
        <v>77</v>
      </c>
      <c r="E244" t="s">
        <v>24</v>
      </c>
      <c r="F244" t="s">
        <v>75</v>
      </c>
      <c r="G244" s="5" t="s">
        <v>1363</v>
      </c>
      <c r="H244" s="4">
        <v>371500</v>
      </c>
      <c r="I244" s="4">
        <v>367920.34700000001</v>
      </c>
      <c r="J244" s="1">
        <v>0.97294238527123134</v>
      </c>
      <c r="K244" s="2">
        <v>3</v>
      </c>
      <c r="L244" s="1">
        <v>6</v>
      </c>
      <c r="M244" s="5" t="s">
        <v>1363</v>
      </c>
    </row>
    <row r="245" spans="1:13" x14ac:dyDescent="0.25">
      <c r="A245">
        <f>RANK(H245,H$13:H$798,0)</f>
        <v>233</v>
      </c>
      <c r="B245" s="2">
        <v>103529</v>
      </c>
      <c r="C245" t="s">
        <v>444</v>
      </c>
      <c r="D245" t="s">
        <v>445</v>
      </c>
      <c r="E245" t="s">
        <v>446</v>
      </c>
      <c r="F245" t="s">
        <v>87</v>
      </c>
      <c r="G245" s="4">
        <v>15163</v>
      </c>
      <c r="H245" s="4">
        <v>364002.859</v>
      </c>
      <c r="I245" s="4">
        <v>339136.66399999999</v>
      </c>
      <c r="J245" s="1">
        <v>7.3322048718389254</v>
      </c>
      <c r="K245" s="2">
        <v>3</v>
      </c>
      <c r="L245" s="1">
        <v>6</v>
      </c>
      <c r="M245" s="4">
        <v>24005.99</v>
      </c>
    </row>
    <row r="246" spans="1:13" x14ac:dyDescent="0.25">
      <c r="A246">
        <f>RANK(H246,H$13:H$798,0)</f>
        <v>234</v>
      </c>
      <c r="B246" s="2">
        <v>189097</v>
      </c>
      <c r="C246" t="s">
        <v>447</v>
      </c>
      <c r="D246" t="s">
        <v>46</v>
      </c>
      <c r="E246" t="s">
        <v>33</v>
      </c>
      <c r="F246" t="s">
        <v>3</v>
      </c>
      <c r="G246" s="4">
        <v>2533</v>
      </c>
      <c r="H246" s="4">
        <v>363623</v>
      </c>
      <c r="I246" s="4">
        <v>345097</v>
      </c>
      <c r="J246" s="1">
        <v>5.3683457114956079</v>
      </c>
      <c r="K246" s="2">
        <v>2</v>
      </c>
      <c r="L246" s="1">
        <v>2</v>
      </c>
      <c r="M246" s="4">
        <v>143554.28</v>
      </c>
    </row>
    <row r="247" spans="1:13" x14ac:dyDescent="0.25">
      <c r="A247">
        <f>RANK(H247,H$13:H$798,0)</f>
        <v>235</v>
      </c>
      <c r="B247" s="2">
        <v>164748</v>
      </c>
      <c r="C247" t="s">
        <v>448</v>
      </c>
      <c r="D247" t="s">
        <v>1</v>
      </c>
      <c r="E247" t="s">
        <v>2</v>
      </c>
      <c r="F247" t="s">
        <v>3</v>
      </c>
      <c r="G247" s="4">
        <v>4238</v>
      </c>
      <c r="H247" s="4">
        <v>363026.37599999999</v>
      </c>
      <c r="I247" s="4">
        <v>363672.80800000002</v>
      </c>
      <c r="J247" s="1">
        <v>-0.17775098544074536</v>
      </c>
      <c r="K247" s="2">
        <v>2</v>
      </c>
      <c r="L247" s="1">
        <v>5</v>
      </c>
      <c r="M247" s="4">
        <v>85659.83</v>
      </c>
    </row>
    <row r="248" spans="1:13" x14ac:dyDescent="0.25">
      <c r="A248">
        <f>RANK(H248,H$13:H$798,0)</f>
        <v>236</v>
      </c>
      <c r="B248" s="2">
        <v>239017</v>
      </c>
      <c r="C248" t="s">
        <v>449</v>
      </c>
      <c r="D248" t="s">
        <v>450</v>
      </c>
      <c r="E248" t="s">
        <v>74</v>
      </c>
      <c r="F248" t="s">
        <v>3</v>
      </c>
      <c r="G248" s="4">
        <v>1434.33</v>
      </c>
      <c r="H248" s="4">
        <v>356957.65399999998</v>
      </c>
      <c r="I248" s="4">
        <v>339831.16200000001</v>
      </c>
      <c r="J248" s="1">
        <v>5.0397061585541021</v>
      </c>
      <c r="K248" s="2">
        <v>2</v>
      </c>
      <c r="L248" s="1">
        <v>2</v>
      </c>
      <c r="M248" s="4">
        <v>248867.17</v>
      </c>
    </row>
    <row r="249" spans="1:13" x14ac:dyDescent="0.25">
      <c r="A249">
        <f>RANK(H249,H$13:H$798,0)</f>
        <v>237</v>
      </c>
      <c r="B249" s="2">
        <v>212577</v>
      </c>
      <c r="C249" t="s">
        <v>451</v>
      </c>
      <c r="D249" t="s">
        <v>452</v>
      </c>
      <c r="E249" t="s">
        <v>20</v>
      </c>
      <c r="F249" t="s">
        <v>3</v>
      </c>
      <c r="G249" s="4">
        <v>2297</v>
      </c>
      <c r="H249" s="4">
        <v>354783</v>
      </c>
      <c r="I249" s="4">
        <v>352131</v>
      </c>
      <c r="J249" s="1">
        <v>0.75312880717687447</v>
      </c>
      <c r="K249" s="2">
        <v>2</v>
      </c>
      <c r="L249" s="1">
        <v>2</v>
      </c>
      <c r="M249" s="4">
        <v>154454.94</v>
      </c>
    </row>
    <row r="250" spans="1:13" x14ac:dyDescent="0.25">
      <c r="A250" s="30">
        <f>RANK(H250,H$13:H$798,0)</f>
        <v>238</v>
      </c>
      <c r="B250" s="31" t="s">
        <v>1363</v>
      </c>
      <c r="C250" s="30" t="s">
        <v>453</v>
      </c>
      <c r="D250" s="30" t="s">
        <v>454</v>
      </c>
      <c r="E250" s="30" t="s">
        <v>189</v>
      </c>
      <c r="F250" s="30" t="s">
        <v>1388</v>
      </c>
      <c r="G250" s="32">
        <v>22134</v>
      </c>
      <c r="H250" s="32">
        <v>354053.37599999999</v>
      </c>
      <c r="I250" s="32">
        <v>339264.22820000001</v>
      </c>
      <c r="J250" s="33">
        <v>4.3591827757571933</v>
      </c>
      <c r="K250" s="24">
        <v>3</v>
      </c>
      <c r="L250" s="33">
        <v>6</v>
      </c>
      <c r="M250" s="32">
        <v>15995.91</v>
      </c>
    </row>
    <row r="251" spans="1:13" x14ac:dyDescent="0.25">
      <c r="A251">
        <f>RANK(H251,H$13:H$798,0)</f>
        <v>239</v>
      </c>
      <c r="B251" s="2">
        <v>122409</v>
      </c>
      <c r="C251" t="s">
        <v>455</v>
      </c>
      <c r="D251" t="s">
        <v>352</v>
      </c>
      <c r="E251" t="s">
        <v>12</v>
      </c>
      <c r="F251" t="s">
        <v>7</v>
      </c>
      <c r="G251" s="4">
        <v>35303</v>
      </c>
      <c r="H251" s="4">
        <v>353333.853</v>
      </c>
      <c r="I251" s="4">
        <v>337907.62599999999</v>
      </c>
      <c r="J251" s="1">
        <v>4.5652201409624338</v>
      </c>
      <c r="K251" s="2">
        <v>2</v>
      </c>
      <c r="L251" s="1">
        <v>4</v>
      </c>
      <c r="M251" s="4">
        <v>10008.61</v>
      </c>
    </row>
    <row r="252" spans="1:13" x14ac:dyDescent="0.25">
      <c r="A252">
        <f>RANK(H252,H$13:H$798,0)</f>
        <v>240</v>
      </c>
      <c r="B252" s="2">
        <v>221351</v>
      </c>
      <c r="C252" t="s">
        <v>456</v>
      </c>
      <c r="D252" t="s">
        <v>457</v>
      </c>
      <c r="E252" t="s">
        <v>57</v>
      </c>
      <c r="F252" t="s">
        <v>3</v>
      </c>
      <c r="G252" s="4">
        <v>1997</v>
      </c>
      <c r="H252" s="4">
        <v>352206.26699999999</v>
      </c>
      <c r="I252" s="4">
        <v>359278.853</v>
      </c>
      <c r="J252" s="1">
        <v>-1.9685505954340179</v>
      </c>
      <c r="K252" s="2">
        <v>2</v>
      </c>
      <c r="L252" s="1">
        <v>2</v>
      </c>
      <c r="M252" s="4">
        <v>176367.69</v>
      </c>
    </row>
    <row r="253" spans="1:13" x14ac:dyDescent="0.25">
      <c r="A253">
        <f>RANK(H253,H$13:H$798,0)</f>
        <v>241</v>
      </c>
      <c r="B253" s="2">
        <v>217493</v>
      </c>
      <c r="C253" t="s">
        <v>458</v>
      </c>
      <c r="D253" t="s">
        <v>68</v>
      </c>
      <c r="E253" t="s">
        <v>69</v>
      </c>
      <c r="F253" t="s">
        <v>3</v>
      </c>
      <c r="G253" s="4">
        <v>2468</v>
      </c>
      <c r="H253" s="4">
        <v>349660.40899999999</v>
      </c>
      <c r="I253" s="4">
        <v>349751.33100000001</v>
      </c>
      <c r="J253" s="1">
        <v>-2.5996184128894852E-2</v>
      </c>
      <c r="K253" s="2">
        <v>2</v>
      </c>
      <c r="L253" s="1">
        <v>5</v>
      </c>
      <c r="M253" s="4">
        <v>141677.64000000001</v>
      </c>
    </row>
    <row r="254" spans="1:13" x14ac:dyDescent="0.25">
      <c r="A254">
        <f>RANK(H254,H$13:H$798,0)</f>
        <v>242</v>
      </c>
      <c r="B254" s="2">
        <v>191968</v>
      </c>
      <c r="C254" t="s">
        <v>459</v>
      </c>
      <c r="D254" t="s">
        <v>460</v>
      </c>
      <c r="E254" t="s">
        <v>33</v>
      </c>
      <c r="F254" t="s">
        <v>3</v>
      </c>
      <c r="G254" s="4">
        <v>6402.3</v>
      </c>
      <c r="H254" s="4">
        <v>347334.88699999999</v>
      </c>
      <c r="I254" s="4">
        <v>316025.34600000002</v>
      </c>
      <c r="J254" s="1">
        <v>9.9072879426576019</v>
      </c>
      <c r="K254" s="2">
        <v>2</v>
      </c>
      <c r="L254" s="1">
        <v>3</v>
      </c>
      <c r="M254" s="4">
        <v>54251.58</v>
      </c>
    </row>
    <row r="255" spans="1:13" x14ac:dyDescent="0.25">
      <c r="A255">
        <f>RANK(H255,H$13:H$798,0)</f>
        <v>243</v>
      </c>
      <c r="B255" s="2">
        <v>196468</v>
      </c>
      <c r="C255" t="s">
        <v>461</v>
      </c>
      <c r="D255" t="s">
        <v>46</v>
      </c>
      <c r="E255" t="s">
        <v>33</v>
      </c>
      <c r="F255" t="s">
        <v>3</v>
      </c>
      <c r="G255" s="4">
        <v>2839</v>
      </c>
      <c r="H255" s="4">
        <v>345191.14600000001</v>
      </c>
      <c r="I255" s="4">
        <v>315908.33399999997</v>
      </c>
      <c r="J255" s="1">
        <v>9.2694015473488705</v>
      </c>
      <c r="K255" s="2">
        <v>2</v>
      </c>
      <c r="L255" s="1">
        <v>4</v>
      </c>
      <c r="M255" s="4">
        <v>121588.99</v>
      </c>
    </row>
    <row r="256" spans="1:13" x14ac:dyDescent="0.25">
      <c r="A256">
        <f>RANK(H256,H$13:H$798,0)</f>
        <v>244</v>
      </c>
      <c r="B256" s="2">
        <v>152673</v>
      </c>
      <c r="C256" t="s">
        <v>462</v>
      </c>
      <c r="D256" t="s">
        <v>463</v>
      </c>
      <c r="E256" t="s">
        <v>27</v>
      </c>
      <c r="F256" t="s">
        <v>3</v>
      </c>
      <c r="G256" s="4">
        <v>882</v>
      </c>
      <c r="H256" s="4">
        <v>344252.28629000002</v>
      </c>
      <c r="I256" s="4">
        <v>349669.66860000003</v>
      </c>
      <c r="J256" s="1">
        <v>-1.5492857392206809</v>
      </c>
      <c r="K256" s="2">
        <v>2</v>
      </c>
      <c r="L256" s="1">
        <v>2</v>
      </c>
      <c r="M256" s="4">
        <v>390308.71</v>
      </c>
    </row>
    <row r="257" spans="1:13" x14ac:dyDescent="0.25">
      <c r="A257">
        <f>RANK(H257,H$13:H$798,0)</f>
        <v>245</v>
      </c>
      <c r="B257" s="2">
        <v>196097</v>
      </c>
      <c r="C257" t="s">
        <v>464</v>
      </c>
      <c r="D257" t="s">
        <v>465</v>
      </c>
      <c r="E257" t="s">
        <v>33</v>
      </c>
      <c r="F257" t="s">
        <v>75</v>
      </c>
      <c r="G257" s="4">
        <v>23399</v>
      </c>
      <c r="H257" s="4">
        <v>341877.652</v>
      </c>
      <c r="I257" s="4">
        <v>305017.337</v>
      </c>
      <c r="J257" s="1">
        <v>12.084662256427739</v>
      </c>
      <c r="K257" s="2">
        <v>2</v>
      </c>
      <c r="L257" s="1">
        <v>4</v>
      </c>
      <c r="M257" s="4">
        <v>14610.78</v>
      </c>
    </row>
    <row r="258" spans="1:13" ht="17.25" x14ac:dyDescent="0.25">
      <c r="A258">
        <f>RANK(H258,H$13:H$798,0)</f>
        <v>246</v>
      </c>
      <c r="B258" s="3" t="s">
        <v>1363</v>
      </c>
      <c r="C258" t="s">
        <v>494</v>
      </c>
      <c r="D258" t="s">
        <v>495</v>
      </c>
      <c r="E258" t="s">
        <v>33</v>
      </c>
      <c r="F258" t="s">
        <v>87</v>
      </c>
      <c r="G258" s="5" t="s">
        <v>1363</v>
      </c>
      <c r="H258" s="4">
        <v>335439</v>
      </c>
      <c r="I258" s="4">
        <v>311012</v>
      </c>
      <c r="J258" s="1">
        <v>7.85</v>
      </c>
      <c r="K258" s="2">
        <v>3</v>
      </c>
      <c r="L258" s="1">
        <v>6</v>
      </c>
      <c r="M258" s="5" t="s">
        <v>1363</v>
      </c>
    </row>
    <row r="259" spans="1:13" x14ac:dyDescent="0.25">
      <c r="A259">
        <f>RANK(H259,H$13:H$798,0)</f>
        <v>247</v>
      </c>
      <c r="B259" s="2">
        <v>212674</v>
      </c>
      <c r="C259" t="s">
        <v>466</v>
      </c>
      <c r="D259" t="s">
        <v>467</v>
      </c>
      <c r="E259" t="s">
        <v>20</v>
      </c>
      <c r="F259" t="s">
        <v>3</v>
      </c>
      <c r="G259" s="4">
        <v>2650</v>
      </c>
      <c r="H259" s="4">
        <v>330713.89600000001</v>
      </c>
      <c r="I259" s="4">
        <v>324007.08799999999</v>
      </c>
      <c r="J259" s="1">
        <v>2.0699571856279948</v>
      </c>
      <c r="K259" s="2">
        <v>2</v>
      </c>
      <c r="L259" s="1">
        <v>2</v>
      </c>
      <c r="M259" s="4">
        <v>124797.7</v>
      </c>
    </row>
    <row r="260" spans="1:13" x14ac:dyDescent="0.25">
      <c r="A260">
        <f>RANK(H260,H$13:H$798,0)</f>
        <v>248</v>
      </c>
      <c r="B260" s="2">
        <v>160977</v>
      </c>
      <c r="C260" t="s">
        <v>468</v>
      </c>
      <c r="D260" t="s">
        <v>469</v>
      </c>
      <c r="E260" t="s">
        <v>137</v>
      </c>
      <c r="F260" t="s">
        <v>3</v>
      </c>
      <c r="G260" s="4">
        <v>1832</v>
      </c>
      <c r="H260" s="4">
        <v>329722.788</v>
      </c>
      <c r="I260" s="4">
        <v>315579.00199999998</v>
      </c>
      <c r="J260" s="1">
        <v>4.4818526931015592</v>
      </c>
      <c r="K260" s="2">
        <v>2</v>
      </c>
      <c r="L260" s="1">
        <v>2</v>
      </c>
      <c r="M260" s="4">
        <v>179979.69</v>
      </c>
    </row>
    <row r="261" spans="1:13" x14ac:dyDescent="0.25">
      <c r="A261">
        <f>RANK(H261,H$13:H$798,0)</f>
        <v>249</v>
      </c>
      <c r="B261" s="2">
        <v>156408</v>
      </c>
      <c r="C261" t="s">
        <v>470</v>
      </c>
      <c r="D261" t="s">
        <v>471</v>
      </c>
      <c r="E261" t="s">
        <v>170</v>
      </c>
      <c r="F261" t="s">
        <v>3</v>
      </c>
      <c r="G261" s="4">
        <v>1410</v>
      </c>
      <c r="H261" s="4">
        <v>329269.74699999997</v>
      </c>
      <c r="I261" s="4">
        <v>322550.23300000001</v>
      </c>
      <c r="J261" s="1">
        <v>2.0832457436172325</v>
      </c>
      <c r="K261" s="2">
        <v>2</v>
      </c>
      <c r="L261" s="1">
        <v>2</v>
      </c>
      <c r="M261" s="4">
        <v>233524.64</v>
      </c>
    </row>
    <row r="262" spans="1:13" x14ac:dyDescent="0.25">
      <c r="A262">
        <f>RANK(H262,H$13:H$798,0)</f>
        <v>250</v>
      </c>
      <c r="B262" s="2">
        <v>206589</v>
      </c>
      <c r="C262" t="s">
        <v>472</v>
      </c>
      <c r="D262" t="s">
        <v>473</v>
      </c>
      <c r="E262" t="s">
        <v>63</v>
      </c>
      <c r="F262" t="s">
        <v>3</v>
      </c>
      <c r="G262" s="4">
        <v>2001</v>
      </c>
      <c r="H262" s="4">
        <v>328921.12300000002</v>
      </c>
      <c r="I262" s="4">
        <v>320178.08</v>
      </c>
      <c r="J262" s="1">
        <v>2.7306813133491228</v>
      </c>
      <c r="K262" s="2">
        <v>2</v>
      </c>
      <c r="L262" s="1">
        <v>2</v>
      </c>
      <c r="M262" s="4">
        <v>164378.37</v>
      </c>
    </row>
    <row r="263" spans="1:13" x14ac:dyDescent="0.25">
      <c r="A263">
        <f>RANK(H263,H$13:H$798,0)</f>
        <v>251</v>
      </c>
      <c r="B263" s="2">
        <v>115409</v>
      </c>
      <c r="C263" t="s">
        <v>474</v>
      </c>
      <c r="D263" t="s">
        <v>99</v>
      </c>
      <c r="E263" t="s">
        <v>12</v>
      </c>
      <c r="F263" t="s">
        <v>3</v>
      </c>
      <c r="G263" s="4">
        <v>892</v>
      </c>
      <c r="H263" s="4">
        <v>328568</v>
      </c>
      <c r="I263" s="4">
        <v>316815</v>
      </c>
      <c r="J263" s="1">
        <v>3.7097359657844482</v>
      </c>
      <c r="K263" s="2">
        <v>2</v>
      </c>
      <c r="L263" s="1">
        <v>2</v>
      </c>
      <c r="M263" s="4">
        <v>368349.78</v>
      </c>
    </row>
    <row r="264" spans="1:13" x14ac:dyDescent="0.25">
      <c r="A264">
        <f>RANK(H264,H$13:H$798,0)</f>
        <v>252</v>
      </c>
      <c r="B264" s="2">
        <v>141963</v>
      </c>
      <c r="C264" t="s">
        <v>475</v>
      </c>
      <c r="D264" t="s">
        <v>476</v>
      </c>
      <c r="E264" t="s">
        <v>477</v>
      </c>
      <c r="F264" t="s">
        <v>75</v>
      </c>
      <c r="G264" s="4">
        <v>26935</v>
      </c>
      <c r="H264" s="4">
        <v>326993.43699999998</v>
      </c>
      <c r="I264" s="4">
        <v>321039.89199999999</v>
      </c>
      <c r="J264" s="1">
        <v>1.8544564549006215</v>
      </c>
      <c r="K264" s="2">
        <v>3</v>
      </c>
      <c r="L264" s="1">
        <v>6</v>
      </c>
      <c r="M264" s="4">
        <v>12140.09</v>
      </c>
    </row>
    <row r="265" spans="1:13" x14ac:dyDescent="0.25">
      <c r="A265">
        <f>RANK(H265,H$13:H$798,0)</f>
        <v>253</v>
      </c>
      <c r="B265" s="2">
        <v>168847</v>
      </c>
      <c r="C265" t="s">
        <v>478</v>
      </c>
      <c r="D265" t="s">
        <v>479</v>
      </c>
      <c r="E265" t="s">
        <v>24</v>
      </c>
      <c r="F265" t="s">
        <v>3</v>
      </c>
      <c r="G265" s="4">
        <v>7250</v>
      </c>
      <c r="H265" s="4">
        <v>325521.886</v>
      </c>
      <c r="I265" s="4">
        <v>319588.31099999999</v>
      </c>
      <c r="J265" s="1">
        <v>1.8566307952358159</v>
      </c>
      <c r="K265" s="2">
        <v>2</v>
      </c>
      <c r="L265" s="1">
        <v>3</v>
      </c>
      <c r="M265" s="4">
        <v>44899.57</v>
      </c>
    </row>
    <row r="266" spans="1:13" x14ac:dyDescent="0.25">
      <c r="A266">
        <f>RANK(H266,H$13:H$798,0)</f>
        <v>254</v>
      </c>
      <c r="B266" s="2">
        <v>143358</v>
      </c>
      <c r="C266" t="s">
        <v>480</v>
      </c>
      <c r="D266" t="s">
        <v>481</v>
      </c>
      <c r="E266" t="s">
        <v>30</v>
      </c>
      <c r="F266" t="s">
        <v>3</v>
      </c>
      <c r="G266" s="4">
        <v>5187</v>
      </c>
      <c r="H266" s="4">
        <v>320312.51400000002</v>
      </c>
      <c r="I266" s="4">
        <v>310837.35200000001</v>
      </c>
      <c r="J266" s="1">
        <v>3.0482700804889147</v>
      </c>
      <c r="K266" s="2">
        <v>2</v>
      </c>
      <c r="L266" s="1">
        <v>3</v>
      </c>
      <c r="M266" s="4">
        <v>61752.94</v>
      </c>
    </row>
    <row r="267" spans="1:13" x14ac:dyDescent="0.25">
      <c r="A267">
        <f>RANK(H267,H$13:H$798,0)</f>
        <v>255</v>
      </c>
      <c r="B267" s="2">
        <v>195216</v>
      </c>
      <c r="C267" t="s">
        <v>482</v>
      </c>
      <c r="D267" t="s">
        <v>483</v>
      </c>
      <c r="E267" t="s">
        <v>33</v>
      </c>
      <c r="F267" t="s">
        <v>3</v>
      </c>
      <c r="G267" s="4">
        <v>2479</v>
      </c>
      <c r="H267" s="4">
        <v>315660.57900000003</v>
      </c>
      <c r="I267" s="4">
        <v>305688.51899999997</v>
      </c>
      <c r="J267" s="1">
        <v>3.2621637320962185</v>
      </c>
      <c r="K267" s="2">
        <v>2</v>
      </c>
      <c r="L267" s="1">
        <v>2</v>
      </c>
      <c r="M267" s="4">
        <v>127333.84</v>
      </c>
    </row>
    <row r="268" spans="1:13" x14ac:dyDescent="0.25">
      <c r="A268">
        <f>RANK(H268,H$13:H$798,0)</f>
        <v>256</v>
      </c>
      <c r="B268" s="2">
        <v>217864</v>
      </c>
      <c r="C268" t="s">
        <v>484</v>
      </c>
      <c r="D268" t="s">
        <v>439</v>
      </c>
      <c r="E268" t="s">
        <v>285</v>
      </c>
      <c r="F268" t="s">
        <v>87</v>
      </c>
      <c r="G268" s="4">
        <v>3784</v>
      </c>
      <c r="H268" s="4">
        <v>314435.34600000002</v>
      </c>
      <c r="I268" s="4">
        <v>309193.70400000003</v>
      </c>
      <c r="J268" s="1">
        <v>1.6952615568135865</v>
      </c>
      <c r="K268" s="2">
        <v>2</v>
      </c>
      <c r="L268" s="1">
        <v>3</v>
      </c>
      <c r="M268" s="4">
        <v>83096.02</v>
      </c>
    </row>
    <row r="269" spans="1:13" x14ac:dyDescent="0.25">
      <c r="A269">
        <f>RANK(H269,H$13:H$798,0)</f>
        <v>257</v>
      </c>
      <c r="B269" s="2">
        <v>128902</v>
      </c>
      <c r="C269" t="s">
        <v>485</v>
      </c>
      <c r="D269" t="s">
        <v>486</v>
      </c>
      <c r="E269" t="s">
        <v>10</v>
      </c>
      <c r="F269" t="s">
        <v>3</v>
      </c>
      <c r="G269" s="4">
        <v>1813.3</v>
      </c>
      <c r="H269" s="4">
        <v>313510</v>
      </c>
      <c r="I269" s="4">
        <v>305663</v>
      </c>
      <c r="J269" s="1">
        <v>2.5672063677972146</v>
      </c>
      <c r="K269" s="2">
        <v>2</v>
      </c>
      <c r="L269" s="1">
        <v>2</v>
      </c>
      <c r="M269" s="4">
        <v>172894.72</v>
      </c>
    </row>
    <row r="270" spans="1:13" x14ac:dyDescent="0.25">
      <c r="A270">
        <f>RANK(H270,H$13:H$798,0)</f>
        <v>258</v>
      </c>
      <c r="B270" s="2">
        <v>199148</v>
      </c>
      <c r="C270" t="s">
        <v>487</v>
      </c>
      <c r="D270" t="s">
        <v>488</v>
      </c>
      <c r="E270" t="s">
        <v>36</v>
      </c>
      <c r="F270" t="s">
        <v>87</v>
      </c>
      <c r="G270" s="4">
        <v>16036.25</v>
      </c>
      <c r="H270" s="4">
        <v>307581.14899999998</v>
      </c>
      <c r="I270" s="4">
        <v>293162.05300000001</v>
      </c>
      <c r="J270" s="1">
        <v>4.9184728556938984</v>
      </c>
      <c r="K270" s="2">
        <v>2</v>
      </c>
      <c r="L270" s="1">
        <v>4</v>
      </c>
      <c r="M270" s="4">
        <v>19180.37</v>
      </c>
    </row>
    <row r="271" spans="1:13" x14ac:dyDescent="0.25">
      <c r="A271">
        <f>RANK(H271,H$13:H$798,0)</f>
        <v>259</v>
      </c>
      <c r="B271" s="2">
        <v>228343</v>
      </c>
      <c r="C271" t="s">
        <v>489</v>
      </c>
      <c r="D271" t="s">
        <v>490</v>
      </c>
      <c r="E271" t="s">
        <v>6</v>
      </c>
      <c r="F271" t="s">
        <v>3</v>
      </c>
      <c r="G271" s="4">
        <v>1425</v>
      </c>
      <c r="H271" s="4">
        <v>296412.69900000002</v>
      </c>
      <c r="I271" s="4">
        <v>281475.886</v>
      </c>
      <c r="J271" s="1">
        <v>5.3066048435850819</v>
      </c>
      <c r="K271" s="2">
        <v>2</v>
      </c>
      <c r="L271" s="1">
        <v>2</v>
      </c>
      <c r="M271" s="4">
        <v>208008.91</v>
      </c>
    </row>
    <row r="272" spans="1:13" x14ac:dyDescent="0.25">
      <c r="A272">
        <f>RANK(H272,H$13:H$798,0)</f>
        <v>260</v>
      </c>
      <c r="B272" s="2">
        <v>235316</v>
      </c>
      <c r="C272" t="s">
        <v>491</v>
      </c>
      <c r="D272" t="s">
        <v>492</v>
      </c>
      <c r="E272" t="s">
        <v>82</v>
      </c>
      <c r="F272" t="s">
        <v>3</v>
      </c>
      <c r="G272" s="4">
        <v>7346</v>
      </c>
      <c r="H272" s="4">
        <v>294720.41399999999</v>
      </c>
      <c r="I272" s="4">
        <v>275957.95699999999</v>
      </c>
      <c r="J272" s="1">
        <v>6.7990273605337634</v>
      </c>
      <c r="K272" s="2">
        <v>2</v>
      </c>
      <c r="L272" s="1">
        <v>4</v>
      </c>
      <c r="M272" s="4">
        <v>40119.85</v>
      </c>
    </row>
    <row r="273" spans="1:13" x14ac:dyDescent="0.25">
      <c r="A273">
        <f>RANK(H273,H$13:H$798,0)</f>
        <v>261</v>
      </c>
      <c r="B273" s="2">
        <v>215770</v>
      </c>
      <c r="C273" t="s">
        <v>493</v>
      </c>
      <c r="D273" t="s">
        <v>19</v>
      </c>
      <c r="E273" t="s">
        <v>20</v>
      </c>
      <c r="F273" t="s">
        <v>3</v>
      </c>
      <c r="G273" s="4">
        <v>5711.7</v>
      </c>
      <c r="H273" s="4">
        <v>294286.96899999998</v>
      </c>
      <c r="I273" s="4">
        <v>280330.98800000001</v>
      </c>
      <c r="J273" s="1">
        <v>4.9783939690605914</v>
      </c>
      <c r="K273" s="2">
        <v>2</v>
      </c>
      <c r="L273" s="1">
        <v>3</v>
      </c>
      <c r="M273" s="4">
        <v>51523.53</v>
      </c>
    </row>
    <row r="274" spans="1:13" x14ac:dyDescent="0.25">
      <c r="A274">
        <f>RANK(H274,H$13:H$798,0)</f>
        <v>262</v>
      </c>
      <c r="B274" s="2">
        <v>182281</v>
      </c>
      <c r="C274" t="s">
        <v>496</v>
      </c>
      <c r="D274" t="s">
        <v>497</v>
      </c>
      <c r="E274" t="s">
        <v>434</v>
      </c>
      <c r="F274" t="s">
        <v>75</v>
      </c>
      <c r="G274" s="4">
        <v>22485</v>
      </c>
      <c r="H274" s="4">
        <v>292336.005</v>
      </c>
      <c r="I274" s="4">
        <v>278576.337</v>
      </c>
      <c r="J274" s="1">
        <v>4.939280969869313</v>
      </c>
      <c r="K274" s="2">
        <v>2</v>
      </c>
      <c r="L274" s="1">
        <v>4</v>
      </c>
      <c r="M274" s="4">
        <v>13001.38</v>
      </c>
    </row>
    <row r="275" spans="1:13" x14ac:dyDescent="0.25">
      <c r="A275">
        <f>RANK(H275,H$13:H$798,0)</f>
        <v>263</v>
      </c>
      <c r="B275" s="2">
        <v>142285</v>
      </c>
      <c r="C275" t="s">
        <v>498</v>
      </c>
      <c r="D275" t="s">
        <v>499</v>
      </c>
      <c r="E275" t="s">
        <v>500</v>
      </c>
      <c r="F275" t="s">
        <v>7</v>
      </c>
      <c r="G275" s="4">
        <v>9620</v>
      </c>
      <c r="H275" s="4">
        <v>291868.17099999997</v>
      </c>
      <c r="I275" s="4">
        <v>280996.81599999999</v>
      </c>
      <c r="J275" s="1">
        <v>3.8688534463678694</v>
      </c>
      <c r="K275" s="2">
        <v>2</v>
      </c>
      <c r="L275" s="1">
        <v>4</v>
      </c>
      <c r="M275" s="4">
        <v>30339.73</v>
      </c>
    </row>
    <row r="276" spans="1:13" x14ac:dyDescent="0.25">
      <c r="A276">
        <f>RANK(H276,H$13:H$798,0)</f>
        <v>264</v>
      </c>
      <c r="B276" s="2">
        <v>126775</v>
      </c>
      <c r="C276" t="s">
        <v>501</v>
      </c>
      <c r="D276" t="s">
        <v>502</v>
      </c>
      <c r="E276" t="s">
        <v>158</v>
      </c>
      <c r="F276" t="s">
        <v>75</v>
      </c>
      <c r="G276" s="4">
        <v>6085</v>
      </c>
      <c r="H276" s="4">
        <v>289011</v>
      </c>
      <c r="I276" s="4">
        <v>296420</v>
      </c>
      <c r="J276" s="1">
        <v>-2.4994939612711691</v>
      </c>
      <c r="K276" s="2">
        <v>2</v>
      </c>
      <c r="L276" s="1">
        <v>4</v>
      </c>
      <c r="M276" s="4">
        <v>47495.65</v>
      </c>
    </row>
    <row r="277" spans="1:13" x14ac:dyDescent="0.25">
      <c r="A277">
        <f>RANK(H277,H$13:H$798,0)</f>
        <v>265</v>
      </c>
      <c r="B277" s="2">
        <v>214175</v>
      </c>
      <c r="C277" t="s">
        <v>503</v>
      </c>
      <c r="D277" t="s">
        <v>504</v>
      </c>
      <c r="E277" t="s">
        <v>20</v>
      </c>
      <c r="F277" t="s">
        <v>3</v>
      </c>
      <c r="G277" s="4">
        <v>2200</v>
      </c>
      <c r="H277" s="4">
        <v>288973.79100000003</v>
      </c>
      <c r="I277" s="4">
        <v>285926.69099999999</v>
      </c>
      <c r="J277" s="1">
        <v>1.0656927442985848</v>
      </c>
      <c r="K277" s="2">
        <v>2</v>
      </c>
      <c r="L277" s="1">
        <v>2</v>
      </c>
      <c r="M277" s="4">
        <v>131351.72</v>
      </c>
    </row>
    <row r="278" spans="1:13" x14ac:dyDescent="0.25">
      <c r="A278">
        <f>RANK(H278,H$13:H$798,0)</f>
        <v>266</v>
      </c>
      <c r="B278" s="2">
        <v>200280</v>
      </c>
      <c r="C278" t="s">
        <v>505</v>
      </c>
      <c r="D278" t="s">
        <v>506</v>
      </c>
      <c r="E278" t="s">
        <v>507</v>
      </c>
      <c r="F278" t="s">
        <v>75</v>
      </c>
      <c r="G278" s="4">
        <v>15000</v>
      </c>
      <c r="H278" s="4">
        <v>284804.391</v>
      </c>
      <c r="I278" s="4">
        <v>278582.72899999999</v>
      </c>
      <c r="J278" s="1">
        <v>2.2333265318827471</v>
      </c>
      <c r="K278" s="2">
        <v>2</v>
      </c>
      <c r="L278" s="1">
        <v>4</v>
      </c>
      <c r="M278" s="4">
        <v>18986.96</v>
      </c>
    </row>
    <row r="279" spans="1:13" x14ac:dyDescent="0.25">
      <c r="A279">
        <f>RANK(H279,H$13:H$798,0)</f>
        <v>267</v>
      </c>
      <c r="B279" s="2">
        <v>232265</v>
      </c>
      <c r="C279" t="s">
        <v>508</v>
      </c>
      <c r="D279" t="s">
        <v>509</v>
      </c>
      <c r="E279" t="s">
        <v>49</v>
      </c>
      <c r="F279" t="s">
        <v>3</v>
      </c>
      <c r="G279" s="4">
        <v>4141</v>
      </c>
      <c r="H279" s="4">
        <v>282542.989</v>
      </c>
      <c r="I279" s="4">
        <v>285344.772</v>
      </c>
      <c r="J279" s="1">
        <v>-0.98189393145776505</v>
      </c>
      <c r="K279" s="2">
        <v>1</v>
      </c>
      <c r="L279" s="1">
        <v>4</v>
      </c>
      <c r="M279" s="4">
        <v>68230.62</v>
      </c>
    </row>
    <row r="280" spans="1:13" x14ac:dyDescent="0.25">
      <c r="A280">
        <f>RANK(H280,H$13:H$798,0)</f>
        <v>268</v>
      </c>
      <c r="B280" s="34">
        <v>206695</v>
      </c>
      <c r="C280" s="21" t="s">
        <v>510</v>
      </c>
      <c r="D280" s="21" t="s">
        <v>511</v>
      </c>
      <c r="E280" s="21" t="s">
        <v>63</v>
      </c>
      <c r="F280" s="21" t="s">
        <v>87</v>
      </c>
      <c r="G280" s="35">
        <v>10241</v>
      </c>
      <c r="H280" s="35">
        <v>279778.23599999998</v>
      </c>
      <c r="I280" s="35">
        <v>265189</v>
      </c>
      <c r="J280" s="36">
        <v>5.501448400951765</v>
      </c>
      <c r="K280" s="34">
        <v>2</v>
      </c>
      <c r="L280" s="36">
        <v>3</v>
      </c>
      <c r="M280" s="35">
        <v>27319.43</v>
      </c>
    </row>
    <row r="281" spans="1:13" x14ac:dyDescent="0.25">
      <c r="A281">
        <f>RANK(H281,H$13:H$798,0)</f>
        <v>269</v>
      </c>
      <c r="B281" s="2">
        <v>156125</v>
      </c>
      <c r="C281" t="s">
        <v>512</v>
      </c>
      <c r="D281" t="s">
        <v>513</v>
      </c>
      <c r="E281" t="s">
        <v>133</v>
      </c>
      <c r="F281" t="s">
        <v>75</v>
      </c>
      <c r="G281" s="4">
        <v>11848</v>
      </c>
      <c r="H281" s="4">
        <v>276142</v>
      </c>
      <c r="I281" s="4">
        <v>264339</v>
      </c>
      <c r="J281" s="1">
        <v>4.4650997393498502</v>
      </c>
      <c r="K281" s="2">
        <v>2</v>
      </c>
      <c r="L281" s="1">
        <v>4</v>
      </c>
      <c r="M281" s="4">
        <v>23307.06</v>
      </c>
    </row>
    <row r="282" spans="1:13" x14ac:dyDescent="0.25">
      <c r="A282">
        <f>RANK(H282,H$13:H$798,0)</f>
        <v>270</v>
      </c>
      <c r="B282" s="2">
        <v>131283</v>
      </c>
      <c r="C282" t="s">
        <v>514</v>
      </c>
      <c r="D282" t="s">
        <v>129</v>
      </c>
      <c r="E282" t="s">
        <v>130</v>
      </c>
      <c r="F282" t="s">
        <v>3</v>
      </c>
      <c r="G282" s="4">
        <v>4823</v>
      </c>
      <c r="H282" s="4">
        <v>273684.56900000002</v>
      </c>
      <c r="I282" s="4">
        <v>254869.55600000001</v>
      </c>
      <c r="J282" s="1">
        <v>7.3822128053615028</v>
      </c>
      <c r="K282" s="2">
        <v>2</v>
      </c>
      <c r="L282" s="1">
        <v>4</v>
      </c>
      <c r="M282" s="4">
        <v>56745.71</v>
      </c>
    </row>
    <row r="283" spans="1:13" x14ac:dyDescent="0.25">
      <c r="A283">
        <f>RANK(H283,H$13:H$798,0)</f>
        <v>271</v>
      </c>
      <c r="B283" s="2">
        <v>198516</v>
      </c>
      <c r="C283" t="s">
        <v>515</v>
      </c>
      <c r="D283" t="s">
        <v>516</v>
      </c>
      <c r="E283" t="s">
        <v>36</v>
      </c>
      <c r="F283" t="s">
        <v>3</v>
      </c>
      <c r="G283" s="4">
        <v>6859</v>
      </c>
      <c r="H283" s="4">
        <v>273429.21948000003</v>
      </c>
      <c r="I283" s="4">
        <v>253735.32787000001</v>
      </c>
      <c r="J283" s="1">
        <v>7.7615883351056594</v>
      </c>
      <c r="K283" s="2">
        <v>2</v>
      </c>
      <c r="L283" s="1">
        <v>4</v>
      </c>
      <c r="M283" s="4">
        <v>39864.300000000003</v>
      </c>
    </row>
    <row r="284" spans="1:13" x14ac:dyDescent="0.25">
      <c r="A284">
        <f>RANK(H284,H$13:H$798,0)</f>
        <v>272</v>
      </c>
      <c r="B284" s="3" t="s">
        <v>1363</v>
      </c>
      <c r="C284" t="s">
        <v>517</v>
      </c>
      <c r="D284" t="s">
        <v>518</v>
      </c>
      <c r="E284" t="s">
        <v>12</v>
      </c>
      <c r="F284" t="s">
        <v>1364</v>
      </c>
      <c r="G284" s="5" t="s">
        <v>1363</v>
      </c>
      <c r="H284" s="4">
        <v>273358.23300000001</v>
      </c>
      <c r="I284" s="4">
        <v>272762.098</v>
      </c>
      <c r="J284" s="1">
        <v>0.21855492547209007</v>
      </c>
      <c r="K284" s="2">
        <v>3</v>
      </c>
      <c r="L284" s="1">
        <v>6</v>
      </c>
      <c r="M284" s="5" t="s">
        <v>1363</v>
      </c>
    </row>
    <row r="285" spans="1:13" x14ac:dyDescent="0.25">
      <c r="A285">
        <f>RANK(H285,H$13:H$798,0)</f>
        <v>273</v>
      </c>
      <c r="B285" s="2">
        <v>186584</v>
      </c>
      <c r="C285" t="s">
        <v>519</v>
      </c>
      <c r="D285" t="s">
        <v>520</v>
      </c>
      <c r="E285" t="s">
        <v>15</v>
      </c>
      <c r="F285" t="s">
        <v>3</v>
      </c>
      <c r="G285" s="4">
        <v>8976</v>
      </c>
      <c r="H285" s="4">
        <v>264514</v>
      </c>
      <c r="I285" s="4">
        <v>266857</v>
      </c>
      <c r="J285" s="1">
        <v>-0.8779983286928954</v>
      </c>
      <c r="K285" s="2">
        <v>2</v>
      </c>
      <c r="L285" s="1">
        <v>4</v>
      </c>
      <c r="M285" s="4">
        <v>29469.03</v>
      </c>
    </row>
    <row r="286" spans="1:13" x14ac:dyDescent="0.25">
      <c r="A286">
        <f>RANK(H286,H$13:H$798,0)</f>
        <v>274</v>
      </c>
      <c r="B286" s="2">
        <v>110705</v>
      </c>
      <c r="C286" t="s">
        <v>521</v>
      </c>
      <c r="D286" t="s">
        <v>522</v>
      </c>
      <c r="E286" t="s">
        <v>12</v>
      </c>
      <c r="F286" t="s">
        <v>7</v>
      </c>
      <c r="G286" s="4">
        <v>25976</v>
      </c>
      <c r="H286" s="4">
        <v>263099.83399999997</v>
      </c>
      <c r="I286" s="4">
        <v>210152.07</v>
      </c>
      <c r="J286" s="1">
        <v>25.194976190336821</v>
      </c>
      <c r="K286" s="2">
        <v>2</v>
      </c>
      <c r="L286" s="1">
        <v>4</v>
      </c>
      <c r="M286" s="4">
        <v>10128.57</v>
      </c>
    </row>
    <row r="287" spans="1:13" ht="17.25" x14ac:dyDescent="0.25">
      <c r="A287">
        <f>RANK(H287,H$13:H$798,0)</f>
        <v>275</v>
      </c>
      <c r="B287" s="2">
        <v>210401</v>
      </c>
      <c r="C287" t="s">
        <v>1449</v>
      </c>
      <c r="D287" t="s">
        <v>523</v>
      </c>
      <c r="E287" t="s">
        <v>263</v>
      </c>
      <c r="F287" t="s">
        <v>75</v>
      </c>
      <c r="G287" s="4">
        <v>2317</v>
      </c>
      <c r="H287" s="4">
        <v>262123.68400000001</v>
      </c>
      <c r="I287" s="4">
        <v>257448.53099999999</v>
      </c>
      <c r="J287" s="1">
        <v>1.8159563707124127</v>
      </c>
      <c r="K287" s="2">
        <v>2</v>
      </c>
      <c r="L287" s="1">
        <v>2</v>
      </c>
      <c r="M287" s="4">
        <v>113130.64</v>
      </c>
    </row>
    <row r="288" spans="1:13" ht="17.25" x14ac:dyDescent="0.25">
      <c r="A288">
        <f>RANK(H288,H$13:H$798,0)</f>
        <v>276</v>
      </c>
      <c r="B288" s="2">
        <v>232982</v>
      </c>
      <c r="C288" t="s">
        <v>1450</v>
      </c>
      <c r="D288" t="s">
        <v>524</v>
      </c>
      <c r="E288" t="s">
        <v>49</v>
      </c>
      <c r="F288" t="s">
        <v>87</v>
      </c>
      <c r="G288" s="4">
        <v>19129</v>
      </c>
      <c r="H288" s="4">
        <v>261711.26699999999</v>
      </c>
      <c r="I288" s="4">
        <v>244783.69500000001</v>
      </c>
      <c r="J288" s="1">
        <v>6.915318440633877</v>
      </c>
      <c r="K288" s="2">
        <v>2</v>
      </c>
      <c r="L288" s="1">
        <v>4</v>
      </c>
      <c r="M288" s="4">
        <v>13681.39</v>
      </c>
    </row>
    <row r="289" spans="1:13" x14ac:dyDescent="0.25">
      <c r="A289">
        <f>RANK(H289,H$13:H$798,0)</f>
        <v>277</v>
      </c>
      <c r="B289" s="2">
        <v>152600</v>
      </c>
      <c r="C289" t="s">
        <v>525</v>
      </c>
      <c r="D289" t="s">
        <v>526</v>
      </c>
      <c r="E289" t="s">
        <v>27</v>
      </c>
      <c r="F289" t="s">
        <v>3</v>
      </c>
      <c r="G289" s="4">
        <v>3603</v>
      </c>
      <c r="H289" s="4">
        <v>259042</v>
      </c>
      <c r="I289" s="4">
        <v>250417</v>
      </c>
      <c r="J289" s="1">
        <v>3.4442549826888746</v>
      </c>
      <c r="K289" s="2">
        <v>2</v>
      </c>
      <c r="L289" s="1">
        <v>4</v>
      </c>
      <c r="M289" s="4">
        <v>71896.2</v>
      </c>
    </row>
    <row r="290" spans="1:13" x14ac:dyDescent="0.25">
      <c r="A290">
        <f>RANK(H290,H$13:H$798,0)</f>
        <v>278</v>
      </c>
      <c r="B290" s="2">
        <v>168005</v>
      </c>
      <c r="C290" t="s">
        <v>527</v>
      </c>
      <c r="D290" t="s">
        <v>1</v>
      </c>
      <c r="E290" t="s">
        <v>2</v>
      </c>
      <c r="F290" t="s">
        <v>3</v>
      </c>
      <c r="G290" s="4">
        <v>6861</v>
      </c>
      <c r="H290" s="4">
        <v>256299.96299999999</v>
      </c>
      <c r="I290" s="4">
        <v>249136.91899999999</v>
      </c>
      <c r="J290" s="1">
        <v>2.8751435270017103</v>
      </c>
      <c r="K290" s="2">
        <v>2</v>
      </c>
      <c r="L290" s="1">
        <v>3</v>
      </c>
      <c r="M290" s="4">
        <v>37356</v>
      </c>
    </row>
    <row r="291" spans="1:13" x14ac:dyDescent="0.25">
      <c r="A291">
        <f>RANK(H291,H$13:H$798,0)</f>
        <v>279</v>
      </c>
      <c r="B291" s="2">
        <v>193016</v>
      </c>
      <c r="C291" t="s">
        <v>528</v>
      </c>
      <c r="D291" t="s">
        <v>529</v>
      </c>
      <c r="E291" t="s">
        <v>33</v>
      </c>
      <c r="F291" t="s">
        <v>3</v>
      </c>
      <c r="G291" s="4">
        <v>7122</v>
      </c>
      <c r="H291" s="4">
        <v>255751.26300000001</v>
      </c>
      <c r="I291" s="4">
        <v>245533.842</v>
      </c>
      <c r="J291" s="1">
        <v>4.1613086476282977</v>
      </c>
      <c r="K291" s="2">
        <v>2</v>
      </c>
      <c r="L291" s="1">
        <v>3</v>
      </c>
      <c r="M291" s="4">
        <v>35910.03</v>
      </c>
    </row>
    <row r="292" spans="1:13" x14ac:dyDescent="0.25">
      <c r="A292">
        <f>RANK(H292,H$13:H$798,0)</f>
        <v>280</v>
      </c>
      <c r="B292" s="2">
        <v>137546</v>
      </c>
      <c r="C292" t="s">
        <v>530</v>
      </c>
      <c r="D292" t="s">
        <v>531</v>
      </c>
      <c r="E292" t="s">
        <v>127</v>
      </c>
      <c r="F292" t="s">
        <v>3</v>
      </c>
      <c r="G292" s="4">
        <v>4204</v>
      </c>
      <c r="H292" s="4">
        <v>255416.253</v>
      </c>
      <c r="I292" s="4">
        <v>242868.48800000001</v>
      </c>
      <c r="J292" s="1">
        <v>5.1664854108203544</v>
      </c>
      <c r="K292" s="2">
        <v>2</v>
      </c>
      <c r="L292" s="1">
        <v>3</v>
      </c>
      <c r="M292" s="4">
        <v>60755.53</v>
      </c>
    </row>
    <row r="293" spans="1:13" x14ac:dyDescent="0.25">
      <c r="A293">
        <f>RANK(H293,H$13:H$798,0)</f>
        <v>281</v>
      </c>
      <c r="B293" s="2">
        <v>211893</v>
      </c>
      <c r="C293" t="s">
        <v>532</v>
      </c>
      <c r="D293" t="s">
        <v>19</v>
      </c>
      <c r="E293" t="s">
        <v>20</v>
      </c>
      <c r="F293" t="s">
        <v>87</v>
      </c>
      <c r="G293" s="4">
        <v>172</v>
      </c>
      <c r="H293" s="4">
        <v>253189.473</v>
      </c>
      <c r="I293" s="4">
        <v>257269.30300000001</v>
      </c>
      <c r="J293" s="1">
        <v>-1.5858207537492401</v>
      </c>
      <c r="K293" s="2">
        <v>2</v>
      </c>
      <c r="L293" s="1">
        <v>5</v>
      </c>
      <c r="M293" s="4">
        <v>1472031.82</v>
      </c>
    </row>
    <row r="294" spans="1:13" x14ac:dyDescent="0.25">
      <c r="A294">
        <f>RANK(H294,H$13:H$798,0)</f>
        <v>282</v>
      </c>
      <c r="B294" s="2">
        <v>219709</v>
      </c>
      <c r="C294" t="s">
        <v>533</v>
      </c>
      <c r="D294" t="s">
        <v>56</v>
      </c>
      <c r="E294" t="s">
        <v>57</v>
      </c>
      <c r="F294" t="s">
        <v>3</v>
      </c>
      <c r="G294" s="4">
        <v>8135</v>
      </c>
      <c r="H294" s="4">
        <v>252090.709</v>
      </c>
      <c r="I294" s="4">
        <v>194160.71</v>
      </c>
      <c r="J294" s="1">
        <v>29.836107933474292</v>
      </c>
      <c r="K294" s="2">
        <v>2</v>
      </c>
      <c r="L294" s="1">
        <v>4</v>
      </c>
      <c r="M294" s="4">
        <v>30988.41</v>
      </c>
    </row>
    <row r="295" spans="1:13" x14ac:dyDescent="0.25">
      <c r="A295" s="30">
        <f>RANK(H295,H$13:H$798,0)</f>
        <v>283</v>
      </c>
      <c r="B295" s="31" t="s">
        <v>1363</v>
      </c>
      <c r="C295" s="30" t="s">
        <v>534</v>
      </c>
      <c r="D295" s="30" t="s">
        <v>535</v>
      </c>
      <c r="E295" s="30" t="s">
        <v>536</v>
      </c>
      <c r="F295" s="30" t="s">
        <v>1388</v>
      </c>
      <c r="G295" s="32">
        <v>8539</v>
      </c>
      <c r="H295" s="32">
        <v>248873.71280000001</v>
      </c>
      <c r="I295" s="32">
        <v>240179.5661</v>
      </c>
      <c r="J295" s="33">
        <v>3.6198527798073212</v>
      </c>
      <c r="K295" s="24">
        <v>3</v>
      </c>
      <c r="L295" s="33">
        <v>6</v>
      </c>
      <c r="M295" s="32">
        <v>29145.53</v>
      </c>
    </row>
    <row r="296" spans="1:13" x14ac:dyDescent="0.25">
      <c r="A296">
        <f>RANK(H296,H$13:H$798,0)</f>
        <v>284</v>
      </c>
      <c r="B296" s="2">
        <v>209056</v>
      </c>
      <c r="C296" t="s">
        <v>537</v>
      </c>
      <c r="D296" t="s">
        <v>262</v>
      </c>
      <c r="E296" t="s">
        <v>263</v>
      </c>
      <c r="F296" t="s">
        <v>3</v>
      </c>
      <c r="G296" s="4">
        <v>3091</v>
      </c>
      <c r="H296" s="4">
        <v>246793.73</v>
      </c>
      <c r="I296" s="4">
        <v>239104.698</v>
      </c>
      <c r="J296" s="1">
        <v>3.2157594829023415</v>
      </c>
      <c r="K296" s="2">
        <v>2</v>
      </c>
      <c r="L296" s="1">
        <v>2</v>
      </c>
      <c r="M296" s="4">
        <v>79842.679999999993</v>
      </c>
    </row>
    <row r="297" spans="1:13" x14ac:dyDescent="0.25">
      <c r="A297">
        <f>RANK(H297,H$13:H$798,0)</f>
        <v>285</v>
      </c>
      <c r="B297" s="2">
        <v>219471</v>
      </c>
      <c r="C297" t="s">
        <v>538</v>
      </c>
      <c r="D297" t="s">
        <v>539</v>
      </c>
      <c r="E297" t="s">
        <v>755</v>
      </c>
      <c r="F297" t="s">
        <v>75</v>
      </c>
      <c r="G297" s="4">
        <v>7497</v>
      </c>
      <c r="H297" s="4">
        <v>244474.02299999999</v>
      </c>
      <c r="I297" s="4">
        <v>239209.91800000001</v>
      </c>
      <c r="J297" s="1">
        <v>2.20062154780722</v>
      </c>
      <c r="K297" s="2">
        <v>2</v>
      </c>
      <c r="L297" s="1">
        <v>4</v>
      </c>
      <c r="M297" s="4">
        <v>32609.58</v>
      </c>
    </row>
    <row r="298" spans="1:13" x14ac:dyDescent="0.25">
      <c r="A298">
        <f>RANK(H298,H$13:H$798,0)</f>
        <v>286</v>
      </c>
      <c r="B298" s="2">
        <v>140401</v>
      </c>
      <c r="C298" t="s">
        <v>540</v>
      </c>
      <c r="D298" t="s">
        <v>541</v>
      </c>
      <c r="E298" t="s">
        <v>44</v>
      </c>
      <c r="F298" t="s">
        <v>75</v>
      </c>
      <c r="G298" s="4">
        <v>925</v>
      </c>
      <c r="H298" s="4">
        <v>243555.69200000001</v>
      </c>
      <c r="I298" s="4">
        <v>239446.35500000001</v>
      </c>
      <c r="J298" s="1">
        <v>1.7161827332890491</v>
      </c>
      <c r="K298" s="2">
        <v>3</v>
      </c>
      <c r="L298" s="1">
        <v>6</v>
      </c>
      <c r="M298" s="4">
        <v>263303.45</v>
      </c>
    </row>
    <row r="299" spans="1:13" x14ac:dyDescent="0.25">
      <c r="A299">
        <f>RANK(H299,H$13:H$798,0)</f>
        <v>287</v>
      </c>
      <c r="B299" s="2">
        <v>204909</v>
      </c>
      <c r="C299" t="s">
        <v>542</v>
      </c>
      <c r="D299" t="s">
        <v>543</v>
      </c>
      <c r="E299" t="s">
        <v>63</v>
      </c>
      <c r="F299" t="s">
        <v>3</v>
      </c>
      <c r="G299" s="4">
        <v>1558</v>
      </c>
      <c r="H299" s="4">
        <v>243083.20300000001</v>
      </c>
      <c r="I299" s="4">
        <v>239621.875</v>
      </c>
      <c r="J299" s="1">
        <v>1.4444958332789979</v>
      </c>
      <c r="K299" s="2">
        <v>2</v>
      </c>
      <c r="L299" s="1">
        <v>2</v>
      </c>
      <c r="M299" s="4">
        <v>156022.59</v>
      </c>
    </row>
    <row r="300" spans="1:13" x14ac:dyDescent="0.25">
      <c r="A300">
        <f>RANK(H300,H$13:H$798,0)</f>
        <v>288</v>
      </c>
      <c r="B300" s="2">
        <v>170532</v>
      </c>
      <c r="C300" t="s">
        <v>544</v>
      </c>
      <c r="D300" t="s">
        <v>415</v>
      </c>
      <c r="E300" t="s">
        <v>24</v>
      </c>
      <c r="F300" t="s">
        <v>3</v>
      </c>
      <c r="G300" s="4">
        <v>1463</v>
      </c>
      <c r="H300" s="4">
        <v>240343.609</v>
      </c>
      <c r="I300" s="4">
        <v>240993.99400000001</v>
      </c>
      <c r="J300" s="1">
        <v>-0.26987602022978602</v>
      </c>
      <c r="K300" s="2">
        <v>2</v>
      </c>
      <c r="L300" s="1">
        <v>2</v>
      </c>
      <c r="M300" s="4">
        <v>164281.35</v>
      </c>
    </row>
    <row r="301" spans="1:13" x14ac:dyDescent="0.25">
      <c r="A301">
        <f>RANK(H301,H$13:H$798,0)</f>
        <v>289</v>
      </c>
      <c r="B301" s="2">
        <v>192457</v>
      </c>
      <c r="C301" t="s">
        <v>545</v>
      </c>
      <c r="D301" t="s">
        <v>546</v>
      </c>
      <c r="E301" t="s">
        <v>33</v>
      </c>
      <c r="F301" t="s">
        <v>3</v>
      </c>
      <c r="G301" s="4">
        <v>10730</v>
      </c>
      <c r="H301" s="4">
        <v>238973</v>
      </c>
      <c r="I301" s="4">
        <v>225534</v>
      </c>
      <c r="J301" s="1">
        <v>5.9587467964918819</v>
      </c>
      <c r="K301" s="2">
        <v>3</v>
      </c>
      <c r="L301" s="1">
        <v>6</v>
      </c>
      <c r="M301" s="4">
        <v>22271.48</v>
      </c>
    </row>
    <row r="302" spans="1:13" x14ac:dyDescent="0.25">
      <c r="A302">
        <f>RANK(H302,H$13:H$798,0)</f>
        <v>290</v>
      </c>
      <c r="B302" s="2">
        <v>145725</v>
      </c>
      <c r="C302" t="s">
        <v>547</v>
      </c>
      <c r="D302" t="s">
        <v>38</v>
      </c>
      <c r="E302" t="s">
        <v>30</v>
      </c>
      <c r="F302" t="s">
        <v>3</v>
      </c>
      <c r="G302" s="4">
        <v>6346</v>
      </c>
      <c r="H302" s="4">
        <v>236887.117</v>
      </c>
      <c r="I302" s="4">
        <v>235271.18599999999</v>
      </c>
      <c r="J302" s="1">
        <v>0.68683761385043196</v>
      </c>
      <c r="K302" s="2">
        <v>2</v>
      </c>
      <c r="L302" s="1">
        <v>4</v>
      </c>
      <c r="M302" s="4">
        <v>37328.57</v>
      </c>
    </row>
    <row r="303" spans="1:13" x14ac:dyDescent="0.25">
      <c r="A303">
        <f>RANK(H303,H$13:H$798,0)</f>
        <v>291</v>
      </c>
      <c r="B303" s="2">
        <v>164216</v>
      </c>
      <c r="C303" t="s">
        <v>548</v>
      </c>
      <c r="D303" t="s">
        <v>549</v>
      </c>
      <c r="E303" t="s">
        <v>54</v>
      </c>
      <c r="F303" t="s">
        <v>3</v>
      </c>
      <c r="G303" s="4">
        <v>1367</v>
      </c>
      <c r="H303" s="4">
        <v>236685.30900000001</v>
      </c>
      <c r="I303" s="4">
        <v>226922.04500000001</v>
      </c>
      <c r="J303" s="1">
        <v>4.302474887356138</v>
      </c>
      <c r="K303" s="2">
        <v>2</v>
      </c>
      <c r="L303" s="1">
        <v>2</v>
      </c>
      <c r="M303" s="4">
        <v>173142.14</v>
      </c>
    </row>
    <row r="304" spans="1:13" x14ac:dyDescent="0.25">
      <c r="A304">
        <f>RANK(H304,H$13:H$798,0)</f>
        <v>292</v>
      </c>
      <c r="B304" s="2">
        <v>200800</v>
      </c>
      <c r="C304" t="s">
        <v>550</v>
      </c>
      <c r="D304" t="s">
        <v>551</v>
      </c>
      <c r="E304" t="s">
        <v>63</v>
      </c>
      <c r="F304" t="s">
        <v>87</v>
      </c>
      <c r="G304" s="4">
        <v>16161</v>
      </c>
      <c r="H304" s="4">
        <v>235961.962</v>
      </c>
      <c r="I304" s="4">
        <v>220788.98199999999</v>
      </c>
      <c r="J304" s="1">
        <v>6.8721635756262556</v>
      </c>
      <c r="K304" s="2">
        <v>2</v>
      </c>
      <c r="L304" s="1">
        <v>4</v>
      </c>
      <c r="M304" s="4">
        <v>14600.7</v>
      </c>
    </row>
    <row r="305" spans="1:13" x14ac:dyDescent="0.25">
      <c r="A305">
        <f>RANK(H305,H$13:H$798,0)</f>
        <v>293</v>
      </c>
      <c r="B305" s="2">
        <v>217402</v>
      </c>
      <c r="C305" t="s">
        <v>552</v>
      </c>
      <c r="D305" t="s">
        <v>68</v>
      </c>
      <c r="E305" t="s">
        <v>69</v>
      </c>
      <c r="F305" t="s">
        <v>3</v>
      </c>
      <c r="G305" s="4">
        <v>4545</v>
      </c>
      <c r="H305" s="4">
        <v>234228.36</v>
      </c>
      <c r="I305" s="4">
        <v>238528.63500000001</v>
      </c>
      <c r="J305" s="1">
        <v>-1.8028338610163193</v>
      </c>
      <c r="K305" s="2">
        <v>2</v>
      </c>
      <c r="L305" s="1">
        <v>3</v>
      </c>
      <c r="M305" s="4">
        <v>51535.39</v>
      </c>
    </row>
    <row r="306" spans="1:13" x14ac:dyDescent="0.25">
      <c r="A306">
        <f>RANK(H306,H$13:H$798,0)</f>
        <v>294</v>
      </c>
      <c r="B306" s="2">
        <v>163046</v>
      </c>
      <c r="C306" t="s">
        <v>553</v>
      </c>
      <c r="D306" t="s">
        <v>53</v>
      </c>
      <c r="E306" t="s">
        <v>54</v>
      </c>
      <c r="F306" t="s">
        <v>3</v>
      </c>
      <c r="G306" s="4">
        <v>4729</v>
      </c>
      <c r="H306" s="4">
        <v>232472.905</v>
      </c>
      <c r="I306" s="4">
        <v>228151.432</v>
      </c>
      <c r="J306" s="1">
        <v>1.8941248635248531</v>
      </c>
      <c r="K306" s="2">
        <v>2</v>
      </c>
      <c r="L306" s="1">
        <v>3</v>
      </c>
      <c r="M306" s="4">
        <v>49159</v>
      </c>
    </row>
    <row r="307" spans="1:13" x14ac:dyDescent="0.25">
      <c r="A307">
        <f>RANK(H307,H$13:H$798,0)</f>
        <v>295</v>
      </c>
      <c r="B307" s="2">
        <v>170301</v>
      </c>
      <c r="C307" t="s">
        <v>554</v>
      </c>
      <c r="D307" t="s">
        <v>555</v>
      </c>
      <c r="E307" t="s">
        <v>24</v>
      </c>
      <c r="F307" t="s">
        <v>3</v>
      </c>
      <c r="G307" s="4">
        <v>3036</v>
      </c>
      <c r="H307" s="4">
        <v>232248.73699999999</v>
      </c>
      <c r="I307" s="4">
        <v>225656.24100000001</v>
      </c>
      <c r="J307" s="1">
        <v>2.9214773634379494</v>
      </c>
      <c r="K307" s="2">
        <v>2</v>
      </c>
      <c r="L307" s="1">
        <v>2</v>
      </c>
      <c r="M307" s="4">
        <v>76498.27</v>
      </c>
    </row>
    <row r="308" spans="1:13" x14ac:dyDescent="0.25">
      <c r="A308">
        <f>RANK(H308,H$13:H$798,0)</f>
        <v>296</v>
      </c>
      <c r="B308" s="2">
        <v>184782</v>
      </c>
      <c r="C308" t="s">
        <v>556</v>
      </c>
      <c r="D308" t="s">
        <v>557</v>
      </c>
      <c r="E308" t="s">
        <v>15</v>
      </c>
      <c r="F308" t="s">
        <v>87</v>
      </c>
      <c r="G308" s="4">
        <v>16929</v>
      </c>
      <c r="H308" s="4">
        <v>232093.929</v>
      </c>
      <c r="I308" s="4">
        <v>207198.05499999999</v>
      </c>
      <c r="J308" s="1">
        <v>12.015495994882777</v>
      </c>
      <c r="K308" s="2">
        <v>2</v>
      </c>
      <c r="L308" s="1">
        <v>4</v>
      </c>
      <c r="M308" s="4">
        <v>13709.84</v>
      </c>
    </row>
    <row r="309" spans="1:13" x14ac:dyDescent="0.25">
      <c r="A309">
        <f>RANK(H309,H$13:H$798,0)</f>
        <v>297</v>
      </c>
      <c r="B309" s="2">
        <v>210669</v>
      </c>
      <c r="C309" t="s">
        <v>558</v>
      </c>
      <c r="D309" t="s">
        <v>559</v>
      </c>
      <c r="E309" t="s">
        <v>20</v>
      </c>
      <c r="F309" t="s">
        <v>3</v>
      </c>
      <c r="G309" s="4">
        <v>1740</v>
      </c>
      <c r="H309" s="4">
        <v>230452.902</v>
      </c>
      <c r="I309" s="4">
        <v>220835.715</v>
      </c>
      <c r="J309" s="1">
        <v>4.3549056365271381</v>
      </c>
      <c r="K309" s="2">
        <v>2</v>
      </c>
      <c r="L309" s="1">
        <v>2</v>
      </c>
      <c r="M309" s="4">
        <v>132444.20000000001</v>
      </c>
    </row>
    <row r="310" spans="1:13" x14ac:dyDescent="0.25">
      <c r="A310">
        <f>RANK(H310,H$13:H$798,0)</f>
        <v>298</v>
      </c>
      <c r="B310" s="2">
        <v>199139</v>
      </c>
      <c r="C310" t="s">
        <v>560</v>
      </c>
      <c r="D310" t="s">
        <v>561</v>
      </c>
      <c r="E310" t="s">
        <v>36</v>
      </c>
      <c r="F310" t="s">
        <v>7</v>
      </c>
      <c r="G310" s="4">
        <v>25629</v>
      </c>
      <c r="H310" s="4">
        <v>230352.21599999999</v>
      </c>
      <c r="I310" s="4">
        <v>217594.432</v>
      </c>
      <c r="J310" s="1">
        <v>5.86310223232182</v>
      </c>
      <c r="K310" s="2">
        <v>2</v>
      </c>
      <c r="L310" s="1">
        <v>4</v>
      </c>
      <c r="M310" s="4">
        <v>8987.9500000000007</v>
      </c>
    </row>
    <row r="311" spans="1:13" x14ac:dyDescent="0.25">
      <c r="A311">
        <f>RANK(H311,H$13:H$798,0)</f>
        <v>299</v>
      </c>
      <c r="B311" s="2">
        <v>191630</v>
      </c>
      <c r="C311" t="s">
        <v>562</v>
      </c>
      <c r="D311" t="s">
        <v>563</v>
      </c>
      <c r="E311" t="s">
        <v>33</v>
      </c>
      <c r="F311" t="s">
        <v>3</v>
      </c>
      <c r="G311" s="4">
        <v>2227</v>
      </c>
      <c r="H311" s="4">
        <v>229106.829</v>
      </c>
      <c r="I311" s="4">
        <v>230064.64600000001</v>
      </c>
      <c r="J311" s="1">
        <v>-0.41632515758201716</v>
      </c>
      <c r="K311" s="2">
        <v>2</v>
      </c>
      <c r="L311" s="1">
        <v>2</v>
      </c>
      <c r="M311" s="4">
        <v>102876.89</v>
      </c>
    </row>
    <row r="312" spans="1:13" x14ac:dyDescent="0.25">
      <c r="A312" s="30">
        <f>RANK(H312,H$13:H$798,0)</f>
        <v>300</v>
      </c>
      <c r="B312" s="31" t="s">
        <v>1363</v>
      </c>
      <c r="C312" s="30" t="s">
        <v>564</v>
      </c>
      <c r="D312" s="30" t="s">
        <v>565</v>
      </c>
      <c r="E312" s="30" t="s">
        <v>117</v>
      </c>
      <c r="F312" s="30" t="s">
        <v>1388</v>
      </c>
      <c r="G312" s="32">
        <v>27909</v>
      </c>
      <c r="H312" s="32">
        <v>228201.48630000002</v>
      </c>
      <c r="I312" s="32">
        <v>208420.61440000002</v>
      </c>
      <c r="J312" s="33">
        <v>9.4908423319569675</v>
      </c>
      <c r="K312" s="24">
        <v>3</v>
      </c>
      <c r="L312" s="33">
        <v>6</v>
      </c>
      <c r="M312" s="32">
        <v>8176.63</v>
      </c>
    </row>
    <row r="313" spans="1:13" x14ac:dyDescent="0.25">
      <c r="A313">
        <f>RANK(H313,H$13:H$798,0)</f>
        <v>301</v>
      </c>
      <c r="B313" s="2">
        <v>110422</v>
      </c>
      <c r="C313" t="s">
        <v>566</v>
      </c>
      <c r="D313" t="s">
        <v>567</v>
      </c>
      <c r="E313" t="s">
        <v>12</v>
      </c>
      <c r="F313" t="s">
        <v>7</v>
      </c>
      <c r="G313" s="4">
        <v>21158</v>
      </c>
      <c r="H313" s="4">
        <v>227678.09400000001</v>
      </c>
      <c r="I313" s="4">
        <v>220534.68400000001</v>
      </c>
      <c r="J313" s="1">
        <v>3.2391322174066746</v>
      </c>
      <c r="K313" s="2">
        <v>2</v>
      </c>
      <c r="L313" s="1">
        <v>3</v>
      </c>
      <c r="M313" s="4">
        <v>10760.85</v>
      </c>
    </row>
    <row r="314" spans="1:13" x14ac:dyDescent="0.25">
      <c r="A314">
        <f>RANK(H314,H$13:H$798,0)</f>
        <v>302</v>
      </c>
      <c r="B314" s="2">
        <v>133669</v>
      </c>
      <c r="C314" t="s">
        <v>568</v>
      </c>
      <c r="D314" t="s">
        <v>569</v>
      </c>
      <c r="E314" t="s">
        <v>127</v>
      </c>
      <c r="F314" t="s">
        <v>75</v>
      </c>
      <c r="G314" s="4">
        <v>22299</v>
      </c>
      <c r="H314" s="4">
        <v>227519.61799999999</v>
      </c>
      <c r="I314" s="4">
        <v>228162.005</v>
      </c>
      <c r="J314" s="1">
        <v>-0.28154863032520117</v>
      </c>
      <c r="K314" s="2">
        <v>2</v>
      </c>
      <c r="L314" s="1">
        <v>4</v>
      </c>
      <c r="M314" s="4">
        <v>10203.129999999999</v>
      </c>
    </row>
    <row r="315" spans="1:13" x14ac:dyDescent="0.25">
      <c r="A315">
        <f>RANK(H315,H$13:H$798,0)</f>
        <v>303</v>
      </c>
      <c r="B315" s="2">
        <v>161253</v>
      </c>
      <c r="C315" t="s">
        <v>570</v>
      </c>
      <c r="D315" t="s">
        <v>571</v>
      </c>
      <c r="E315" t="s">
        <v>137</v>
      </c>
      <c r="F315" t="s">
        <v>75</v>
      </c>
      <c r="G315" s="4">
        <v>9750</v>
      </c>
      <c r="H315" s="4">
        <v>227085.17</v>
      </c>
      <c r="I315" s="4">
        <v>220678.74400000001</v>
      </c>
      <c r="J315" s="1">
        <v>2.9030553119334441</v>
      </c>
      <c r="K315" s="2">
        <v>2</v>
      </c>
      <c r="L315" s="1">
        <v>4</v>
      </c>
      <c r="M315" s="4">
        <v>23290.79</v>
      </c>
    </row>
    <row r="316" spans="1:13" x14ac:dyDescent="0.25">
      <c r="A316">
        <f>RANK(H316,H$13:H$798,0)</f>
        <v>304</v>
      </c>
      <c r="B316" s="2">
        <v>200332</v>
      </c>
      <c r="C316" t="s">
        <v>572</v>
      </c>
      <c r="D316" t="s">
        <v>573</v>
      </c>
      <c r="E316" t="s">
        <v>507</v>
      </c>
      <c r="F316" t="s">
        <v>75</v>
      </c>
      <c r="G316" s="4">
        <v>12394</v>
      </c>
      <c r="H316" s="4">
        <v>226625.715</v>
      </c>
      <c r="I316" s="4">
        <v>206650.31400000001</v>
      </c>
      <c r="J316" s="1">
        <v>9.6662814652195408</v>
      </c>
      <c r="K316" s="2">
        <v>2</v>
      </c>
      <c r="L316" s="1">
        <v>4</v>
      </c>
      <c r="M316" s="4">
        <v>18285.11</v>
      </c>
    </row>
    <row r="317" spans="1:13" x14ac:dyDescent="0.25">
      <c r="A317">
        <f>RANK(H317,H$13:H$798,0)</f>
        <v>305</v>
      </c>
      <c r="B317" s="2">
        <v>153269</v>
      </c>
      <c r="C317" t="s">
        <v>574</v>
      </c>
      <c r="D317" t="s">
        <v>575</v>
      </c>
      <c r="E317" t="s">
        <v>113</v>
      </c>
      <c r="F317" t="s">
        <v>3</v>
      </c>
      <c r="G317" s="4">
        <v>4130</v>
      </c>
      <c r="H317" s="4">
        <v>226154.90700000001</v>
      </c>
      <c r="I317" s="4">
        <v>219494.33199999999</v>
      </c>
      <c r="J317" s="1">
        <v>3.0345088819879011</v>
      </c>
      <c r="K317" s="2">
        <v>2</v>
      </c>
      <c r="L317" s="1">
        <v>4</v>
      </c>
      <c r="M317" s="4">
        <v>54759.06</v>
      </c>
    </row>
    <row r="318" spans="1:13" x14ac:dyDescent="0.25">
      <c r="A318" s="30">
        <f>RANK(H318,H$13:H$798,0)</f>
        <v>306</v>
      </c>
      <c r="B318" s="31" t="s">
        <v>1363</v>
      </c>
      <c r="C318" s="30" t="s">
        <v>576</v>
      </c>
      <c r="D318" s="30" t="s">
        <v>565</v>
      </c>
      <c r="E318" s="30" t="s">
        <v>117</v>
      </c>
      <c r="F318" s="30" t="s">
        <v>1388</v>
      </c>
      <c r="G318" s="32">
        <v>42253</v>
      </c>
      <c r="H318" s="32">
        <v>225016.38580000002</v>
      </c>
      <c r="I318" s="32">
        <v>218350.6085</v>
      </c>
      <c r="J318" s="33">
        <v>3.0527862256907867</v>
      </c>
      <c r="K318" s="24">
        <v>3</v>
      </c>
      <c r="L318" s="33">
        <v>6</v>
      </c>
      <c r="M318" s="32">
        <v>5325.45</v>
      </c>
    </row>
    <row r="319" spans="1:13" x14ac:dyDescent="0.25">
      <c r="A319">
        <f>RANK(H319,H$13:H$798,0)</f>
        <v>307</v>
      </c>
      <c r="B319" s="2">
        <v>139348</v>
      </c>
      <c r="C319" t="s">
        <v>577</v>
      </c>
      <c r="D319" t="s">
        <v>578</v>
      </c>
      <c r="E319" t="s">
        <v>44</v>
      </c>
      <c r="F319" t="s">
        <v>3</v>
      </c>
      <c r="G319" s="4">
        <v>218</v>
      </c>
      <c r="H319" s="4">
        <v>224955.55600000001</v>
      </c>
      <c r="I319" s="4">
        <v>222489.49900000001</v>
      </c>
      <c r="J319" s="1">
        <v>1.1083925358652547</v>
      </c>
      <c r="K319" s="2">
        <v>2</v>
      </c>
      <c r="L319" s="1">
        <v>5</v>
      </c>
      <c r="M319" s="4">
        <v>1031906.22</v>
      </c>
    </row>
    <row r="320" spans="1:13" x14ac:dyDescent="0.25">
      <c r="A320">
        <f>RANK(H320,H$13:H$798,0)</f>
        <v>308</v>
      </c>
      <c r="B320" s="2">
        <v>186867</v>
      </c>
      <c r="C320" t="s">
        <v>579</v>
      </c>
      <c r="D320" t="s">
        <v>580</v>
      </c>
      <c r="E320" t="s">
        <v>15</v>
      </c>
      <c r="F320" t="s">
        <v>3</v>
      </c>
      <c r="G320" s="4">
        <v>6242</v>
      </c>
      <c r="H320" s="4">
        <v>224304</v>
      </c>
      <c r="I320" s="4">
        <v>206806</v>
      </c>
      <c r="J320" s="1">
        <v>8.4610697948802258</v>
      </c>
      <c r="K320" s="2">
        <v>2</v>
      </c>
      <c r="L320" s="1">
        <v>4</v>
      </c>
      <c r="M320" s="4">
        <v>35934.639999999999</v>
      </c>
    </row>
    <row r="321" spans="1:13" x14ac:dyDescent="0.25">
      <c r="A321">
        <f>RANK(H321,H$13:H$798,0)</f>
        <v>309</v>
      </c>
      <c r="B321" s="2">
        <v>203368</v>
      </c>
      <c r="C321" t="s">
        <v>581</v>
      </c>
      <c r="D321" t="s">
        <v>582</v>
      </c>
      <c r="E321" t="s">
        <v>63</v>
      </c>
      <c r="F321" t="s">
        <v>3</v>
      </c>
      <c r="G321" s="4">
        <v>3488</v>
      </c>
      <c r="H321" s="4">
        <v>223538.69099999999</v>
      </c>
      <c r="I321" s="4">
        <v>225754.829</v>
      </c>
      <c r="J321" s="1">
        <v>-0.98165696380297862</v>
      </c>
      <c r="K321" s="2">
        <v>2</v>
      </c>
      <c r="L321" s="1">
        <v>3</v>
      </c>
      <c r="M321" s="4">
        <v>64087.93</v>
      </c>
    </row>
    <row r="322" spans="1:13" ht="17.25" x14ac:dyDescent="0.25">
      <c r="A322">
        <f>RANK(H322,H$13:H$798,0)</f>
        <v>310</v>
      </c>
      <c r="B322" s="2">
        <v>163976</v>
      </c>
      <c r="C322" t="s">
        <v>1451</v>
      </c>
      <c r="D322" t="s">
        <v>1423</v>
      </c>
      <c r="E322" t="s">
        <v>54</v>
      </c>
      <c r="F322" t="s">
        <v>3</v>
      </c>
      <c r="G322" s="4">
        <v>898</v>
      </c>
      <c r="H322" s="4">
        <v>217294.158</v>
      </c>
      <c r="I322" s="4">
        <v>201017.261</v>
      </c>
      <c r="J322" s="1">
        <v>8.0972633489419596</v>
      </c>
      <c r="K322" s="2">
        <v>2</v>
      </c>
      <c r="L322" s="1">
        <v>2</v>
      </c>
      <c r="M322" s="4">
        <v>241976</v>
      </c>
    </row>
    <row r="323" spans="1:13" x14ac:dyDescent="0.25">
      <c r="A323">
        <f>RANK(H323,H$13:H$798,0)</f>
        <v>311</v>
      </c>
      <c r="B323" s="2">
        <v>167996</v>
      </c>
      <c r="C323" t="s">
        <v>583</v>
      </c>
      <c r="D323" t="s">
        <v>584</v>
      </c>
      <c r="E323" t="s">
        <v>2</v>
      </c>
      <c r="F323" t="s">
        <v>3</v>
      </c>
      <c r="G323" s="4">
        <v>2524</v>
      </c>
      <c r="H323" s="4">
        <v>217240.01199999999</v>
      </c>
      <c r="I323" s="4">
        <v>211414.41500000001</v>
      </c>
      <c r="J323" s="1">
        <v>2.7555344322192883</v>
      </c>
      <c r="K323" s="2">
        <v>2</v>
      </c>
      <c r="L323" s="1">
        <v>2</v>
      </c>
      <c r="M323" s="4">
        <v>86069.74</v>
      </c>
    </row>
    <row r="324" spans="1:13" x14ac:dyDescent="0.25">
      <c r="A324">
        <f>RANK(H324,H$13:H$798,0)</f>
        <v>312</v>
      </c>
      <c r="B324" s="2">
        <v>138600</v>
      </c>
      <c r="C324" t="s">
        <v>585</v>
      </c>
      <c r="D324" t="s">
        <v>578</v>
      </c>
      <c r="E324" t="s">
        <v>44</v>
      </c>
      <c r="F324" t="s">
        <v>3</v>
      </c>
      <c r="G324" s="4">
        <v>1008.67</v>
      </c>
      <c r="H324" s="4">
        <v>217142.44699999999</v>
      </c>
      <c r="I324" s="4">
        <v>229425.82</v>
      </c>
      <c r="J324" s="1">
        <v>-5.353962775419097</v>
      </c>
      <c r="K324" s="2">
        <v>2</v>
      </c>
      <c r="L324" s="1">
        <v>2</v>
      </c>
      <c r="M324" s="4">
        <v>215276</v>
      </c>
    </row>
    <row r="325" spans="1:13" x14ac:dyDescent="0.25">
      <c r="A325">
        <f>RANK(H325,H$13:H$798,0)</f>
        <v>313</v>
      </c>
      <c r="B325" s="2">
        <v>133951</v>
      </c>
      <c r="C325" t="s">
        <v>586</v>
      </c>
      <c r="D325" t="s">
        <v>383</v>
      </c>
      <c r="E325" t="s">
        <v>127</v>
      </c>
      <c r="F325" t="s">
        <v>75</v>
      </c>
      <c r="G325" s="4">
        <v>39419</v>
      </c>
      <c r="H325" s="4">
        <v>216382.25752000001</v>
      </c>
      <c r="I325" s="4">
        <v>209236.63412999999</v>
      </c>
      <c r="J325" s="1">
        <v>3.4150919219816944</v>
      </c>
      <c r="K325" s="2">
        <v>2</v>
      </c>
      <c r="L325" s="1">
        <v>4</v>
      </c>
      <c r="M325" s="4">
        <v>5489.29</v>
      </c>
    </row>
    <row r="326" spans="1:13" x14ac:dyDescent="0.25">
      <c r="A326">
        <f>RANK(H326,H$13:H$798,0)</f>
        <v>314</v>
      </c>
      <c r="B326" s="2">
        <v>194578</v>
      </c>
      <c r="C326" t="s">
        <v>587</v>
      </c>
      <c r="D326" t="s">
        <v>588</v>
      </c>
      <c r="E326" t="s">
        <v>33</v>
      </c>
      <c r="F326" t="s">
        <v>3</v>
      </c>
      <c r="G326" s="4">
        <v>4641</v>
      </c>
      <c r="H326" s="4">
        <v>215666.823</v>
      </c>
      <c r="I326" s="4">
        <v>193639.40700000001</v>
      </c>
      <c r="J326" s="1">
        <v>11.375482057740447</v>
      </c>
      <c r="K326" s="2">
        <v>2</v>
      </c>
      <c r="L326" s="1">
        <v>5</v>
      </c>
      <c r="M326" s="4">
        <v>46469.9</v>
      </c>
    </row>
    <row r="327" spans="1:13" x14ac:dyDescent="0.25">
      <c r="A327">
        <f>RANK(H327,H$13:H$798,0)</f>
        <v>315</v>
      </c>
      <c r="B327" s="2">
        <v>152318</v>
      </c>
      <c r="C327" t="s">
        <v>589</v>
      </c>
      <c r="D327" t="s">
        <v>590</v>
      </c>
      <c r="E327" t="s">
        <v>27</v>
      </c>
      <c r="F327" t="s">
        <v>3</v>
      </c>
      <c r="G327" s="4">
        <v>2267</v>
      </c>
      <c r="H327" s="4">
        <v>214555.065</v>
      </c>
      <c r="I327" s="4">
        <v>208832.29399999999</v>
      </c>
      <c r="J327" s="1">
        <v>2.7403668706526818</v>
      </c>
      <c r="K327" s="2">
        <v>2</v>
      </c>
      <c r="L327" s="1">
        <v>5</v>
      </c>
      <c r="M327" s="4">
        <v>94642.73</v>
      </c>
    </row>
    <row r="328" spans="1:13" x14ac:dyDescent="0.25">
      <c r="A328">
        <f>RANK(H328,H$13:H$798,0)</f>
        <v>316</v>
      </c>
      <c r="B328" s="2">
        <v>168281</v>
      </c>
      <c r="C328" t="s">
        <v>591</v>
      </c>
      <c r="D328" t="s">
        <v>592</v>
      </c>
      <c r="E328" t="s">
        <v>2</v>
      </c>
      <c r="F328" t="s">
        <v>3</v>
      </c>
      <c r="G328" s="4">
        <v>1754</v>
      </c>
      <c r="H328" s="4">
        <v>212982.44500000001</v>
      </c>
      <c r="I328" s="4">
        <v>211880.92800000001</v>
      </c>
      <c r="J328" s="1">
        <v>0.51987548402657202</v>
      </c>
      <c r="K328" s="2">
        <v>2</v>
      </c>
      <c r="L328" s="1">
        <v>2</v>
      </c>
      <c r="M328" s="4">
        <v>121426.71</v>
      </c>
    </row>
    <row r="329" spans="1:13" x14ac:dyDescent="0.25">
      <c r="A329">
        <f>RANK(H329,H$13:H$798,0)</f>
        <v>317</v>
      </c>
      <c r="B329" s="2">
        <v>150136</v>
      </c>
      <c r="C329" t="s">
        <v>1439</v>
      </c>
      <c r="D329" t="s">
        <v>593</v>
      </c>
      <c r="E329" t="s">
        <v>27</v>
      </c>
      <c r="F329" t="s">
        <v>75</v>
      </c>
      <c r="G329" s="4">
        <v>21884</v>
      </c>
      <c r="H329" s="4">
        <v>212833.755</v>
      </c>
      <c r="I329" s="4">
        <v>212884.6</v>
      </c>
      <c r="J329" s="1">
        <v>-2.3883831897657779E-2</v>
      </c>
      <c r="K329" s="2">
        <v>2</v>
      </c>
      <c r="L329" s="1">
        <v>4</v>
      </c>
      <c r="M329" s="4">
        <v>9725.5400000000009</v>
      </c>
    </row>
    <row r="330" spans="1:13" x14ac:dyDescent="0.25">
      <c r="A330">
        <f>RANK(H330,H$13:H$798,0)</f>
        <v>318</v>
      </c>
      <c r="B330" s="2">
        <v>198464</v>
      </c>
      <c r="C330" t="s">
        <v>594</v>
      </c>
      <c r="D330" t="s">
        <v>319</v>
      </c>
      <c r="E330" t="s">
        <v>36</v>
      </c>
      <c r="F330" t="s">
        <v>7</v>
      </c>
      <c r="G330" s="4">
        <v>25729</v>
      </c>
      <c r="H330" s="4">
        <v>212565.87273</v>
      </c>
      <c r="I330" s="4">
        <v>200769.61728999999</v>
      </c>
      <c r="J330" s="1">
        <v>5.8755182179587484</v>
      </c>
      <c r="K330" s="2">
        <v>2</v>
      </c>
      <c r="L330" s="1">
        <v>4</v>
      </c>
      <c r="M330" s="4">
        <v>8261.7199999999993</v>
      </c>
    </row>
    <row r="331" spans="1:13" x14ac:dyDescent="0.25">
      <c r="A331">
        <f>RANK(H331,H$13:H$798,0)</f>
        <v>319</v>
      </c>
      <c r="B331" s="2">
        <v>218973</v>
      </c>
      <c r="C331" t="s">
        <v>595</v>
      </c>
      <c r="D331" t="s">
        <v>596</v>
      </c>
      <c r="E331" t="s">
        <v>285</v>
      </c>
      <c r="F331" t="s">
        <v>3</v>
      </c>
      <c r="G331" s="4">
        <v>1655</v>
      </c>
      <c r="H331" s="4">
        <v>211672.56200000001</v>
      </c>
      <c r="I331" s="4">
        <v>205990.557</v>
      </c>
      <c r="J331" s="1">
        <v>2.7583812980320279</v>
      </c>
      <c r="K331" s="2">
        <v>2</v>
      </c>
      <c r="L331" s="1">
        <v>2</v>
      </c>
      <c r="M331" s="4">
        <v>127898.83</v>
      </c>
    </row>
    <row r="332" spans="1:13" x14ac:dyDescent="0.25">
      <c r="A332">
        <f>RANK(H332,H$13:H$798,0)</f>
        <v>320</v>
      </c>
      <c r="B332" s="2">
        <v>227216</v>
      </c>
      <c r="C332" t="s">
        <v>597</v>
      </c>
      <c r="D332" t="s">
        <v>598</v>
      </c>
      <c r="E332" t="s">
        <v>6</v>
      </c>
      <c r="F332" t="s">
        <v>75</v>
      </c>
      <c r="G332" s="4">
        <v>30559</v>
      </c>
      <c r="H332" s="4">
        <v>210623.63099999999</v>
      </c>
      <c r="I332" s="4">
        <v>192230.033</v>
      </c>
      <c r="J332" s="1">
        <v>9.5685350061818895</v>
      </c>
      <c r="K332" s="2">
        <v>2</v>
      </c>
      <c r="L332" s="1">
        <v>4</v>
      </c>
      <c r="M332" s="4">
        <v>6892.36</v>
      </c>
    </row>
    <row r="333" spans="1:13" x14ac:dyDescent="0.25">
      <c r="A333">
        <f>RANK(H333,H$13:H$798,0)</f>
        <v>321</v>
      </c>
      <c r="B333" s="2">
        <v>243133</v>
      </c>
      <c r="C333" t="s">
        <v>599</v>
      </c>
      <c r="D333" t="s">
        <v>600</v>
      </c>
      <c r="E333" t="s">
        <v>20</v>
      </c>
      <c r="F333" t="s">
        <v>3</v>
      </c>
      <c r="G333" s="4">
        <v>4948</v>
      </c>
      <c r="H333" s="4">
        <v>209760.43599999999</v>
      </c>
      <c r="I333" s="4">
        <v>205604.33100000001</v>
      </c>
      <c r="J333" s="1">
        <v>2.0214092669088672</v>
      </c>
      <c r="K333" s="2">
        <v>2</v>
      </c>
      <c r="L333" s="1">
        <v>2</v>
      </c>
      <c r="M333" s="4">
        <v>42392.97</v>
      </c>
    </row>
    <row r="334" spans="1:13" x14ac:dyDescent="0.25">
      <c r="A334">
        <f>RANK(H334,H$13:H$798,0)</f>
        <v>322</v>
      </c>
      <c r="B334" s="2">
        <v>174792</v>
      </c>
      <c r="C334" t="s">
        <v>601</v>
      </c>
      <c r="D334" t="s">
        <v>602</v>
      </c>
      <c r="E334" t="s">
        <v>95</v>
      </c>
      <c r="F334" t="s">
        <v>3</v>
      </c>
      <c r="G334" s="4">
        <v>1726</v>
      </c>
      <c r="H334" s="4">
        <v>208737.647</v>
      </c>
      <c r="I334" s="4">
        <v>196765.905</v>
      </c>
      <c r="J334" s="1">
        <v>6.0842563146293038</v>
      </c>
      <c r="K334" s="2">
        <v>2</v>
      </c>
      <c r="L334" s="1">
        <v>2</v>
      </c>
      <c r="M334" s="4">
        <v>120937.22</v>
      </c>
    </row>
    <row r="335" spans="1:13" ht="17.25" x14ac:dyDescent="0.25">
      <c r="A335">
        <f>RANK(H335,H$13:H$798,0)</f>
        <v>323</v>
      </c>
      <c r="B335" s="2">
        <v>228459</v>
      </c>
      <c r="C335" t="s">
        <v>1452</v>
      </c>
      <c r="D335" t="s">
        <v>603</v>
      </c>
      <c r="E335" t="s">
        <v>6</v>
      </c>
      <c r="F335" t="s">
        <v>87</v>
      </c>
      <c r="G335" s="4">
        <v>33271</v>
      </c>
      <c r="H335" s="4">
        <v>208459.06690999999</v>
      </c>
      <c r="I335" s="4">
        <v>204939.24698</v>
      </c>
      <c r="J335" s="1">
        <v>1.7174943217896654</v>
      </c>
      <c r="K335" s="2">
        <v>2</v>
      </c>
      <c r="L335" s="1">
        <v>4</v>
      </c>
      <c r="M335" s="4">
        <v>6265.49</v>
      </c>
    </row>
    <row r="336" spans="1:13" x14ac:dyDescent="0.25">
      <c r="A336">
        <f>RANK(H336,H$13:H$798,0)</f>
        <v>324</v>
      </c>
      <c r="B336" s="2">
        <v>145646</v>
      </c>
      <c r="C336" t="s">
        <v>604</v>
      </c>
      <c r="D336" t="s">
        <v>93</v>
      </c>
      <c r="E336" t="s">
        <v>30</v>
      </c>
      <c r="F336" t="s">
        <v>3</v>
      </c>
      <c r="G336" s="4">
        <v>1689</v>
      </c>
      <c r="H336" s="4">
        <v>206191.046</v>
      </c>
      <c r="I336" s="4">
        <v>205774.62599999999</v>
      </c>
      <c r="J336" s="1">
        <v>0.20236703042289228</v>
      </c>
      <c r="K336" s="2">
        <v>2</v>
      </c>
      <c r="L336" s="1">
        <v>2</v>
      </c>
      <c r="M336" s="4">
        <v>122078.77</v>
      </c>
    </row>
    <row r="337" spans="1:13" x14ac:dyDescent="0.25">
      <c r="A337">
        <f>RANK(H337,H$13:H$798,0)</f>
        <v>325</v>
      </c>
      <c r="B337" s="2">
        <v>180489</v>
      </c>
      <c r="C337" t="s">
        <v>605</v>
      </c>
      <c r="D337" t="s">
        <v>606</v>
      </c>
      <c r="E337" t="s">
        <v>607</v>
      </c>
      <c r="F337" t="s">
        <v>75</v>
      </c>
      <c r="G337" s="4">
        <v>10104</v>
      </c>
      <c r="H337" s="4">
        <v>205045.83300000001</v>
      </c>
      <c r="I337" s="4">
        <v>189509.58100000001</v>
      </c>
      <c r="J337" s="1">
        <v>8.1981353755407262</v>
      </c>
      <c r="K337" s="2">
        <v>2</v>
      </c>
      <c r="L337" s="1">
        <v>4</v>
      </c>
      <c r="M337" s="4">
        <v>20293.53</v>
      </c>
    </row>
    <row r="338" spans="1:13" x14ac:dyDescent="0.25">
      <c r="A338">
        <f>RANK(H338,H$13:H$798,0)</f>
        <v>326</v>
      </c>
      <c r="B338" s="2">
        <v>151801</v>
      </c>
      <c r="C338" t="s">
        <v>608</v>
      </c>
      <c r="D338" t="s">
        <v>609</v>
      </c>
      <c r="E338" t="s">
        <v>27</v>
      </c>
      <c r="F338" t="s">
        <v>3</v>
      </c>
      <c r="G338" s="4">
        <v>12653</v>
      </c>
      <c r="H338" s="4">
        <v>204472.44200000001</v>
      </c>
      <c r="I338" s="4">
        <v>190810.56299999999</v>
      </c>
      <c r="J338" s="1">
        <v>7.1599175565558264</v>
      </c>
      <c r="K338" s="2">
        <v>2</v>
      </c>
      <c r="L338" s="1">
        <v>3</v>
      </c>
      <c r="M338" s="4">
        <v>16160</v>
      </c>
    </row>
    <row r="339" spans="1:13" x14ac:dyDescent="0.25">
      <c r="A339">
        <f>RANK(H339,H$13:H$798,0)</f>
        <v>327</v>
      </c>
      <c r="B339" s="2">
        <v>162654</v>
      </c>
      <c r="C339" t="s">
        <v>610</v>
      </c>
      <c r="D339" t="s">
        <v>53</v>
      </c>
      <c r="E339" t="s">
        <v>54</v>
      </c>
      <c r="F339" t="s">
        <v>3</v>
      </c>
      <c r="G339" s="4">
        <v>1798</v>
      </c>
      <c r="H339" s="4">
        <v>203430</v>
      </c>
      <c r="I339" s="4">
        <v>214921</v>
      </c>
      <c r="J339" s="1">
        <v>-5.3466157332229054</v>
      </c>
      <c r="K339" s="2">
        <v>2</v>
      </c>
      <c r="L339" s="1">
        <v>2</v>
      </c>
      <c r="M339" s="4">
        <v>113142.38</v>
      </c>
    </row>
    <row r="340" spans="1:13" x14ac:dyDescent="0.25">
      <c r="A340">
        <f>RANK(H340,H$13:H$798,0)</f>
        <v>328</v>
      </c>
      <c r="B340" s="2">
        <v>173647</v>
      </c>
      <c r="C340" t="s">
        <v>611</v>
      </c>
      <c r="D340" t="s">
        <v>612</v>
      </c>
      <c r="E340" t="s">
        <v>95</v>
      </c>
      <c r="F340" t="s">
        <v>3</v>
      </c>
      <c r="G340" s="4">
        <v>2223</v>
      </c>
      <c r="H340" s="4">
        <v>203365.103</v>
      </c>
      <c r="I340" s="4">
        <v>185270.883</v>
      </c>
      <c r="J340" s="1">
        <v>9.7663592395141769</v>
      </c>
      <c r="K340" s="2">
        <v>2</v>
      </c>
      <c r="L340" s="1">
        <v>2</v>
      </c>
      <c r="M340" s="4">
        <v>91482.28</v>
      </c>
    </row>
    <row r="341" spans="1:13" x14ac:dyDescent="0.25">
      <c r="A341">
        <f>RANK(H341,H$13:H$798,0)</f>
        <v>329</v>
      </c>
      <c r="B341" s="2">
        <v>190044</v>
      </c>
      <c r="C341" t="s">
        <v>613</v>
      </c>
      <c r="D341" t="s">
        <v>614</v>
      </c>
      <c r="E341" t="s">
        <v>33</v>
      </c>
      <c r="F341" t="s">
        <v>3</v>
      </c>
      <c r="G341" s="4">
        <v>3859</v>
      </c>
      <c r="H341" s="4">
        <v>201698.465</v>
      </c>
      <c r="I341" s="4">
        <v>198326.351</v>
      </c>
      <c r="J341" s="1">
        <v>1.7002854048376062</v>
      </c>
      <c r="K341" s="2">
        <v>2</v>
      </c>
      <c r="L341" s="1">
        <v>4</v>
      </c>
      <c r="M341" s="4">
        <v>52267.03</v>
      </c>
    </row>
    <row r="342" spans="1:13" x14ac:dyDescent="0.25">
      <c r="A342">
        <f>RANK(H342,H$13:H$798,0)</f>
        <v>330</v>
      </c>
      <c r="B342" s="2">
        <v>152390</v>
      </c>
      <c r="C342" t="s">
        <v>615</v>
      </c>
      <c r="D342" t="s">
        <v>616</v>
      </c>
      <c r="E342" t="s">
        <v>27</v>
      </c>
      <c r="F342" t="s">
        <v>3</v>
      </c>
      <c r="G342" s="4">
        <v>1555</v>
      </c>
      <c r="H342" s="4">
        <v>201648.587</v>
      </c>
      <c r="I342" s="4">
        <v>192618.101</v>
      </c>
      <c r="J342" s="1">
        <v>4.688285240648284</v>
      </c>
      <c r="K342" s="2">
        <v>2</v>
      </c>
      <c r="L342" s="1">
        <v>2</v>
      </c>
      <c r="M342" s="4">
        <v>129677.55</v>
      </c>
    </row>
    <row r="343" spans="1:13" x14ac:dyDescent="0.25">
      <c r="A343">
        <f>RANK(H343,H$13:H$798,0)</f>
        <v>331</v>
      </c>
      <c r="B343" s="2">
        <v>107080</v>
      </c>
      <c r="C343" t="s">
        <v>617</v>
      </c>
      <c r="D343" t="s">
        <v>618</v>
      </c>
      <c r="E343" t="s">
        <v>204</v>
      </c>
      <c r="F343" t="s">
        <v>3</v>
      </c>
      <c r="G343" s="4">
        <v>1201</v>
      </c>
      <c r="H343" s="4">
        <v>200680.45300000001</v>
      </c>
      <c r="I343" s="4">
        <v>204964.30100000001</v>
      </c>
      <c r="J343" s="1">
        <v>-2.0900459148737309</v>
      </c>
      <c r="K343" s="2">
        <v>2</v>
      </c>
      <c r="L343" s="1">
        <v>2</v>
      </c>
      <c r="M343" s="4">
        <v>167094.47</v>
      </c>
    </row>
    <row r="344" spans="1:13" x14ac:dyDescent="0.25">
      <c r="A344">
        <f>RANK(H344,H$13:H$798,0)</f>
        <v>332</v>
      </c>
      <c r="B344" s="2">
        <v>206622</v>
      </c>
      <c r="C344" t="s">
        <v>619</v>
      </c>
      <c r="D344" t="s">
        <v>178</v>
      </c>
      <c r="E344" t="s">
        <v>63</v>
      </c>
      <c r="F344" t="s">
        <v>3</v>
      </c>
      <c r="G344" s="4">
        <v>5972</v>
      </c>
      <c r="H344" s="4">
        <v>199275</v>
      </c>
      <c r="I344" s="4">
        <v>179577</v>
      </c>
      <c r="J344" s="1">
        <v>10.969110743580748</v>
      </c>
      <c r="K344" s="2">
        <v>2</v>
      </c>
      <c r="L344" s="1">
        <v>3</v>
      </c>
      <c r="M344" s="4">
        <v>33368.22</v>
      </c>
    </row>
    <row r="345" spans="1:13" x14ac:dyDescent="0.25">
      <c r="A345">
        <f>RANK(H345,H$13:H$798,0)</f>
        <v>333</v>
      </c>
      <c r="B345" s="2">
        <v>228149</v>
      </c>
      <c r="C345" t="s">
        <v>620</v>
      </c>
      <c r="D345" t="s">
        <v>196</v>
      </c>
      <c r="E345" t="s">
        <v>6</v>
      </c>
      <c r="F345" t="s">
        <v>3</v>
      </c>
      <c r="G345" s="4">
        <v>3340</v>
      </c>
      <c r="H345" s="4">
        <v>196463</v>
      </c>
      <c r="I345" s="4">
        <v>196013</v>
      </c>
      <c r="J345" s="1">
        <v>0.22957660971466179</v>
      </c>
      <c r="K345" s="2">
        <v>2</v>
      </c>
      <c r="L345" s="1">
        <v>3</v>
      </c>
      <c r="M345" s="4">
        <v>58821.26</v>
      </c>
    </row>
    <row r="346" spans="1:13" x14ac:dyDescent="0.25">
      <c r="A346">
        <f>RANK(H346,H$13:H$798,0)</f>
        <v>334</v>
      </c>
      <c r="B346" s="2">
        <v>118888</v>
      </c>
      <c r="C346" t="s">
        <v>621</v>
      </c>
      <c r="D346" t="s">
        <v>31</v>
      </c>
      <c r="E346" t="s">
        <v>12</v>
      </c>
      <c r="F346" t="s">
        <v>3</v>
      </c>
      <c r="G346" s="4">
        <v>1034</v>
      </c>
      <c r="H346" s="4">
        <v>196403.97500000001</v>
      </c>
      <c r="I346" s="4">
        <v>191278.617</v>
      </c>
      <c r="J346" s="1">
        <v>2.6795248106587928</v>
      </c>
      <c r="K346" s="2">
        <v>2</v>
      </c>
      <c r="L346" s="1">
        <v>3</v>
      </c>
      <c r="M346" s="4">
        <v>189945.82</v>
      </c>
    </row>
    <row r="347" spans="1:13" x14ac:dyDescent="0.25">
      <c r="A347">
        <f>RANK(H347,H$13:H$798,0)</f>
        <v>335</v>
      </c>
      <c r="B347" s="2">
        <v>167783</v>
      </c>
      <c r="C347" t="s">
        <v>622</v>
      </c>
      <c r="D347" t="s">
        <v>1</v>
      </c>
      <c r="E347" t="s">
        <v>2</v>
      </c>
      <c r="F347" t="s">
        <v>3</v>
      </c>
      <c r="G347" s="4">
        <v>6060</v>
      </c>
      <c r="H347" s="4">
        <v>195839.71</v>
      </c>
      <c r="I347" s="4">
        <v>194859.386</v>
      </c>
      <c r="J347" s="1">
        <v>0.50309303550817575</v>
      </c>
      <c r="K347" s="2">
        <v>2</v>
      </c>
      <c r="L347" s="1">
        <v>4</v>
      </c>
      <c r="M347" s="4">
        <v>32316.78</v>
      </c>
    </row>
    <row r="348" spans="1:13" x14ac:dyDescent="0.25">
      <c r="A348">
        <f>RANK(H348,H$13:H$798,0)</f>
        <v>336</v>
      </c>
      <c r="B348" s="2">
        <v>225247</v>
      </c>
      <c r="C348" t="s">
        <v>623</v>
      </c>
      <c r="D348" t="s">
        <v>404</v>
      </c>
      <c r="E348" t="s">
        <v>6</v>
      </c>
      <c r="F348" t="s">
        <v>3</v>
      </c>
      <c r="G348" s="4">
        <v>2148</v>
      </c>
      <c r="H348" s="4">
        <v>194707.799</v>
      </c>
      <c r="I348" s="4">
        <v>154624.935</v>
      </c>
      <c r="J348" s="1">
        <v>25.922639191408553</v>
      </c>
      <c r="K348" s="2">
        <v>2</v>
      </c>
      <c r="L348" s="1">
        <v>3</v>
      </c>
      <c r="M348" s="4">
        <v>90646.09</v>
      </c>
    </row>
    <row r="349" spans="1:13" x14ac:dyDescent="0.25">
      <c r="A349">
        <f>RANK(H349,H$13:H$798,0)</f>
        <v>337</v>
      </c>
      <c r="B349" s="2">
        <v>194310</v>
      </c>
      <c r="C349" t="s">
        <v>624</v>
      </c>
      <c r="D349" t="s">
        <v>625</v>
      </c>
      <c r="E349" t="s">
        <v>33</v>
      </c>
      <c r="F349" t="s">
        <v>3</v>
      </c>
      <c r="G349" s="4">
        <v>11330</v>
      </c>
      <c r="H349" s="4">
        <v>193048.64199999999</v>
      </c>
      <c r="I349" s="4">
        <v>181853.82</v>
      </c>
      <c r="J349" s="1">
        <v>6.1559454731278036</v>
      </c>
      <c r="K349" s="2">
        <v>2</v>
      </c>
      <c r="L349" s="1">
        <v>4</v>
      </c>
      <c r="M349" s="4">
        <v>17038.72</v>
      </c>
    </row>
    <row r="350" spans="1:13" x14ac:dyDescent="0.25">
      <c r="A350">
        <f>RANK(H350,H$13:H$798,0)</f>
        <v>338</v>
      </c>
      <c r="B350" s="3">
        <v>105330</v>
      </c>
      <c r="C350" t="s">
        <v>626</v>
      </c>
      <c r="D350" t="s">
        <v>627</v>
      </c>
      <c r="E350" t="s">
        <v>228</v>
      </c>
      <c r="F350" t="s">
        <v>75</v>
      </c>
      <c r="G350" s="5" t="s">
        <v>1363</v>
      </c>
      <c r="H350" s="4">
        <v>192621.24400000001</v>
      </c>
      <c r="I350" s="4">
        <v>186219.20699999999</v>
      </c>
      <c r="J350" s="1">
        <v>3.4379036959383096</v>
      </c>
      <c r="K350" s="2">
        <v>2</v>
      </c>
      <c r="L350" s="1">
        <v>4</v>
      </c>
      <c r="M350" s="5" t="s">
        <v>1363</v>
      </c>
    </row>
    <row r="351" spans="1:13" x14ac:dyDescent="0.25">
      <c r="A351">
        <f>RANK(H351,H$13:H$798,0)</f>
        <v>339</v>
      </c>
      <c r="B351" s="2">
        <v>157818</v>
      </c>
      <c r="C351" t="s">
        <v>628</v>
      </c>
      <c r="D351" t="s">
        <v>141</v>
      </c>
      <c r="E351" t="s">
        <v>170</v>
      </c>
      <c r="F351" t="s">
        <v>3</v>
      </c>
      <c r="G351" s="4">
        <v>978</v>
      </c>
      <c r="H351" s="4">
        <v>191238.17</v>
      </c>
      <c r="I351" s="4">
        <v>174646.533</v>
      </c>
      <c r="J351" s="1">
        <v>9.5001238873719966</v>
      </c>
      <c r="K351" s="2">
        <v>2</v>
      </c>
      <c r="L351" s="1">
        <v>2</v>
      </c>
      <c r="M351" s="4">
        <v>195540.05</v>
      </c>
    </row>
    <row r="352" spans="1:13" x14ac:dyDescent="0.25">
      <c r="A352">
        <f>RANK(H352,H$13:H$798,0)</f>
        <v>340</v>
      </c>
      <c r="B352" s="2">
        <v>169248</v>
      </c>
      <c r="C352" t="s">
        <v>629</v>
      </c>
      <c r="D352" t="s">
        <v>630</v>
      </c>
      <c r="E352" t="s">
        <v>24</v>
      </c>
      <c r="F352" t="s">
        <v>7</v>
      </c>
      <c r="G352" s="4">
        <v>24799</v>
      </c>
      <c r="H352" s="4">
        <v>189321.75599999999</v>
      </c>
      <c r="I352" s="4">
        <v>181973.09299999999</v>
      </c>
      <c r="J352" s="1">
        <v>4.0383239515525515</v>
      </c>
      <c r="K352" s="2">
        <v>2</v>
      </c>
      <c r="L352" s="1">
        <v>4</v>
      </c>
      <c r="M352" s="4">
        <v>7634.25</v>
      </c>
    </row>
    <row r="353" spans="1:13" x14ac:dyDescent="0.25">
      <c r="A353">
        <f>RANK(H353,H$13:H$798,0)</f>
        <v>341</v>
      </c>
      <c r="B353" s="2">
        <v>131450</v>
      </c>
      <c r="C353" t="s">
        <v>631</v>
      </c>
      <c r="D353" t="s">
        <v>129</v>
      </c>
      <c r="E353" t="s">
        <v>130</v>
      </c>
      <c r="F353" t="s">
        <v>3</v>
      </c>
      <c r="G353" s="4">
        <v>1413</v>
      </c>
      <c r="H353" s="4">
        <v>188190.05600000001</v>
      </c>
      <c r="I353" s="4">
        <v>182003.092</v>
      </c>
      <c r="J353" s="1">
        <v>3.3993730172452272</v>
      </c>
      <c r="K353" s="2">
        <v>2</v>
      </c>
      <c r="L353" s="1">
        <v>4</v>
      </c>
      <c r="M353" s="4">
        <v>133184.75</v>
      </c>
    </row>
    <row r="354" spans="1:13" x14ac:dyDescent="0.25">
      <c r="A354">
        <f>RANK(H354,H$13:H$798,0)</f>
        <v>342</v>
      </c>
      <c r="B354" s="2">
        <v>166452</v>
      </c>
      <c r="C354" t="s">
        <v>632</v>
      </c>
      <c r="D354" t="s">
        <v>363</v>
      </c>
      <c r="E354" t="s">
        <v>2</v>
      </c>
      <c r="F354" t="s">
        <v>3</v>
      </c>
      <c r="G354" s="4">
        <v>3318</v>
      </c>
      <c r="H354" s="4">
        <v>187972.39499999999</v>
      </c>
      <c r="I354" s="4">
        <v>188811.94</v>
      </c>
      <c r="J354" s="1">
        <v>-0.44464613837451844</v>
      </c>
      <c r="K354" s="2">
        <v>2</v>
      </c>
      <c r="L354" s="1">
        <v>4</v>
      </c>
      <c r="M354" s="4">
        <v>56652.32</v>
      </c>
    </row>
    <row r="355" spans="1:13" x14ac:dyDescent="0.25">
      <c r="A355">
        <f>RANK(H355,H$13:H$798,0)</f>
        <v>343</v>
      </c>
      <c r="B355" s="2">
        <v>188429</v>
      </c>
      <c r="C355" t="s">
        <v>633</v>
      </c>
      <c r="D355" t="s">
        <v>634</v>
      </c>
      <c r="E355" t="s">
        <v>33</v>
      </c>
      <c r="F355" t="s">
        <v>3</v>
      </c>
      <c r="G355" s="4">
        <v>7311</v>
      </c>
      <c r="H355" s="4">
        <v>187210.511</v>
      </c>
      <c r="I355" s="4">
        <v>183403.99799999999</v>
      </c>
      <c r="J355" s="1">
        <v>2.0754798376859847</v>
      </c>
      <c r="K355" s="2">
        <v>2</v>
      </c>
      <c r="L355" s="1">
        <v>4</v>
      </c>
      <c r="M355" s="4">
        <v>25606.69</v>
      </c>
    </row>
    <row r="356" spans="1:13" x14ac:dyDescent="0.25">
      <c r="A356">
        <f>RANK(H356,H$13:H$798,0)</f>
        <v>344</v>
      </c>
      <c r="B356" s="2">
        <v>112251</v>
      </c>
      <c r="C356" t="s">
        <v>635</v>
      </c>
      <c r="D356" t="s">
        <v>99</v>
      </c>
      <c r="E356" t="s">
        <v>12</v>
      </c>
      <c r="F356" t="s">
        <v>3</v>
      </c>
      <c r="G356" s="4">
        <v>1506</v>
      </c>
      <c r="H356" s="4">
        <v>186766.435</v>
      </c>
      <c r="I356" s="4">
        <v>186499.64600000001</v>
      </c>
      <c r="J356" s="1">
        <v>0.14305067367258689</v>
      </c>
      <c r="K356" s="2">
        <v>2</v>
      </c>
      <c r="L356" s="1">
        <v>4</v>
      </c>
      <c r="M356" s="4">
        <v>124014.9</v>
      </c>
    </row>
    <row r="357" spans="1:13" x14ac:dyDescent="0.25">
      <c r="A357">
        <f>RANK(H357,H$13:H$798,0)</f>
        <v>345</v>
      </c>
      <c r="B357" s="2">
        <v>102094</v>
      </c>
      <c r="C357" t="s">
        <v>660</v>
      </c>
      <c r="D357" t="s">
        <v>428</v>
      </c>
      <c r="E357" t="s">
        <v>150</v>
      </c>
      <c r="F357" t="s">
        <v>7</v>
      </c>
      <c r="G357" s="4">
        <v>13145</v>
      </c>
      <c r="H357" s="4">
        <v>185281</v>
      </c>
      <c r="I357" s="4">
        <v>177817.47099999999</v>
      </c>
      <c r="J357" s="1">
        <v>4.2</v>
      </c>
      <c r="K357" s="2">
        <v>2</v>
      </c>
      <c r="L357" s="1">
        <v>4</v>
      </c>
      <c r="M357" s="4">
        <v>14095</v>
      </c>
    </row>
    <row r="358" spans="1:13" x14ac:dyDescent="0.25">
      <c r="A358">
        <f>RANK(H358,H$13:H$798,0)</f>
        <v>346</v>
      </c>
      <c r="B358" s="2">
        <v>217165</v>
      </c>
      <c r="C358" t="s">
        <v>636</v>
      </c>
      <c r="D358" t="s">
        <v>637</v>
      </c>
      <c r="E358" t="s">
        <v>69</v>
      </c>
      <c r="F358" t="s">
        <v>3</v>
      </c>
      <c r="G358" s="4">
        <v>3640</v>
      </c>
      <c r="H358" s="4">
        <v>184752.56599999999</v>
      </c>
      <c r="I358" s="4">
        <v>184623.76500000001</v>
      </c>
      <c r="J358" s="1">
        <v>6.9764041481863201E-2</v>
      </c>
      <c r="K358" s="2">
        <v>2</v>
      </c>
      <c r="L358" s="1">
        <v>3</v>
      </c>
      <c r="M358" s="4">
        <v>50756.2</v>
      </c>
    </row>
    <row r="359" spans="1:13" x14ac:dyDescent="0.25">
      <c r="A359">
        <f>RANK(H359,H$13:H$798,0)</f>
        <v>347</v>
      </c>
      <c r="B359" s="2">
        <v>184348</v>
      </c>
      <c r="C359" t="s">
        <v>638</v>
      </c>
      <c r="D359" t="s">
        <v>73</v>
      </c>
      <c r="E359" t="s">
        <v>15</v>
      </c>
      <c r="F359" t="s">
        <v>3</v>
      </c>
      <c r="G359" s="4">
        <v>2009</v>
      </c>
      <c r="H359" s="4">
        <v>183108</v>
      </c>
      <c r="I359" s="4">
        <v>175478</v>
      </c>
      <c r="J359" s="1">
        <v>4.3481234114817813</v>
      </c>
      <c r="K359" s="2">
        <v>2</v>
      </c>
      <c r="L359" s="1">
        <v>2</v>
      </c>
      <c r="M359" s="4">
        <v>91143.85</v>
      </c>
    </row>
    <row r="360" spans="1:13" x14ac:dyDescent="0.25">
      <c r="A360">
        <f>RANK(H360,H$13:H$798,0)</f>
        <v>348</v>
      </c>
      <c r="B360" s="2">
        <v>129525</v>
      </c>
      <c r="C360" t="s">
        <v>639</v>
      </c>
      <c r="D360" t="s">
        <v>640</v>
      </c>
      <c r="E360" t="s">
        <v>10</v>
      </c>
      <c r="F360" t="s">
        <v>3</v>
      </c>
      <c r="G360" s="4">
        <v>5772</v>
      </c>
      <c r="H360" s="4">
        <v>182812</v>
      </c>
      <c r="I360" s="4">
        <v>178755</v>
      </c>
      <c r="J360" s="1">
        <v>2.2695868647030855</v>
      </c>
      <c r="K360" s="2">
        <v>2</v>
      </c>
      <c r="L360" s="1">
        <v>4</v>
      </c>
      <c r="M360" s="4">
        <v>31672.21</v>
      </c>
    </row>
    <row r="361" spans="1:13" x14ac:dyDescent="0.25">
      <c r="A361">
        <f>RANK(H361,H$13:H$798,0)</f>
        <v>349</v>
      </c>
      <c r="B361" s="2">
        <v>232308</v>
      </c>
      <c r="C361" t="s">
        <v>641</v>
      </c>
      <c r="D361" t="s">
        <v>642</v>
      </c>
      <c r="E361" t="s">
        <v>49</v>
      </c>
      <c r="F361" t="s">
        <v>3</v>
      </c>
      <c r="G361" s="4">
        <v>796</v>
      </c>
      <c r="H361" s="4">
        <v>182729.24100000001</v>
      </c>
      <c r="I361" s="4">
        <v>186344.766</v>
      </c>
      <c r="J361" s="1">
        <v>-1.9402342644815656</v>
      </c>
      <c r="K361" s="2">
        <v>2</v>
      </c>
      <c r="L361" s="1">
        <v>2</v>
      </c>
      <c r="M361" s="4">
        <v>229559.35</v>
      </c>
    </row>
    <row r="362" spans="1:13" x14ac:dyDescent="0.25">
      <c r="A362">
        <f>RANK(H362,H$13:H$798,0)</f>
        <v>350</v>
      </c>
      <c r="B362" s="2">
        <v>188030</v>
      </c>
      <c r="C362" t="s">
        <v>643</v>
      </c>
      <c r="D362" t="s">
        <v>644</v>
      </c>
      <c r="E362" t="s">
        <v>399</v>
      </c>
      <c r="F362" t="s">
        <v>7</v>
      </c>
      <c r="G362" s="4">
        <v>18847</v>
      </c>
      <c r="H362" s="4">
        <v>182676.31200000001</v>
      </c>
      <c r="I362" s="4">
        <v>175633.22099999999</v>
      </c>
      <c r="J362" s="1">
        <v>4.0101132120101672</v>
      </c>
      <c r="K362" s="2">
        <v>2</v>
      </c>
      <c r="L362" s="1">
        <v>4</v>
      </c>
      <c r="M362" s="4">
        <v>9692.59</v>
      </c>
    </row>
    <row r="363" spans="1:13" x14ac:dyDescent="0.25">
      <c r="A363">
        <f>RANK(H363,H$13:H$798,0)</f>
        <v>351</v>
      </c>
      <c r="B363" s="2">
        <v>121691</v>
      </c>
      <c r="C363" t="s">
        <v>645</v>
      </c>
      <c r="D363" t="s">
        <v>646</v>
      </c>
      <c r="E363" t="s">
        <v>12</v>
      </c>
      <c r="F363" t="s">
        <v>3</v>
      </c>
      <c r="G363" s="4">
        <v>4278</v>
      </c>
      <c r="H363" s="4">
        <v>182278.03</v>
      </c>
      <c r="I363" s="4">
        <v>175943.302</v>
      </c>
      <c r="J363" s="1">
        <v>3.6004371453708437</v>
      </c>
      <c r="K363" s="2">
        <v>2</v>
      </c>
      <c r="L363" s="1">
        <v>3</v>
      </c>
      <c r="M363" s="4">
        <v>42608.24</v>
      </c>
    </row>
    <row r="364" spans="1:13" x14ac:dyDescent="0.25">
      <c r="A364">
        <f>RANK(H364,H$13:H$798,0)</f>
        <v>352</v>
      </c>
      <c r="B364" s="2">
        <v>123554</v>
      </c>
      <c r="C364" t="s">
        <v>647</v>
      </c>
      <c r="D364" t="s">
        <v>648</v>
      </c>
      <c r="E364" t="s">
        <v>12</v>
      </c>
      <c r="F364" t="s">
        <v>3</v>
      </c>
      <c r="G364" s="4">
        <v>3425</v>
      </c>
      <c r="H364" s="4">
        <v>181312.57800000001</v>
      </c>
      <c r="I364" s="4">
        <v>180473.70600000001</v>
      </c>
      <c r="J364" s="1">
        <v>0.46481674178065746</v>
      </c>
      <c r="K364" s="2">
        <v>2</v>
      </c>
      <c r="L364" s="1">
        <v>3</v>
      </c>
      <c r="M364" s="4">
        <v>52937.98</v>
      </c>
    </row>
    <row r="365" spans="1:13" x14ac:dyDescent="0.25">
      <c r="A365">
        <f>RANK(H365,H$13:H$798,0)</f>
        <v>353</v>
      </c>
      <c r="B365" s="2">
        <v>180461</v>
      </c>
      <c r="C365" t="s">
        <v>649</v>
      </c>
      <c r="D365" t="s">
        <v>650</v>
      </c>
      <c r="E365" t="s">
        <v>607</v>
      </c>
      <c r="F365" t="s">
        <v>75</v>
      </c>
      <c r="G365" s="4">
        <v>14919</v>
      </c>
      <c r="H365" s="4">
        <v>180167.891</v>
      </c>
      <c r="I365" s="4">
        <v>178155.51</v>
      </c>
      <c r="J365" s="1">
        <v>1.1295642778603894</v>
      </c>
      <c r="K365" s="2">
        <v>2</v>
      </c>
      <c r="L365" s="1">
        <v>4</v>
      </c>
      <c r="M365" s="4">
        <v>12076.41</v>
      </c>
    </row>
    <row r="366" spans="1:13" x14ac:dyDescent="0.25">
      <c r="A366">
        <f>RANK(H366,H$13:H$798,0)</f>
        <v>354</v>
      </c>
      <c r="B366" s="2">
        <v>201195</v>
      </c>
      <c r="C366" t="s">
        <v>651</v>
      </c>
      <c r="D366" t="s">
        <v>206</v>
      </c>
      <c r="E366" t="s">
        <v>63</v>
      </c>
      <c r="F366" t="s">
        <v>3</v>
      </c>
      <c r="G366" s="4">
        <v>3383</v>
      </c>
      <c r="H366" s="4">
        <v>179533.31899999999</v>
      </c>
      <c r="I366" s="4">
        <v>174762.90299999999</v>
      </c>
      <c r="J366" s="1">
        <v>2.7296502393302529</v>
      </c>
      <c r="K366" s="2">
        <v>2</v>
      </c>
      <c r="L366" s="1">
        <v>3</v>
      </c>
      <c r="M366" s="4">
        <v>53069.26</v>
      </c>
    </row>
    <row r="367" spans="1:13" x14ac:dyDescent="0.25">
      <c r="A367">
        <f>RANK(H367,H$13:H$798,0)</f>
        <v>355</v>
      </c>
      <c r="B367" s="2">
        <v>111081</v>
      </c>
      <c r="C367" t="s">
        <v>652</v>
      </c>
      <c r="D367" t="s">
        <v>653</v>
      </c>
      <c r="E367" t="s">
        <v>12</v>
      </c>
      <c r="F367" t="s">
        <v>3</v>
      </c>
      <c r="G367" s="4">
        <v>1496.5</v>
      </c>
      <c r="H367" s="4">
        <v>178839.34400000001</v>
      </c>
      <c r="I367" s="4">
        <v>173336.20199999999</v>
      </c>
      <c r="J367" s="1">
        <v>3.1748370718310897</v>
      </c>
      <c r="K367" s="2">
        <v>2</v>
      </c>
      <c r="L367" s="1">
        <v>5</v>
      </c>
      <c r="M367" s="4">
        <v>119505.07</v>
      </c>
    </row>
    <row r="368" spans="1:13" x14ac:dyDescent="0.25">
      <c r="A368">
        <f>RANK(H368,H$13:H$798,0)</f>
        <v>356</v>
      </c>
      <c r="B368" s="2">
        <v>139940</v>
      </c>
      <c r="C368" t="s">
        <v>656</v>
      </c>
      <c r="D368" t="s">
        <v>43</v>
      </c>
      <c r="E368" t="s">
        <v>44</v>
      </c>
      <c r="F368" t="s">
        <v>75</v>
      </c>
      <c r="G368" s="4">
        <v>39768</v>
      </c>
      <c r="H368" s="4">
        <v>178774</v>
      </c>
      <c r="I368" s="4">
        <v>167113.90100000001</v>
      </c>
      <c r="J368" s="1">
        <v>7</v>
      </c>
      <c r="K368" s="2">
        <v>2</v>
      </c>
      <c r="L368" s="1">
        <v>4</v>
      </c>
      <c r="M368" s="4">
        <v>4495</v>
      </c>
    </row>
    <row r="369" spans="1:13" x14ac:dyDescent="0.25">
      <c r="A369">
        <f>RANK(H369,H$13:H$798,0)</f>
        <v>357</v>
      </c>
      <c r="B369" s="2">
        <v>232256</v>
      </c>
      <c r="C369" t="s">
        <v>654</v>
      </c>
      <c r="D369" t="s">
        <v>655</v>
      </c>
      <c r="E369" t="s">
        <v>49</v>
      </c>
      <c r="F369" t="s">
        <v>3</v>
      </c>
      <c r="G369" s="4">
        <v>1072</v>
      </c>
      <c r="H369" s="4">
        <v>177826.924</v>
      </c>
      <c r="I369" s="4">
        <v>170668.25099999999</v>
      </c>
      <c r="J369" s="1">
        <v>4.1944960225789218</v>
      </c>
      <c r="K369" s="2">
        <v>2</v>
      </c>
      <c r="L369" s="1">
        <v>2</v>
      </c>
      <c r="M369" s="4">
        <v>165883.32</v>
      </c>
    </row>
    <row r="370" spans="1:13" x14ac:dyDescent="0.25">
      <c r="A370">
        <f>RANK(H370,H$13:H$798,0)</f>
        <v>358</v>
      </c>
      <c r="B370" s="2">
        <v>130253</v>
      </c>
      <c r="C370" t="s">
        <v>657</v>
      </c>
      <c r="D370" t="s">
        <v>442</v>
      </c>
      <c r="E370" t="s">
        <v>10</v>
      </c>
      <c r="F370" t="s">
        <v>3</v>
      </c>
      <c r="G370" s="4">
        <v>7202</v>
      </c>
      <c r="H370" s="4">
        <v>177133.37400000001</v>
      </c>
      <c r="I370" s="4">
        <v>167403.99900000001</v>
      </c>
      <c r="J370" s="1">
        <v>5.8119131311791419</v>
      </c>
      <c r="K370" s="2">
        <v>2</v>
      </c>
      <c r="L370" s="1">
        <v>4</v>
      </c>
      <c r="M370" s="4">
        <v>24595.03</v>
      </c>
    </row>
    <row r="371" spans="1:13" x14ac:dyDescent="0.25">
      <c r="A371">
        <f>RANK(H371,H$13:H$798,0)</f>
        <v>359</v>
      </c>
      <c r="B371" s="2">
        <v>169080</v>
      </c>
      <c r="C371" t="s">
        <v>658</v>
      </c>
      <c r="D371" t="s">
        <v>659</v>
      </c>
      <c r="E371" t="s">
        <v>24</v>
      </c>
      <c r="F371" t="s">
        <v>3</v>
      </c>
      <c r="G371" s="4">
        <v>3561</v>
      </c>
      <c r="H371" s="4">
        <v>176538.334</v>
      </c>
      <c r="I371" s="4">
        <v>160768.715</v>
      </c>
      <c r="J371" s="1">
        <v>9.8088853916634253</v>
      </c>
      <c r="K371" s="2">
        <v>2</v>
      </c>
      <c r="L371" s="1">
        <v>3</v>
      </c>
      <c r="M371" s="4">
        <v>49575.49</v>
      </c>
    </row>
    <row r="372" spans="1:13" x14ac:dyDescent="0.25">
      <c r="A372">
        <f>RANK(H372,H$13:H$798,0)</f>
        <v>360</v>
      </c>
      <c r="B372" s="2">
        <v>157951</v>
      </c>
      <c r="C372" t="s">
        <v>661</v>
      </c>
      <c r="D372" t="s">
        <v>662</v>
      </c>
      <c r="E372" t="s">
        <v>170</v>
      </c>
      <c r="F372" t="s">
        <v>75</v>
      </c>
      <c r="G372" s="4">
        <v>15954</v>
      </c>
      <c r="H372" s="4">
        <v>175186.052</v>
      </c>
      <c r="I372" s="4">
        <v>163151.48199999999</v>
      </c>
      <c r="J372" s="1">
        <v>7.3763166919930327</v>
      </c>
      <c r="K372" s="2">
        <v>2</v>
      </c>
      <c r="L372" s="1">
        <v>4</v>
      </c>
      <c r="M372" s="4">
        <v>10980.7</v>
      </c>
    </row>
    <row r="373" spans="1:13" x14ac:dyDescent="0.25">
      <c r="A373">
        <f>RANK(H373,H$13:H$798,0)</f>
        <v>361</v>
      </c>
      <c r="B373" s="2">
        <v>216278</v>
      </c>
      <c r="C373" t="s">
        <v>663</v>
      </c>
      <c r="D373" t="s">
        <v>664</v>
      </c>
      <c r="E373" t="s">
        <v>20</v>
      </c>
      <c r="F373" t="s">
        <v>3</v>
      </c>
      <c r="G373" s="4">
        <v>2243</v>
      </c>
      <c r="H373" s="4">
        <v>173196.58</v>
      </c>
      <c r="I373" s="4">
        <v>167878.04300000001</v>
      </c>
      <c r="J373" s="1">
        <v>3.1680956633500799</v>
      </c>
      <c r="K373" s="2">
        <v>2</v>
      </c>
      <c r="L373" s="1">
        <v>2</v>
      </c>
      <c r="M373" s="4">
        <v>77216.490000000005</v>
      </c>
    </row>
    <row r="374" spans="1:13" x14ac:dyDescent="0.25">
      <c r="A374">
        <f>RANK(H374,H$13:H$798,0)</f>
        <v>362</v>
      </c>
      <c r="B374" s="2">
        <v>143084</v>
      </c>
      <c r="C374" t="s">
        <v>665</v>
      </c>
      <c r="D374" t="s">
        <v>666</v>
      </c>
      <c r="E374" t="s">
        <v>30</v>
      </c>
      <c r="F374" t="s">
        <v>3</v>
      </c>
      <c r="G374" s="4">
        <v>2537</v>
      </c>
      <c r="H374" s="4">
        <v>172846.11300000001</v>
      </c>
      <c r="I374" s="4">
        <v>168133.807</v>
      </c>
      <c r="J374" s="1">
        <v>2.8027117711074081</v>
      </c>
      <c r="K374" s="2">
        <v>2</v>
      </c>
      <c r="L374" s="1">
        <v>2</v>
      </c>
      <c r="M374" s="4">
        <v>68130.12</v>
      </c>
    </row>
    <row r="375" spans="1:13" x14ac:dyDescent="0.25">
      <c r="A375">
        <f>RANK(H375,H$13:H$798,0)</f>
        <v>363</v>
      </c>
      <c r="B375" s="2">
        <v>143853</v>
      </c>
      <c r="C375" t="s">
        <v>667</v>
      </c>
      <c r="D375" t="s">
        <v>668</v>
      </c>
      <c r="E375" t="s">
        <v>30</v>
      </c>
      <c r="F375" t="s">
        <v>3</v>
      </c>
      <c r="G375" s="4">
        <v>6855</v>
      </c>
      <c r="H375" s="4">
        <v>170497.69099999999</v>
      </c>
      <c r="I375" s="4">
        <v>154812.16399999999</v>
      </c>
      <c r="J375" s="1">
        <v>10.131973221432396</v>
      </c>
      <c r="K375" s="2">
        <v>2</v>
      </c>
      <c r="L375" s="1">
        <v>5</v>
      </c>
      <c r="M375" s="4">
        <v>24872.02</v>
      </c>
    </row>
    <row r="376" spans="1:13" x14ac:dyDescent="0.25">
      <c r="A376">
        <f>RANK(H376,H$13:H$798,0)</f>
        <v>364</v>
      </c>
      <c r="B376" s="2">
        <v>110556</v>
      </c>
      <c r="C376" t="s">
        <v>669</v>
      </c>
      <c r="D376" t="s">
        <v>670</v>
      </c>
      <c r="E376" t="s">
        <v>12</v>
      </c>
      <c r="F376" t="s">
        <v>87</v>
      </c>
      <c r="G376" s="4">
        <v>23155</v>
      </c>
      <c r="H376" s="4">
        <v>170314.606</v>
      </c>
      <c r="I376" s="4">
        <v>161563.98199999999</v>
      </c>
      <c r="J376" s="1">
        <v>5.4161972809013896</v>
      </c>
      <c r="K376" s="2">
        <v>2</v>
      </c>
      <c r="L376" s="1">
        <v>4</v>
      </c>
      <c r="M376" s="4">
        <v>7355.41</v>
      </c>
    </row>
    <row r="377" spans="1:13" x14ac:dyDescent="0.25">
      <c r="A377">
        <f>RANK(H377,H$13:H$798,0)</f>
        <v>365</v>
      </c>
      <c r="B377" s="2">
        <v>146427</v>
      </c>
      <c r="C377" t="s">
        <v>671</v>
      </c>
      <c r="D377" t="s">
        <v>672</v>
      </c>
      <c r="E377" t="s">
        <v>30</v>
      </c>
      <c r="F377" t="s">
        <v>3</v>
      </c>
      <c r="G377" s="4">
        <v>1318</v>
      </c>
      <c r="H377" s="4">
        <v>170174.02</v>
      </c>
      <c r="I377" s="4">
        <v>160083.65900000001</v>
      </c>
      <c r="J377" s="1">
        <v>6.3031798892102877</v>
      </c>
      <c r="K377" s="2">
        <v>2</v>
      </c>
      <c r="L377" s="1">
        <v>2</v>
      </c>
      <c r="M377" s="4">
        <v>129115.34</v>
      </c>
    </row>
    <row r="378" spans="1:13" x14ac:dyDescent="0.25">
      <c r="A378">
        <f>RANK(H378,H$13:H$798,0)</f>
        <v>366</v>
      </c>
      <c r="B378" s="2">
        <v>154235</v>
      </c>
      <c r="C378" t="s">
        <v>673</v>
      </c>
      <c r="D378" t="s">
        <v>674</v>
      </c>
      <c r="E378" t="s">
        <v>113</v>
      </c>
      <c r="F378" t="s">
        <v>3</v>
      </c>
      <c r="G378" s="4">
        <v>2775</v>
      </c>
      <c r="H378" s="4">
        <v>170073.18900000001</v>
      </c>
      <c r="I378" s="4">
        <v>156948.916</v>
      </c>
      <c r="J378" s="1">
        <v>8.3621303889731955</v>
      </c>
      <c r="K378" s="2">
        <v>2</v>
      </c>
      <c r="L378" s="1">
        <v>3</v>
      </c>
      <c r="M378" s="4">
        <v>61287.64</v>
      </c>
    </row>
    <row r="379" spans="1:13" x14ac:dyDescent="0.25">
      <c r="A379">
        <f>RANK(H379,H$13:H$798,0)</f>
        <v>367</v>
      </c>
      <c r="B379" s="2">
        <v>177065</v>
      </c>
      <c r="C379" t="s">
        <v>675</v>
      </c>
      <c r="D379" t="s">
        <v>284</v>
      </c>
      <c r="E379" t="s">
        <v>41</v>
      </c>
      <c r="F379" t="s">
        <v>3</v>
      </c>
      <c r="G379" s="4">
        <v>7072</v>
      </c>
      <c r="H379" s="4">
        <v>168868.65</v>
      </c>
      <c r="I379" s="4">
        <v>171661.31599999999</v>
      </c>
      <c r="J379" s="1">
        <v>-1.6268464352213154</v>
      </c>
      <c r="K379" s="2">
        <v>2</v>
      </c>
      <c r="L379" s="1">
        <v>3</v>
      </c>
      <c r="M379" s="4">
        <v>23878.49</v>
      </c>
    </row>
    <row r="380" spans="1:13" x14ac:dyDescent="0.25">
      <c r="A380">
        <f>RANK(H380,H$13:H$798,0)</f>
        <v>368</v>
      </c>
      <c r="B380" s="2">
        <v>153834</v>
      </c>
      <c r="C380" t="s">
        <v>676</v>
      </c>
      <c r="D380" t="s">
        <v>677</v>
      </c>
      <c r="E380" t="s">
        <v>113</v>
      </c>
      <c r="F380" t="s">
        <v>3</v>
      </c>
      <c r="G380" s="4">
        <v>1988</v>
      </c>
      <c r="H380" s="4">
        <v>168780.32199999999</v>
      </c>
      <c r="I380" s="4">
        <v>168035.34099999999</v>
      </c>
      <c r="J380" s="1">
        <v>0.44334780741153723</v>
      </c>
      <c r="K380" s="2">
        <v>2</v>
      </c>
      <c r="L380" s="1">
        <v>2</v>
      </c>
      <c r="M380" s="4">
        <v>84899.56</v>
      </c>
    </row>
    <row r="381" spans="1:13" x14ac:dyDescent="0.25">
      <c r="A381">
        <f>RANK(H381,H$13:H$798,0)</f>
        <v>369</v>
      </c>
      <c r="B381" s="2">
        <v>156082</v>
      </c>
      <c r="C381" t="s">
        <v>678</v>
      </c>
      <c r="D381" t="s">
        <v>679</v>
      </c>
      <c r="E381" t="s">
        <v>133</v>
      </c>
      <c r="F381" t="s">
        <v>75</v>
      </c>
      <c r="G381" s="4">
        <v>5055</v>
      </c>
      <c r="H381" s="4">
        <v>166459.745</v>
      </c>
      <c r="I381" s="4">
        <v>159486.87</v>
      </c>
      <c r="J381" s="1">
        <v>4.3720683715217437</v>
      </c>
      <c r="K381" s="2">
        <v>2</v>
      </c>
      <c r="L381" s="1">
        <v>4</v>
      </c>
      <c r="M381" s="4">
        <v>32929.72</v>
      </c>
    </row>
    <row r="382" spans="1:13" x14ac:dyDescent="0.25">
      <c r="A382">
        <f>RANK(H382,H$13:H$798,0)</f>
        <v>370</v>
      </c>
      <c r="B382" s="2">
        <v>132903</v>
      </c>
      <c r="C382" t="s">
        <v>680</v>
      </c>
      <c r="D382" t="s">
        <v>681</v>
      </c>
      <c r="E382" t="s">
        <v>127</v>
      </c>
      <c r="F382" t="s">
        <v>7</v>
      </c>
      <c r="G382" s="4">
        <v>59350.9</v>
      </c>
      <c r="H382" s="4">
        <v>164721.84471</v>
      </c>
      <c r="I382" s="4">
        <v>163462.04680000001</v>
      </c>
      <c r="J382" s="1">
        <v>0.77069750114005897</v>
      </c>
      <c r="K382" s="2">
        <v>2</v>
      </c>
      <c r="L382" s="1">
        <v>4</v>
      </c>
      <c r="M382" s="4">
        <v>2775.39</v>
      </c>
    </row>
    <row r="383" spans="1:13" x14ac:dyDescent="0.25">
      <c r="A383">
        <f>RANK(H383,H$13:H$798,0)</f>
        <v>371</v>
      </c>
      <c r="B383" s="3" t="s">
        <v>1363</v>
      </c>
      <c r="C383" t="s">
        <v>682</v>
      </c>
      <c r="D383" t="s">
        <v>683</v>
      </c>
      <c r="E383" t="s">
        <v>27</v>
      </c>
      <c r="F383" t="s">
        <v>1364</v>
      </c>
      <c r="G383" s="5" t="s">
        <v>1363</v>
      </c>
      <c r="H383" s="4">
        <v>164106.302</v>
      </c>
      <c r="I383" s="4">
        <v>162805.80100000001</v>
      </c>
      <c r="J383" s="1">
        <v>0.79880507451942029</v>
      </c>
      <c r="K383" s="2">
        <v>3</v>
      </c>
      <c r="L383" s="1">
        <v>6</v>
      </c>
      <c r="M383" s="5" t="s">
        <v>1363</v>
      </c>
    </row>
    <row r="384" spans="1:13" x14ac:dyDescent="0.25">
      <c r="A384">
        <f>RANK(H384,H$13:H$798,0)</f>
        <v>372</v>
      </c>
      <c r="B384" s="2">
        <v>183239</v>
      </c>
      <c r="C384" t="s">
        <v>684</v>
      </c>
      <c r="D384" t="s">
        <v>685</v>
      </c>
      <c r="E384" t="s">
        <v>344</v>
      </c>
      <c r="F384" t="s">
        <v>3</v>
      </c>
      <c r="G384" s="4">
        <v>2027</v>
      </c>
      <c r="H384" s="4">
        <v>164005.48300000001</v>
      </c>
      <c r="I384" s="4">
        <v>157861.291</v>
      </c>
      <c r="J384" s="1">
        <v>3.8921460486472332</v>
      </c>
      <c r="K384" s="2">
        <v>2</v>
      </c>
      <c r="L384" s="1">
        <v>2</v>
      </c>
      <c r="M384" s="4">
        <v>80910.45</v>
      </c>
    </row>
    <row r="385" spans="1:13" x14ac:dyDescent="0.25">
      <c r="A385">
        <f>RANK(H385,H$13:H$798,0)</f>
        <v>373</v>
      </c>
      <c r="B385" s="2">
        <v>215132</v>
      </c>
      <c r="C385" t="s">
        <v>686</v>
      </c>
      <c r="D385" t="s">
        <v>19</v>
      </c>
      <c r="E385" t="s">
        <v>20</v>
      </c>
      <c r="F385" t="s">
        <v>3</v>
      </c>
      <c r="G385" s="4">
        <v>2104.92</v>
      </c>
      <c r="H385" s="4">
        <v>162527.435</v>
      </c>
      <c r="I385" s="4">
        <v>172140.09099999999</v>
      </c>
      <c r="J385" s="1">
        <v>-5.5842052505944064</v>
      </c>
      <c r="K385" s="2">
        <v>2</v>
      </c>
      <c r="L385" s="1">
        <v>5</v>
      </c>
      <c r="M385" s="4">
        <v>77213.119999999995</v>
      </c>
    </row>
    <row r="386" spans="1:13" x14ac:dyDescent="0.25">
      <c r="A386">
        <f>RANK(H386,H$13:H$798,0)</f>
        <v>374</v>
      </c>
      <c r="B386" s="2">
        <v>133553</v>
      </c>
      <c r="C386" t="s">
        <v>687</v>
      </c>
      <c r="D386" t="s">
        <v>688</v>
      </c>
      <c r="E386" t="s">
        <v>127</v>
      </c>
      <c r="F386" t="s">
        <v>3</v>
      </c>
      <c r="G386" s="4">
        <v>16542</v>
      </c>
      <c r="H386" s="4">
        <v>161405</v>
      </c>
      <c r="I386" s="4">
        <v>134498</v>
      </c>
      <c r="J386" s="1">
        <v>20.005501940549301</v>
      </c>
      <c r="K386" s="2">
        <v>2</v>
      </c>
      <c r="L386" s="1">
        <v>3</v>
      </c>
      <c r="M386" s="4">
        <v>9757.2800000000007</v>
      </c>
    </row>
    <row r="387" spans="1:13" x14ac:dyDescent="0.25">
      <c r="A387">
        <f>RANK(H387,H$13:H$798,0)</f>
        <v>375</v>
      </c>
      <c r="B387" s="2">
        <v>168546</v>
      </c>
      <c r="C387" t="s">
        <v>689</v>
      </c>
      <c r="D387" t="s">
        <v>690</v>
      </c>
      <c r="E387" t="s">
        <v>24</v>
      </c>
      <c r="F387" t="s">
        <v>3</v>
      </c>
      <c r="G387" s="4">
        <v>1515</v>
      </c>
      <c r="H387" s="4">
        <v>161112.948</v>
      </c>
      <c r="I387" s="4">
        <v>167983.03899999999</v>
      </c>
      <c r="J387" s="1">
        <v>-4.0897527755763408</v>
      </c>
      <c r="K387" s="2">
        <v>2</v>
      </c>
      <c r="L387" s="1">
        <v>2</v>
      </c>
      <c r="M387" s="4">
        <v>106345.18</v>
      </c>
    </row>
    <row r="388" spans="1:13" x14ac:dyDescent="0.25">
      <c r="A388">
        <f>RANK(H388,H$13:H$798,0)</f>
        <v>376</v>
      </c>
      <c r="B388" s="2">
        <v>153278</v>
      </c>
      <c r="C388" t="s">
        <v>691</v>
      </c>
      <c r="D388" t="s">
        <v>692</v>
      </c>
      <c r="E388" t="s">
        <v>113</v>
      </c>
      <c r="F388" t="s">
        <v>3</v>
      </c>
      <c r="G388" s="4">
        <v>1969</v>
      </c>
      <c r="H388" s="4">
        <v>160530.49400000001</v>
      </c>
      <c r="I388" s="4">
        <v>159856.50200000001</v>
      </c>
      <c r="J388" s="1">
        <v>0.42162313798158696</v>
      </c>
      <c r="K388" s="2">
        <v>2</v>
      </c>
      <c r="L388" s="1">
        <v>3</v>
      </c>
      <c r="M388" s="4">
        <v>81528.95</v>
      </c>
    </row>
    <row r="389" spans="1:13" ht="17.25" x14ac:dyDescent="0.25">
      <c r="A389">
        <f>RANK(H389,H$13:H$798,0)</f>
        <v>377</v>
      </c>
      <c r="B389" s="2">
        <v>204635</v>
      </c>
      <c r="C389" t="s">
        <v>1453</v>
      </c>
      <c r="D389" t="s">
        <v>693</v>
      </c>
      <c r="E389" t="s">
        <v>63</v>
      </c>
      <c r="F389" t="s">
        <v>3</v>
      </c>
      <c r="G389" s="4">
        <v>2910</v>
      </c>
      <c r="H389" s="4">
        <v>160300</v>
      </c>
      <c r="I389" s="4">
        <v>165900</v>
      </c>
      <c r="J389" s="1">
        <v>-3.3755274261603372</v>
      </c>
      <c r="K389" s="2">
        <v>2</v>
      </c>
      <c r="L389" s="1">
        <v>2</v>
      </c>
      <c r="M389" s="4">
        <v>55085.91</v>
      </c>
    </row>
    <row r="390" spans="1:13" x14ac:dyDescent="0.25">
      <c r="A390">
        <f>RANK(H390,H$13:H$798,0)</f>
        <v>378</v>
      </c>
      <c r="B390" s="2">
        <v>177092</v>
      </c>
      <c r="C390" t="s">
        <v>694</v>
      </c>
      <c r="D390" t="s">
        <v>40</v>
      </c>
      <c r="E390" t="s">
        <v>41</v>
      </c>
      <c r="F390" t="s">
        <v>3</v>
      </c>
      <c r="G390" s="4">
        <v>360</v>
      </c>
      <c r="H390" s="4">
        <v>160248.95999999999</v>
      </c>
      <c r="I390" s="4">
        <v>150615.318</v>
      </c>
      <c r="J390" s="1">
        <v>6.3961900608276725</v>
      </c>
      <c r="K390" s="2">
        <v>2</v>
      </c>
      <c r="L390" s="1">
        <v>5</v>
      </c>
      <c r="M390" s="4">
        <v>445136</v>
      </c>
    </row>
    <row r="391" spans="1:13" x14ac:dyDescent="0.25">
      <c r="A391">
        <f>RANK(H391,H$13:H$798,0)</f>
        <v>379</v>
      </c>
      <c r="B391" s="2">
        <v>191931</v>
      </c>
      <c r="C391" t="s">
        <v>695</v>
      </c>
      <c r="D391" t="s">
        <v>696</v>
      </c>
      <c r="E391" t="s">
        <v>33</v>
      </c>
      <c r="F391" t="s">
        <v>3</v>
      </c>
      <c r="G391" s="4">
        <v>3513</v>
      </c>
      <c r="H391" s="4">
        <v>159938</v>
      </c>
      <c r="I391" s="4">
        <v>143741</v>
      </c>
      <c r="J391" s="1">
        <v>11.268183747156343</v>
      </c>
      <c r="K391" s="2">
        <v>2</v>
      </c>
      <c r="L391" s="1">
        <v>3</v>
      </c>
      <c r="M391" s="4">
        <v>45527.47</v>
      </c>
    </row>
    <row r="392" spans="1:13" x14ac:dyDescent="0.25">
      <c r="A392">
        <f>RANK(H392,H$13:H$798,0)</f>
        <v>380</v>
      </c>
      <c r="B392" s="2">
        <v>220792</v>
      </c>
      <c r="C392" t="s">
        <v>697</v>
      </c>
      <c r="D392" t="s">
        <v>56</v>
      </c>
      <c r="E392" t="s">
        <v>57</v>
      </c>
      <c r="F392" t="s">
        <v>3</v>
      </c>
      <c r="G392" s="4">
        <v>828</v>
      </c>
      <c r="H392" s="4">
        <v>159146.29699999999</v>
      </c>
      <c r="I392" s="4">
        <v>159907.859</v>
      </c>
      <c r="J392" s="1">
        <v>-0.47625051374116978</v>
      </c>
      <c r="K392" s="2">
        <v>1</v>
      </c>
      <c r="L392" s="1">
        <v>5</v>
      </c>
      <c r="M392" s="4">
        <v>192205.67</v>
      </c>
    </row>
    <row r="393" spans="1:13" x14ac:dyDescent="0.25">
      <c r="A393">
        <f>RANK(H393,H$13:H$798,0)</f>
        <v>381</v>
      </c>
      <c r="B393" s="2">
        <v>237066</v>
      </c>
      <c r="C393" t="s">
        <v>698</v>
      </c>
      <c r="D393" t="s">
        <v>492</v>
      </c>
      <c r="E393" t="s">
        <v>82</v>
      </c>
      <c r="F393" t="s">
        <v>3</v>
      </c>
      <c r="G393" s="4">
        <v>3200</v>
      </c>
      <c r="H393" s="4">
        <v>156047.57</v>
      </c>
      <c r="I393" s="4">
        <v>151179.04399999999</v>
      </c>
      <c r="J393" s="1">
        <v>3.2203709397712639</v>
      </c>
      <c r="K393" s="2">
        <v>2</v>
      </c>
      <c r="L393" s="1">
        <v>3</v>
      </c>
      <c r="M393" s="4">
        <v>48764.87</v>
      </c>
    </row>
    <row r="394" spans="1:13" x14ac:dyDescent="0.25">
      <c r="A394">
        <f>RANK(H394,H$13:H$798,0)</f>
        <v>382</v>
      </c>
      <c r="B394" s="2">
        <v>122755</v>
      </c>
      <c r="C394" t="s">
        <v>699</v>
      </c>
      <c r="D394" t="s">
        <v>700</v>
      </c>
      <c r="E394" t="s">
        <v>12</v>
      </c>
      <c r="F394" t="s">
        <v>87</v>
      </c>
      <c r="G394" s="4">
        <v>31285</v>
      </c>
      <c r="H394" s="4">
        <v>153212.20499999999</v>
      </c>
      <c r="I394" s="4">
        <v>150056.03</v>
      </c>
      <c r="J394" s="1">
        <v>2.1033310024262191</v>
      </c>
      <c r="K394" s="2">
        <v>2</v>
      </c>
      <c r="L394" s="1">
        <v>3</v>
      </c>
      <c r="M394" s="4">
        <v>4897.3100000000004</v>
      </c>
    </row>
    <row r="395" spans="1:13" x14ac:dyDescent="0.25">
      <c r="A395">
        <f>RANK(H395,H$13:H$798,0)</f>
        <v>383</v>
      </c>
      <c r="B395" s="2">
        <v>165671</v>
      </c>
      <c r="C395" t="s">
        <v>701</v>
      </c>
      <c r="D395" t="s">
        <v>1</v>
      </c>
      <c r="E395" t="s">
        <v>2</v>
      </c>
      <c r="F395" t="s">
        <v>3</v>
      </c>
      <c r="G395" s="4">
        <v>2209</v>
      </c>
      <c r="H395" s="4">
        <v>151724.65</v>
      </c>
      <c r="I395" s="4">
        <v>137309.93299999999</v>
      </c>
      <c r="J395" s="1">
        <v>10.497941907815225</v>
      </c>
      <c r="K395" s="2">
        <v>2</v>
      </c>
      <c r="L395" s="1">
        <v>2</v>
      </c>
      <c r="M395" s="4">
        <v>68684.77</v>
      </c>
    </row>
    <row r="396" spans="1:13" x14ac:dyDescent="0.25">
      <c r="A396">
        <f>RANK(H396,H$13:H$798,0)</f>
        <v>384</v>
      </c>
      <c r="B396" s="2">
        <v>107044</v>
      </c>
      <c r="C396" t="s">
        <v>702</v>
      </c>
      <c r="D396" t="s">
        <v>703</v>
      </c>
      <c r="E396" t="s">
        <v>204</v>
      </c>
      <c r="F396" t="s">
        <v>3</v>
      </c>
      <c r="G396" s="4">
        <v>4655</v>
      </c>
      <c r="H396" s="4">
        <v>151410.967</v>
      </c>
      <c r="I396" s="4">
        <v>141605.02600000001</v>
      </c>
      <c r="J396" s="1">
        <v>6.9248537830853483</v>
      </c>
      <c r="K396" s="2">
        <v>2</v>
      </c>
      <c r="L396" s="1">
        <v>4</v>
      </c>
      <c r="M396" s="4">
        <v>32526.52</v>
      </c>
    </row>
    <row r="397" spans="1:13" x14ac:dyDescent="0.25">
      <c r="A397">
        <f>RANK(H397,H$13:H$798,0)</f>
        <v>385</v>
      </c>
      <c r="B397" s="2">
        <v>230782</v>
      </c>
      <c r="C397" t="s">
        <v>704</v>
      </c>
      <c r="D397" t="s">
        <v>705</v>
      </c>
      <c r="E397" t="s">
        <v>201</v>
      </c>
      <c r="F397" t="s">
        <v>7</v>
      </c>
      <c r="G397" s="4">
        <v>13817</v>
      </c>
      <c r="H397" s="4">
        <v>150521.514</v>
      </c>
      <c r="I397" s="4">
        <v>140780.56</v>
      </c>
      <c r="J397" s="1">
        <v>6.9192465209685183</v>
      </c>
      <c r="K397" s="2">
        <v>2</v>
      </c>
      <c r="L397" s="1">
        <v>3</v>
      </c>
      <c r="M397" s="4">
        <v>10893.94</v>
      </c>
    </row>
    <row r="398" spans="1:13" x14ac:dyDescent="0.25">
      <c r="A398">
        <f>RANK(H398,H$13:H$798,0)</f>
        <v>386</v>
      </c>
      <c r="B398" s="2">
        <v>239716</v>
      </c>
      <c r="C398" t="s">
        <v>706</v>
      </c>
      <c r="D398" t="s">
        <v>707</v>
      </c>
      <c r="E398" t="s">
        <v>74</v>
      </c>
      <c r="F398" t="s">
        <v>3</v>
      </c>
      <c r="G398" s="4">
        <v>2151</v>
      </c>
      <c r="H398" s="4">
        <v>150476.274</v>
      </c>
      <c r="I398" s="4">
        <v>145808.40299999999</v>
      </c>
      <c r="J398" s="1">
        <v>3.2013731060479516</v>
      </c>
      <c r="K398" s="2">
        <v>2</v>
      </c>
      <c r="L398" s="1">
        <v>2</v>
      </c>
      <c r="M398" s="4">
        <v>69956.429999999993</v>
      </c>
    </row>
    <row r="399" spans="1:13" x14ac:dyDescent="0.25">
      <c r="A399">
        <f>RANK(H399,H$13:H$798,0)</f>
        <v>387</v>
      </c>
      <c r="B399" s="2">
        <v>156222</v>
      </c>
      <c r="C399" t="s">
        <v>708</v>
      </c>
      <c r="D399" t="s">
        <v>709</v>
      </c>
      <c r="E399" t="s">
        <v>170</v>
      </c>
      <c r="F399" t="s">
        <v>3</v>
      </c>
      <c r="G399" s="4">
        <v>1198</v>
      </c>
      <c r="H399" s="4">
        <v>150440.011</v>
      </c>
      <c r="I399" s="4">
        <v>148290.62899999999</v>
      </c>
      <c r="J399" s="1">
        <v>1.4494388583381168</v>
      </c>
      <c r="K399" s="2">
        <v>2</v>
      </c>
      <c r="L399" s="1">
        <v>5</v>
      </c>
      <c r="M399" s="4">
        <v>125575.97</v>
      </c>
    </row>
    <row r="400" spans="1:13" x14ac:dyDescent="0.25">
      <c r="A400">
        <f>RANK(H400,H$13:H$798,0)</f>
        <v>388</v>
      </c>
      <c r="B400" s="2">
        <v>199412</v>
      </c>
      <c r="C400" t="s">
        <v>710</v>
      </c>
      <c r="D400" t="s">
        <v>561</v>
      </c>
      <c r="E400" t="s">
        <v>36</v>
      </c>
      <c r="F400" t="s">
        <v>3</v>
      </c>
      <c r="G400" s="4">
        <v>1992</v>
      </c>
      <c r="H400" s="4">
        <v>150237.35399999999</v>
      </c>
      <c r="I400" s="4">
        <v>149744.30100000001</v>
      </c>
      <c r="J400" s="1">
        <v>0.32926328194619259</v>
      </c>
      <c r="K400" s="2">
        <v>2</v>
      </c>
      <c r="L400" s="1">
        <v>3</v>
      </c>
      <c r="M400" s="4">
        <v>75420.36</v>
      </c>
    </row>
    <row r="401" spans="1:13" x14ac:dyDescent="0.25">
      <c r="A401">
        <f>RANK(H401,H$13:H$798,0)</f>
        <v>389</v>
      </c>
      <c r="B401" s="2">
        <v>149222</v>
      </c>
      <c r="C401" t="s">
        <v>711</v>
      </c>
      <c r="D401" t="s">
        <v>712</v>
      </c>
      <c r="E401" t="s">
        <v>30</v>
      </c>
      <c r="F401" t="s">
        <v>75</v>
      </c>
      <c r="G401" s="4">
        <v>11196</v>
      </c>
      <c r="H401" s="4">
        <v>149980.36499999999</v>
      </c>
      <c r="I401" s="4">
        <v>145875.41500000001</v>
      </c>
      <c r="J401" s="1">
        <v>2.8140108461730735</v>
      </c>
      <c r="K401" s="2">
        <v>2</v>
      </c>
      <c r="L401" s="1">
        <v>4</v>
      </c>
      <c r="M401" s="4">
        <v>13395.89</v>
      </c>
    </row>
    <row r="402" spans="1:13" x14ac:dyDescent="0.25">
      <c r="A402">
        <f>RANK(H402,H$13:H$798,0)</f>
        <v>390</v>
      </c>
      <c r="B402" s="2">
        <v>222983</v>
      </c>
      <c r="C402" t="s">
        <v>713</v>
      </c>
      <c r="D402" t="s">
        <v>714</v>
      </c>
      <c r="E402" t="s">
        <v>6</v>
      </c>
      <c r="F402" t="s">
        <v>3</v>
      </c>
      <c r="G402" s="4">
        <v>1296</v>
      </c>
      <c r="H402" s="4">
        <v>149666.61600000001</v>
      </c>
      <c r="I402" s="4">
        <v>141754.55499999999</v>
      </c>
      <c r="J402" s="1">
        <v>5.581521525004975</v>
      </c>
      <c r="K402" s="2">
        <v>2</v>
      </c>
      <c r="L402" s="1">
        <v>2</v>
      </c>
      <c r="M402" s="4">
        <v>115483.5</v>
      </c>
    </row>
    <row r="403" spans="1:13" x14ac:dyDescent="0.25">
      <c r="A403">
        <f>RANK(H403,H$13:H$798,0)</f>
        <v>391</v>
      </c>
      <c r="B403" s="2">
        <v>201441</v>
      </c>
      <c r="C403" t="s">
        <v>715</v>
      </c>
      <c r="D403" t="s">
        <v>662</v>
      </c>
      <c r="E403" t="s">
        <v>63</v>
      </c>
      <c r="F403" t="s">
        <v>75</v>
      </c>
      <c r="G403" s="4">
        <v>16394</v>
      </c>
      <c r="H403" s="4">
        <v>149437.826</v>
      </c>
      <c r="I403" s="4">
        <v>138038.28599999999</v>
      </c>
      <c r="J403" s="1">
        <v>8.2582451074479515</v>
      </c>
      <c r="K403" s="2">
        <v>2</v>
      </c>
      <c r="L403" s="1">
        <v>4</v>
      </c>
      <c r="M403" s="4">
        <v>9115.4</v>
      </c>
    </row>
    <row r="404" spans="1:13" x14ac:dyDescent="0.25">
      <c r="A404">
        <f>RANK(H404,H$13:H$798,0)</f>
        <v>392</v>
      </c>
      <c r="B404" s="2">
        <v>217484</v>
      </c>
      <c r="C404" t="s">
        <v>716</v>
      </c>
      <c r="D404" t="s">
        <v>269</v>
      </c>
      <c r="E404" t="s">
        <v>69</v>
      </c>
      <c r="F404" t="s">
        <v>75</v>
      </c>
      <c r="G404" s="4">
        <v>17974</v>
      </c>
      <c r="H404" s="4">
        <v>149153.94</v>
      </c>
      <c r="I404" s="4">
        <v>139577.65400000001</v>
      </c>
      <c r="J404" s="1">
        <v>6.8609019607106969</v>
      </c>
      <c r="K404" s="2">
        <v>2</v>
      </c>
      <c r="L404" s="1">
        <v>4</v>
      </c>
      <c r="M404" s="4">
        <v>8298.32</v>
      </c>
    </row>
    <row r="405" spans="1:13" x14ac:dyDescent="0.25">
      <c r="A405">
        <f>RANK(H405,H$13:H$798,0)</f>
        <v>393</v>
      </c>
      <c r="B405" s="2">
        <v>233426</v>
      </c>
      <c r="C405" t="s">
        <v>717</v>
      </c>
      <c r="D405" t="s">
        <v>523</v>
      </c>
      <c r="E405" t="s">
        <v>49</v>
      </c>
      <c r="F405" t="s">
        <v>3</v>
      </c>
      <c r="G405" s="4">
        <v>1975</v>
      </c>
      <c r="H405" s="4">
        <v>148794.39300000001</v>
      </c>
      <c r="I405" s="4">
        <v>145446.342</v>
      </c>
      <c r="J405" s="1">
        <v>2.301914887622273</v>
      </c>
      <c r="K405" s="2">
        <v>2</v>
      </c>
      <c r="L405" s="1">
        <v>2</v>
      </c>
      <c r="M405" s="4">
        <v>75338.929999999993</v>
      </c>
    </row>
    <row r="406" spans="1:13" x14ac:dyDescent="0.25">
      <c r="A406" s="30">
        <f>RANK(H406,H$13:H$798,0)</f>
        <v>394</v>
      </c>
      <c r="B406" s="31" t="s">
        <v>1363</v>
      </c>
      <c r="C406" s="30" t="s">
        <v>718</v>
      </c>
      <c r="D406" s="30" t="s">
        <v>719</v>
      </c>
      <c r="E406" s="30" t="s">
        <v>536</v>
      </c>
      <c r="F406" s="30" t="s">
        <v>1388</v>
      </c>
      <c r="G406" s="32">
        <v>2189</v>
      </c>
      <c r="H406" s="32">
        <v>148240.59590000001</v>
      </c>
      <c r="I406" s="32">
        <v>144421.73669999998</v>
      </c>
      <c r="J406" s="33">
        <v>2.6442412944616223</v>
      </c>
      <c r="K406" s="24">
        <v>3</v>
      </c>
      <c r="L406" s="33">
        <v>6</v>
      </c>
      <c r="M406" s="32">
        <v>67720.69</v>
      </c>
    </row>
    <row r="407" spans="1:13" x14ac:dyDescent="0.25">
      <c r="A407">
        <f>RANK(H407,H$13:H$798,0)</f>
        <v>395</v>
      </c>
      <c r="B407" s="2">
        <v>150756</v>
      </c>
      <c r="C407" t="s">
        <v>720</v>
      </c>
      <c r="D407" t="s">
        <v>721</v>
      </c>
      <c r="E407" t="s">
        <v>27</v>
      </c>
      <c r="F407" t="s">
        <v>3</v>
      </c>
      <c r="G407" s="4">
        <v>1099</v>
      </c>
      <c r="H407" s="4">
        <v>146078.01</v>
      </c>
      <c r="I407" s="4">
        <v>143606.74100000001</v>
      </c>
      <c r="J407" s="1">
        <v>1.7208586329523348</v>
      </c>
      <c r="K407" s="2">
        <v>2</v>
      </c>
      <c r="L407" s="1">
        <v>2</v>
      </c>
      <c r="M407" s="4">
        <v>132919.03</v>
      </c>
    </row>
    <row r="408" spans="1:13" x14ac:dyDescent="0.25">
      <c r="A408">
        <f>RANK(H408,H$13:H$798,0)</f>
        <v>396</v>
      </c>
      <c r="B408" s="2">
        <v>179265</v>
      </c>
      <c r="C408" t="s">
        <v>722</v>
      </c>
      <c r="D408" t="s">
        <v>40</v>
      </c>
      <c r="E408" t="s">
        <v>41</v>
      </c>
      <c r="F408" t="s">
        <v>3</v>
      </c>
      <c r="G408" s="4">
        <v>1172.32</v>
      </c>
      <c r="H408" s="4">
        <v>144775.64799999999</v>
      </c>
      <c r="I408" s="4">
        <v>144532.158</v>
      </c>
      <c r="J408" s="1">
        <v>0.16846769837892456</v>
      </c>
      <c r="K408" s="2">
        <v>2</v>
      </c>
      <c r="L408" s="1">
        <v>5</v>
      </c>
      <c r="M408" s="4">
        <v>123494.99</v>
      </c>
    </row>
    <row r="409" spans="1:13" x14ac:dyDescent="0.25">
      <c r="A409">
        <f>RANK(H409,H$13:H$798,0)</f>
        <v>397</v>
      </c>
      <c r="B409" s="2">
        <v>145813</v>
      </c>
      <c r="C409" t="s">
        <v>723</v>
      </c>
      <c r="D409" t="s">
        <v>724</v>
      </c>
      <c r="E409" t="s">
        <v>30</v>
      </c>
      <c r="F409" t="s">
        <v>75</v>
      </c>
      <c r="G409" s="4">
        <v>20878</v>
      </c>
      <c r="H409" s="4">
        <v>144435.035</v>
      </c>
      <c r="I409" s="4">
        <v>128825.072</v>
      </c>
      <c r="J409" s="1">
        <v>12.117177780424608</v>
      </c>
      <c r="K409" s="2">
        <v>2</v>
      </c>
      <c r="L409" s="1">
        <v>4</v>
      </c>
      <c r="M409" s="4">
        <v>6918.05</v>
      </c>
    </row>
    <row r="410" spans="1:13" x14ac:dyDescent="0.25">
      <c r="A410">
        <f>RANK(H410,H$13:H$798,0)</f>
        <v>398</v>
      </c>
      <c r="B410" s="2">
        <v>121257</v>
      </c>
      <c r="C410" t="s">
        <v>725</v>
      </c>
      <c r="D410" t="s">
        <v>99</v>
      </c>
      <c r="E410" t="s">
        <v>12</v>
      </c>
      <c r="F410" t="s">
        <v>3</v>
      </c>
      <c r="G410" s="4">
        <v>1091</v>
      </c>
      <c r="H410" s="4">
        <v>144364.639</v>
      </c>
      <c r="I410" s="4">
        <v>141464.75200000001</v>
      </c>
      <c r="J410" s="1">
        <v>2.0499007413521548</v>
      </c>
      <c r="K410" s="2">
        <v>2</v>
      </c>
      <c r="L410" s="1">
        <v>2</v>
      </c>
      <c r="M410" s="4">
        <v>132323.23000000001</v>
      </c>
    </row>
    <row r="411" spans="1:13" x14ac:dyDescent="0.25">
      <c r="A411">
        <f>RANK(H411,H$13:H$798,0)</f>
        <v>399</v>
      </c>
      <c r="B411" s="2">
        <v>173300</v>
      </c>
      <c r="C411" t="s">
        <v>726</v>
      </c>
      <c r="D411" t="s">
        <v>727</v>
      </c>
      <c r="E411" t="s">
        <v>95</v>
      </c>
      <c r="F411" t="s">
        <v>3</v>
      </c>
      <c r="G411" s="4">
        <v>2071</v>
      </c>
      <c r="H411" s="4">
        <v>143479.43799999999</v>
      </c>
      <c r="I411" s="4">
        <v>134703.49100000001</v>
      </c>
      <c r="J411" s="1">
        <v>6.5150108099276984</v>
      </c>
      <c r="K411" s="2">
        <v>2</v>
      </c>
      <c r="L411" s="1">
        <v>2</v>
      </c>
      <c r="M411" s="4">
        <v>69280.27</v>
      </c>
    </row>
    <row r="412" spans="1:13" x14ac:dyDescent="0.25">
      <c r="A412">
        <f>RANK(H412,H$13:H$798,0)</f>
        <v>400</v>
      </c>
      <c r="B412" s="2">
        <v>225627</v>
      </c>
      <c r="C412" t="s">
        <v>728</v>
      </c>
      <c r="D412" t="s">
        <v>196</v>
      </c>
      <c r="E412" t="s">
        <v>6</v>
      </c>
      <c r="F412" t="s">
        <v>3</v>
      </c>
      <c r="G412" s="4">
        <v>7170</v>
      </c>
      <c r="H412" s="4">
        <v>142070.655</v>
      </c>
      <c r="I412" s="4">
        <v>142014.652</v>
      </c>
      <c r="J412" s="1">
        <v>3.9434663403602167E-2</v>
      </c>
      <c r="K412" s="2">
        <v>2</v>
      </c>
      <c r="L412" s="1">
        <v>4</v>
      </c>
      <c r="M412" s="4">
        <v>19814.599999999999</v>
      </c>
    </row>
    <row r="413" spans="1:13" x14ac:dyDescent="0.25">
      <c r="A413">
        <f>RANK(H413,H$13:H$798,0)</f>
        <v>401</v>
      </c>
      <c r="B413" s="2">
        <v>213996</v>
      </c>
      <c r="C413" t="s">
        <v>729</v>
      </c>
      <c r="D413" t="s">
        <v>730</v>
      </c>
      <c r="E413" t="s">
        <v>20</v>
      </c>
      <c r="F413" t="s">
        <v>3</v>
      </c>
      <c r="G413" s="4">
        <v>3374</v>
      </c>
      <c r="H413" s="4">
        <v>141904.329</v>
      </c>
      <c r="I413" s="4">
        <v>142173.26199999999</v>
      </c>
      <c r="J413" s="1">
        <v>-0.1891586337802322</v>
      </c>
      <c r="K413" s="2">
        <v>2</v>
      </c>
      <c r="L413" s="1">
        <v>3</v>
      </c>
      <c r="M413" s="4">
        <v>42058.19</v>
      </c>
    </row>
    <row r="414" spans="1:13" x14ac:dyDescent="0.25">
      <c r="A414">
        <f>RANK(H414,H$13:H$798,0)</f>
        <v>402</v>
      </c>
      <c r="B414" s="2">
        <v>221740</v>
      </c>
      <c r="C414" t="s">
        <v>731</v>
      </c>
      <c r="D414" t="s">
        <v>732</v>
      </c>
      <c r="E414" t="s">
        <v>57</v>
      </c>
      <c r="F414" t="s">
        <v>75</v>
      </c>
      <c r="G414" s="4">
        <v>10414</v>
      </c>
      <c r="H414" s="4">
        <v>141886.31333999999</v>
      </c>
      <c r="I414" s="4">
        <v>131752.33904000002</v>
      </c>
      <c r="J414" s="1">
        <v>7.6916845452916753</v>
      </c>
      <c r="K414" s="2">
        <v>2</v>
      </c>
      <c r="L414" s="1">
        <v>4</v>
      </c>
      <c r="M414" s="4">
        <v>13624.57</v>
      </c>
    </row>
    <row r="415" spans="1:13" x14ac:dyDescent="0.25">
      <c r="A415">
        <f>RANK(H415,H$13:H$798,0)</f>
        <v>403</v>
      </c>
      <c r="B415" s="2">
        <v>203517</v>
      </c>
      <c r="C415" t="s">
        <v>733</v>
      </c>
      <c r="D415" t="s">
        <v>734</v>
      </c>
      <c r="E415" t="s">
        <v>63</v>
      </c>
      <c r="F415" t="s">
        <v>75</v>
      </c>
      <c r="G415" s="4">
        <v>40000</v>
      </c>
      <c r="H415" s="4">
        <v>141402.59899999999</v>
      </c>
      <c r="I415" s="4">
        <v>138117.51</v>
      </c>
      <c r="J415" s="1">
        <v>2.3784739530852952</v>
      </c>
      <c r="K415" s="2">
        <v>2</v>
      </c>
      <c r="L415" s="1">
        <v>4</v>
      </c>
      <c r="M415" s="4">
        <v>3535.06</v>
      </c>
    </row>
    <row r="416" spans="1:13" x14ac:dyDescent="0.25">
      <c r="A416">
        <f>RANK(H416,H$13:H$798,0)</f>
        <v>404</v>
      </c>
      <c r="B416" s="2">
        <v>204185</v>
      </c>
      <c r="C416" t="s">
        <v>735</v>
      </c>
      <c r="D416" t="s">
        <v>736</v>
      </c>
      <c r="E416" t="s">
        <v>63</v>
      </c>
      <c r="F416" t="s">
        <v>3</v>
      </c>
      <c r="G416" s="4">
        <v>2281</v>
      </c>
      <c r="H416" s="4">
        <v>140318.34700000001</v>
      </c>
      <c r="I416" s="4">
        <v>137060.43900000001</v>
      </c>
      <c r="J416" s="1">
        <v>2.3769864037864314</v>
      </c>
      <c r="K416" s="2">
        <v>2</v>
      </c>
      <c r="L416" s="1">
        <v>2</v>
      </c>
      <c r="M416" s="4">
        <v>61516.15</v>
      </c>
    </row>
    <row r="417" spans="1:13" x14ac:dyDescent="0.25">
      <c r="A417">
        <f>RANK(H417,H$13:H$798,0)</f>
        <v>405</v>
      </c>
      <c r="B417" s="2">
        <v>237525</v>
      </c>
      <c r="C417" t="s">
        <v>737</v>
      </c>
      <c r="D417" t="s">
        <v>738</v>
      </c>
      <c r="E417" t="s">
        <v>338</v>
      </c>
      <c r="F417" t="s">
        <v>75</v>
      </c>
      <c r="G417" s="4">
        <v>11043</v>
      </c>
      <c r="H417" s="4">
        <v>140180.88399999999</v>
      </c>
      <c r="I417" s="4">
        <v>127890.89</v>
      </c>
      <c r="J417" s="1">
        <v>9.6097493730788734</v>
      </c>
      <c r="K417" s="2">
        <v>2</v>
      </c>
      <c r="L417" s="1">
        <v>4</v>
      </c>
      <c r="M417" s="4">
        <v>12694.09</v>
      </c>
    </row>
    <row r="418" spans="1:13" x14ac:dyDescent="0.25">
      <c r="A418">
        <f>RANK(H418,H$13:H$798,0)</f>
        <v>406</v>
      </c>
      <c r="B418" s="2">
        <v>179894</v>
      </c>
      <c r="C418" t="s">
        <v>739</v>
      </c>
      <c r="D418" t="s">
        <v>40</v>
      </c>
      <c r="E418" t="s">
        <v>41</v>
      </c>
      <c r="F418" t="s">
        <v>3</v>
      </c>
      <c r="G418" s="4">
        <v>8115</v>
      </c>
      <c r="H418" s="4">
        <v>139792.27100000001</v>
      </c>
      <c r="I418" s="4">
        <v>129166.79399999999</v>
      </c>
      <c r="J418" s="1">
        <v>8.2261676325263711</v>
      </c>
      <c r="K418" s="2">
        <v>2</v>
      </c>
      <c r="L418" s="1">
        <v>3</v>
      </c>
      <c r="M418" s="4">
        <v>17226.400000000001</v>
      </c>
    </row>
    <row r="419" spans="1:13" x14ac:dyDescent="0.25">
      <c r="A419">
        <f>RANK(H419,H$13:H$798,0)</f>
        <v>407</v>
      </c>
      <c r="B419" s="2">
        <v>190503</v>
      </c>
      <c r="C419" t="s">
        <v>740</v>
      </c>
      <c r="D419" t="s">
        <v>741</v>
      </c>
      <c r="E419" t="s">
        <v>33</v>
      </c>
      <c r="F419" t="s">
        <v>3</v>
      </c>
      <c r="G419" s="4">
        <v>3135</v>
      </c>
      <c r="H419" s="4">
        <v>138297.57399999999</v>
      </c>
      <c r="I419" s="4">
        <v>136379.204</v>
      </c>
      <c r="J419" s="1">
        <v>1.4066440804273908</v>
      </c>
      <c r="K419" s="2">
        <v>2</v>
      </c>
      <c r="L419" s="1">
        <v>5</v>
      </c>
      <c r="M419" s="4">
        <v>44114.06</v>
      </c>
    </row>
    <row r="420" spans="1:13" x14ac:dyDescent="0.25">
      <c r="A420">
        <f>RANK(H420,H$13:H$798,0)</f>
        <v>408</v>
      </c>
      <c r="B420" s="2">
        <v>188641</v>
      </c>
      <c r="C420" t="s">
        <v>742</v>
      </c>
      <c r="D420" t="s">
        <v>743</v>
      </c>
      <c r="E420" t="s">
        <v>33</v>
      </c>
      <c r="F420" t="s">
        <v>3</v>
      </c>
      <c r="G420" s="4">
        <v>2005</v>
      </c>
      <c r="H420" s="4">
        <v>138253.80600000001</v>
      </c>
      <c r="I420" s="4">
        <v>129318.223</v>
      </c>
      <c r="J420" s="1">
        <v>6.9097632125675075</v>
      </c>
      <c r="K420" s="2">
        <v>2</v>
      </c>
      <c r="L420" s="1">
        <v>3</v>
      </c>
      <c r="M420" s="4">
        <v>68954.52</v>
      </c>
    </row>
    <row r="421" spans="1:13" x14ac:dyDescent="0.25">
      <c r="A421">
        <f>RANK(H421,H$13:H$798,0)</f>
        <v>409</v>
      </c>
      <c r="B421" s="2">
        <v>161280</v>
      </c>
      <c r="C421" t="s">
        <v>744</v>
      </c>
      <c r="D421" t="s">
        <v>571</v>
      </c>
      <c r="E421" t="s">
        <v>137</v>
      </c>
      <c r="F421" t="s">
        <v>7</v>
      </c>
      <c r="G421" s="4">
        <v>22008</v>
      </c>
      <c r="H421" s="4">
        <v>137928.30600000001</v>
      </c>
      <c r="I421" s="4">
        <v>131231.23499999999</v>
      </c>
      <c r="J421" s="1">
        <v>5.1032599060734487</v>
      </c>
      <c r="K421" s="2">
        <v>3</v>
      </c>
      <c r="L421" s="1">
        <v>6</v>
      </c>
      <c r="M421" s="4">
        <v>6267.19</v>
      </c>
    </row>
    <row r="422" spans="1:13" x14ac:dyDescent="0.25">
      <c r="A422">
        <f>RANK(H422,H$13:H$798,0)</f>
        <v>410</v>
      </c>
      <c r="B422" s="2">
        <v>122597</v>
      </c>
      <c r="C422" t="s">
        <v>745</v>
      </c>
      <c r="D422" t="s">
        <v>110</v>
      </c>
      <c r="E422" t="s">
        <v>12</v>
      </c>
      <c r="F422" t="s">
        <v>75</v>
      </c>
      <c r="G422" s="4">
        <v>29586</v>
      </c>
      <c r="H422" s="4">
        <v>137080.484</v>
      </c>
      <c r="I422" s="4">
        <v>90778.66</v>
      </c>
      <c r="J422" s="1">
        <v>51.005185579958976</v>
      </c>
      <c r="K422" s="2">
        <v>2</v>
      </c>
      <c r="L422" s="1">
        <v>3</v>
      </c>
      <c r="M422" s="4">
        <v>4633.29</v>
      </c>
    </row>
    <row r="423" spans="1:13" x14ac:dyDescent="0.25">
      <c r="A423">
        <f>RANK(H423,H$13:H$798,0)</f>
        <v>411</v>
      </c>
      <c r="B423" s="2">
        <v>151290</v>
      </c>
      <c r="C423" t="s">
        <v>746</v>
      </c>
      <c r="D423" t="s">
        <v>747</v>
      </c>
      <c r="E423" t="s">
        <v>27</v>
      </c>
      <c r="F423" t="s">
        <v>3</v>
      </c>
      <c r="G423" s="4">
        <v>5008</v>
      </c>
      <c r="H423" s="4">
        <v>137039.068</v>
      </c>
      <c r="I423" s="4">
        <v>131111.43900000001</v>
      </c>
      <c r="J423" s="1">
        <v>4.5210616596161266</v>
      </c>
      <c r="K423" s="2">
        <v>2</v>
      </c>
      <c r="L423" s="1">
        <v>3</v>
      </c>
      <c r="M423" s="4">
        <v>27364.03</v>
      </c>
    </row>
    <row r="424" spans="1:13" x14ac:dyDescent="0.25">
      <c r="A424">
        <f>RANK(H424,H$13:H$798,0)</f>
        <v>412</v>
      </c>
      <c r="B424" s="2">
        <v>153001</v>
      </c>
      <c r="C424" t="s">
        <v>748</v>
      </c>
      <c r="D424" t="s">
        <v>749</v>
      </c>
      <c r="E424" t="s">
        <v>113</v>
      </c>
      <c r="F424" t="s">
        <v>3</v>
      </c>
      <c r="G424" s="4">
        <v>1552</v>
      </c>
      <c r="H424" s="4">
        <v>136567.55799999999</v>
      </c>
      <c r="I424" s="4">
        <v>138108.16099999999</v>
      </c>
      <c r="J424" s="1">
        <v>-1.1155046804221822</v>
      </c>
      <c r="K424" s="2">
        <v>2</v>
      </c>
      <c r="L424" s="1">
        <v>3</v>
      </c>
      <c r="M424" s="4">
        <v>87994.559999999998</v>
      </c>
    </row>
    <row r="425" spans="1:13" x14ac:dyDescent="0.25">
      <c r="A425">
        <f>RANK(H425,H$13:H$798,0)</f>
        <v>413</v>
      </c>
      <c r="B425" s="2">
        <v>216667</v>
      </c>
      <c r="C425" t="s">
        <v>750</v>
      </c>
      <c r="D425" t="s">
        <v>129</v>
      </c>
      <c r="E425" t="s">
        <v>20</v>
      </c>
      <c r="F425" t="s">
        <v>3</v>
      </c>
      <c r="G425" s="4">
        <v>1352</v>
      </c>
      <c r="H425" s="4">
        <v>134922.95800000001</v>
      </c>
      <c r="I425" s="4">
        <v>136362.443</v>
      </c>
      <c r="J425" s="1">
        <v>-1.0556315715170825</v>
      </c>
      <c r="K425" s="2">
        <v>2</v>
      </c>
      <c r="L425" s="1">
        <v>2</v>
      </c>
      <c r="M425" s="4">
        <v>99795.09</v>
      </c>
    </row>
    <row r="426" spans="1:13" x14ac:dyDescent="0.25">
      <c r="A426">
        <f>RANK(H426,H$13:H$798,0)</f>
        <v>414</v>
      </c>
      <c r="B426" s="2">
        <v>164270</v>
      </c>
      <c r="C426" t="s">
        <v>751</v>
      </c>
      <c r="D426" t="s">
        <v>752</v>
      </c>
      <c r="E426" t="s">
        <v>54</v>
      </c>
      <c r="F426" t="s">
        <v>3</v>
      </c>
      <c r="G426" s="4">
        <v>2029</v>
      </c>
      <c r="H426" s="4">
        <v>134764</v>
      </c>
      <c r="I426" s="4">
        <v>131738</v>
      </c>
      <c r="J426" s="1">
        <v>2.2969834064582733</v>
      </c>
      <c r="K426" s="2">
        <v>2</v>
      </c>
      <c r="L426" s="1">
        <v>3</v>
      </c>
      <c r="M426" s="4">
        <v>66418.929999999993</v>
      </c>
    </row>
    <row r="427" spans="1:13" x14ac:dyDescent="0.25">
      <c r="A427">
        <f>RANK(H427,H$13:H$798,0)</f>
        <v>415</v>
      </c>
      <c r="B427" s="2">
        <v>219356</v>
      </c>
      <c r="C427" t="s">
        <v>753</v>
      </c>
      <c r="D427" t="s">
        <v>754</v>
      </c>
      <c r="E427" t="s">
        <v>755</v>
      </c>
      <c r="F427" t="s">
        <v>75</v>
      </c>
      <c r="G427" s="4">
        <v>10570</v>
      </c>
      <c r="H427" s="4">
        <v>132678.448</v>
      </c>
      <c r="I427" s="4">
        <v>124097.598</v>
      </c>
      <c r="J427" s="1">
        <v>6.9145979763443988</v>
      </c>
      <c r="K427" s="2">
        <v>2</v>
      </c>
      <c r="L427" s="1">
        <v>4</v>
      </c>
      <c r="M427" s="4">
        <v>12552.36</v>
      </c>
    </row>
    <row r="428" spans="1:13" x14ac:dyDescent="0.25">
      <c r="A428">
        <f>RANK(H428,H$13:H$798,0)</f>
        <v>416</v>
      </c>
      <c r="B428" s="2">
        <v>170082</v>
      </c>
      <c r="C428" t="s">
        <v>756</v>
      </c>
      <c r="D428" t="s">
        <v>757</v>
      </c>
      <c r="E428" t="s">
        <v>24</v>
      </c>
      <c r="F428" t="s">
        <v>7</v>
      </c>
      <c r="G428" s="4">
        <v>21994</v>
      </c>
      <c r="H428" s="4">
        <v>132090.935</v>
      </c>
      <c r="I428" s="4">
        <v>127801.03</v>
      </c>
      <c r="J428" s="1">
        <v>3.356706123573495</v>
      </c>
      <c r="K428" s="2">
        <v>2</v>
      </c>
      <c r="L428" s="1">
        <v>3</v>
      </c>
      <c r="M428" s="4">
        <v>6005.77</v>
      </c>
    </row>
    <row r="429" spans="1:13" x14ac:dyDescent="0.25">
      <c r="A429">
        <f>RANK(H429,H$13:H$798,0)</f>
        <v>417</v>
      </c>
      <c r="B429" s="2">
        <v>216524</v>
      </c>
      <c r="C429" t="s">
        <v>758</v>
      </c>
      <c r="D429" t="s">
        <v>602</v>
      </c>
      <c r="E429" t="s">
        <v>20</v>
      </c>
      <c r="F429" t="s">
        <v>3</v>
      </c>
      <c r="G429" s="4">
        <v>1417</v>
      </c>
      <c r="H429" s="4">
        <v>131213.37700000001</v>
      </c>
      <c r="I429" s="4">
        <v>131894.55499999999</v>
      </c>
      <c r="J429" s="1">
        <v>-0.51645649814731576</v>
      </c>
      <c r="K429" s="2">
        <v>2</v>
      </c>
      <c r="L429" s="1">
        <v>2</v>
      </c>
      <c r="M429" s="4">
        <v>92599.42</v>
      </c>
    </row>
    <row r="430" spans="1:13" x14ac:dyDescent="0.25">
      <c r="A430">
        <f>RANK(H430,H$13:H$798,0)</f>
        <v>418</v>
      </c>
      <c r="B430" s="2">
        <v>207403</v>
      </c>
      <c r="C430" t="s">
        <v>759</v>
      </c>
      <c r="D430" t="s">
        <v>760</v>
      </c>
      <c r="E430" t="s">
        <v>215</v>
      </c>
      <c r="F430" t="s">
        <v>3</v>
      </c>
      <c r="G430" s="4">
        <v>1902</v>
      </c>
      <c r="H430" s="4">
        <v>130507.73699999999</v>
      </c>
      <c r="I430" s="4">
        <v>134476.94099999999</v>
      </c>
      <c r="J430" s="1">
        <v>-2.9515870680014933</v>
      </c>
      <c r="K430" s="2">
        <v>2</v>
      </c>
      <c r="L430" s="1">
        <v>2</v>
      </c>
      <c r="M430" s="4">
        <v>68616.06</v>
      </c>
    </row>
    <row r="431" spans="1:13" x14ac:dyDescent="0.25">
      <c r="A431">
        <f>RANK(H431,H$13:H$798,0)</f>
        <v>419</v>
      </c>
      <c r="B431" s="2">
        <v>145691</v>
      </c>
      <c r="C431" t="s">
        <v>761</v>
      </c>
      <c r="D431" t="s">
        <v>762</v>
      </c>
      <c r="E431" t="s">
        <v>30</v>
      </c>
      <c r="F431" t="s">
        <v>3</v>
      </c>
      <c r="G431" s="4">
        <v>980</v>
      </c>
      <c r="H431" s="4">
        <v>129905.43700000001</v>
      </c>
      <c r="I431" s="4">
        <v>137753.93299999999</v>
      </c>
      <c r="J431" s="1">
        <v>-5.6974750768095932</v>
      </c>
      <c r="K431" s="2">
        <v>2</v>
      </c>
      <c r="L431" s="1">
        <v>2</v>
      </c>
      <c r="M431" s="4">
        <v>132556.57</v>
      </c>
    </row>
    <row r="432" spans="1:13" x14ac:dyDescent="0.25">
      <c r="A432">
        <f>RANK(H432,H$13:H$798,0)</f>
        <v>420</v>
      </c>
      <c r="B432" s="2">
        <v>185828</v>
      </c>
      <c r="C432" t="s">
        <v>763</v>
      </c>
      <c r="D432" t="s">
        <v>154</v>
      </c>
      <c r="E432" t="s">
        <v>15</v>
      </c>
      <c r="F432" t="s">
        <v>7</v>
      </c>
      <c r="G432" s="4">
        <v>9522</v>
      </c>
      <c r="H432" s="4">
        <v>129454.88099999999</v>
      </c>
      <c r="I432" s="4">
        <v>120067.74099999999</v>
      </c>
      <c r="J432" s="1">
        <v>7.8182032257940124</v>
      </c>
      <c r="K432" s="2">
        <v>2</v>
      </c>
      <c r="L432" s="1">
        <v>4</v>
      </c>
      <c r="M432" s="4">
        <v>13595.35</v>
      </c>
    </row>
    <row r="433" spans="1:13" x14ac:dyDescent="0.25">
      <c r="A433">
        <f>RANK(H433,H$13:H$798,0)</f>
        <v>421</v>
      </c>
      <c r="B433" s="2">
        <v>189705</v>
      </c>
      <c r="C433" t="s">
        <v>764</v>
      </c>
      <c r="D433" t="s">
        <v>276</v>
      </c>
      <c r="E433" t="s">
        <v>33</v>
      </c>
      <c r="F433" t="s">
        <v>3</v>
      </c>
      <c r="G433" s="4">
        <v>2841</v>
      </c>
      <c r="H433" s="4">
        <v>129200.97900000001</v>
      </c>
      <c r="I433" s="4">
        <v>133912.45300000001</v>
      </c>
      <c r="J433" s="1">
        <v>-3.5183240202462738</v>
      </c>
      <c r="K433" s="2">
        <v>2</v>
      </c>
      <c r="L433" s="1">
        <v>3</v>
      </c>
      <c r="M433" s="4">
        <v>45477.29</v>
      </c>
    </row>
    <row r="434" spans="1:13" x14ac:dyDescent="0.25">
      <c r="A434">
        <f>RANK(H434,H$13:H$798,0)</f>
        <v>422</v>
      </c>
      <c r="B434" s="2">
        <v>102368</v>
      </c>
      <c r="C434" t="s">
        <v>765</v>
      </c>
      <c r="D434" t="s">
        <v>302</v>
      </c>
      <c r="E434" t="s">
        <v>150</v>
      </c>
      <c r="F434" t="s">
        <v>3</v>
      </c>
      <c r="G434" s="4">
        <v>12758</v>
      </c>
      <c r="H434" s="4">
        <v>129191.77</v>
      </c>
      <c r="I434" s="4">
        <v>120006.98699999999</v>
      </c>
      <c r="J434" s="1">
        <v>7.653540205954851</v>
      </c>
      <c r="K434" s="2">
        <v>2</v>
      </c>
      <c r="L434" s="1">
        <v>3</v>
      </c>
      <c r="M434" s="4">
        <v>10126.33</v>
      </c>
    </row>
    <row r="435" spans="1:13" x14ac:dyDescent="0.25">
      <c r="A435">
        <f>RANK(H435,H$13:H$798,0)</f>
        <v>423</v>
      </c>
      <c r="B435" s="2">
        <v>154095</v>
      </c>
      <c r="C435" t="s">
        <v>766</v>
      </c>
      <c r="D435" t="s">
        <v>767</v>
      </c>
      <c r="E435" t="s">
        <v>113</v>
      </c>
      <c r="F435" t="s">
        <v>75</v>
      </c>
      <c r="G435" s="4">
        <v>9903</v>
      </c>
      <c r="H435" s="4">
        <v>129019.23299999999</v>
      </c>
      <c r="I435" s="4">
        <v>127005.84600000001</v>
      </c>
      <c r="J435" s="1">
        <v>1.5852711220867641</v>
      </c>
      <c r="K435" s="2">
        <v>2</v>
      </c>
      <c r="L435" s="1">
        <v>3</v>
      </c>
      <c r="M435" s="4">
        <v>13028.3</v>
      </c>
    </row>
    <row r="436" spans="1:13" x14ac:dyDescent="0.25">
      <c r="A436">
        <f>RANK(H436,H$13:H$798,0)</f>
        <v>424</v>
      </c>
      <c r="B436" s="2">
        <v>220075</v>
      </c>
      <c r="C436" t="s">
        <v>768</v>
      </c>
      <c r="D436" t="s">
        <v>769</v>
      </c>
      <c r="E436" t="s">
        <v>57</v>
      </c>
      <c r="F436" t="s">
        <v>87</v>
      </c>
      <c r="G436" s="4">
        <v>12551</v>
      </c>
      <c r="H436" s="4">
        <v>127683.901</v>
      </c>
      <c r="I436" s="4">
        <v>122862.162</v>
      </c>
      <c r="J436" s="1">
        <v>3.9245109491073431</v>
      </c>
      <c r="K436" s="2">
        <v>2</v>
      </c>
      <c r="L436" s="1">
        <v>4</v>
      </c>
      <c r="M436" s="4">
        <v>10173.209999999999</v>
      </c>
    </row>
    <row r="437" spans="1:13" x14ac:dyDescent="0.25">
      <c r="A437">
        <f>RANK(H437,H$13:H$798,0)</f>
        <v>425</v>
      </c>
      <c r="B437" s="2">
        <v>223001</v>
      </c>
      <c r="C437" t="s">
        <v>1443</v>
      </c>
      <c r="D437" t="s">
        <v>5</v>
      </c>
      <c r="E437" t="s">
        <v>6</v>
      </c>
      <c r="F437" t="s">
        <v>3</v>
      </c>
      <c r="G437" s="4">
        <v>104.29</v>
      </c>
      <c r="H437" s="4">
        <v>127642.303</v>
      </c>
      <c r="I437" s="4">
        <v>125837.56</v>
      </c>
      <c r="J437" s="1">
        <v>1.4341846742737241</v>
      </c>
      <c r="K437" s="2">
        <v>2</v>
      </c>
      <c r="L437" s="1">
        <v>5</v>
      </c>
      <c r="M437" s="4">
        <v>1223916.99</v>
      </c>
    </row>
    <row r="438" spans="1:13" x14ac:dyDescent="0.25">
      <c r="A438">
        <f>RANK(H438,H$13:H$798,0)</f>
        <v>426</v>
      </c>
      <c r="B438" s="2">
        <v>107141</v>
      </c>
      <c r="C438" t="s">
        <v>770</v>
      </c>
      <c r="D438" t="s">
        <v>771</v>
      </c>
      <c r="E438" t="s">
        <v>204</v>
      </c>
      <c r="F438" t="s">
        <v>3</v>
      </c>
      <c r="G438" s="4">
        <v>1821</v>
      </c>
      <c r="H438" s="4">
        <v>125569.692</v>
      </c>
      <c r="I438" s="4">
        <v>120036.52499999999</v>
      </c>
      <c r="J438" s="1">
        <v>4.6095694622949148</v>
      </c>
      <c r="K438" s="2">
        <v>2</v>
      </c>
      <c r="L438" s="1">
        <v>3</v>
      </c>
      <c r="M438" s="4">
        <v>68956.45</v>
      </c>
    </row>
    <row r="439" spans="1:13" x14ac:dyDescent="0.25">
      <c r="A439">
        <f>RANK(H439,H$13:H$798,0)</f>
        <v>427</v>
      </c>
      <c r="B439" s="2">
        <v>236577</v>
      </c>
      <c r="C439" t="s">
        <v>772</v>
      </c>
      <c r="D439" t="s">
        <v>81</v>
      </c>
      <c r="E439" t="s">
        <v>82</v>
      </c>
      <c r="F439" t="s">
        <v>3</v>
      </c>
      <c r="G439" s="4">
        <v>3650.6</v>
      </c>
      <c r="H439" s="4">
        <v>124901.486</v>
      </c>
      <c r="I439" s="4">
        <v>114115.83900000001</v>
      </c>
      <c r="J439" s="1">
        <v>9.4514899022912999</v>
      </c>
      <c r="K439" s="2">
        <v>2</v>
      </c>
      <c r="L439" s="1">
        <v>4</v>
      </c>
      <c r="M439" s="4">
        <v>34213.96</v>
      </c>
    </row>
    <row r="440" spans="1:13" x14ac:dyDescent="0.25">
      <c r="A440">
        <f>RANK(H440,H$13:H$798,0)</f>
        <v>428</v>
      </c>
      <c r="B440" s="2">
        <v>148487</v>
      </c>
      <c r="C440" t="s">
        <v>773</v>
      </c>
      <c r="D440" t="s">
        <v>38</v>
      </c>
      <c r="E440" t="s">
        <v>30</v>
      </c>
      <c r="F440" t="s">
        <v>3</v>
      </c>
      <c r="G440" s="4">
        <v>3498</v>
      </c>
      <c r="H440" s="4">
        <v>123352.64101000001</v>
      </c>
      <c r="I440" s="4">
        <v>122245.53489</v>
      </c>
      <c r="J440" s="1">
        <v>0.90564135614132402</v>
      </c>
      <c r="K440" s="2">
        <v>2</v>
      </c>
      <c r="L440" s="1">
        <v>4</v>
      </c>
      <c r="M440" s="4">
        <v>35263.760000000002</v>
      </c>
    </row>
    <row r="441" spans="1:13" x14ac:dyDescent="0.25">
      <c r="A441">
        <f>RANK(H441,H$13:H$798,0)</f>
        <v>429</v>
      </c>
      <c r="B441" s="2">
        <v>147341</v>
      </c>
      <c r="C441" t="s">
        <v>774</v>
      </c>
      <c r="D441" t="s">
        <v>775</v>
      </c>
      <c r="E441" t="s">
        <v>30</v>
      </c>
      <c r="F441" t="s">
        <v>3</v>
      </c>
      <c r="G441" s="4">
        <v>901</v>
      </c>
      <c r="H441" s="4">
        <v>122619.245</v>
      </c>
      <c r="I441" s="4">
        <v>118155.19899999999</v>
      </c>
      <c r="J441" s="1">
        <v>3.7781206733019017</v>
      </c>
      <c r="K441" s="2">
        <v>2</v>
      </c>
      <c r="L441" s="1">
        <v>2</v>
      </c>
      <c r="M441" s="4">
        <v>136092.39000000001</v>
      </c>
    </row>
    <row r="442" spans="1:13" x14ac:dyDescent="0.25">
      <c r="A442">
        <f>RANK(H442,H$13:H$798,0)</f>
        <v>430</v>
      </c>
      <c r="B442" s="2">
        <v>213251</v>
      </c>
      <c r="C442" t="s">
        <v>776</v>
      </c>
      <c r="D442" t="s">
        <v>777</v>
      </c>
      <c r="E442" t="s">
        <v>20</v>
      </c>
      <c r="F442" t="s">
        <v>3</v>
      </c>
      <c r="G442" s="4">
        <v>1381</v>
      </c>
      <c r="H442" s="4">
        <v>120223.289</v>
      </c>
      <c r="I442" s="4">
        <v>120923.564</v>
      </c>
      <c r="J442" s="1">
        <v>-0.57910549179644943</v>
      </c>
      <c r="K442" s="2">
        <v>2</v>
      </c>
      <c r="L442" s="1">
        <v>2</v>
      </c>
      <c r="M442" s="4">
        <v>87055.24</v>
      </c>
    </row>
    <row r="443" spans="1:13" x14ac:dyDescent="0.25">
      <c r="A443">
        <f>RANK(H443,H$13:H$798,0)</f>
        <v>431</v>
      </c>
      <c r="B443" s="2">
        <v>196079</v>
      </c>
      <c r="C443" t="s">
        <v>778</v>
      </c>
      <c r="D443" t="s">
        <v>779</v>
      </c>
      <c r="E443" t="s">
        <v>33</v>
      </c>
      <c r="F443" t="s">
        <v>75</v>
      </c>
      <c r="G443" s="4">
        <v>16421</v>
      </c>
      <c r="H443" s="4">
        <v>119421.943</v>
      </c>
      <c r="I443" s="4">
        <v>114285.83900000001</v>
      </c>
      <c r="J443" s="1">
        <v>4.4940860958285409</v>
      </c>
      <c r="K443" s="2">
        <v>2</v>
      </c>
      <c r="L443" s="1">
        <v>4</v>
      </c>
      <c r="M443" s="4">
        <v>7272.51</v>
      </c>
    </row>
    <row r="444" spans="1:13" x14ac:dyDescent="0.25">
      <c r="A444">
        <f>RANK(H444,H$13:H$798,0)</f>
        <v>432</v>
      </c>
      <c r="B444" s="2">
        <v>206525</v>
      </c>
      <c r="C444" t="s">
        <v>780</v>
      </c>
      <c r="D444" t="s">
        <v>781</v>
      </c>
      <c r="E444" t="s">
        <v>63</v>
      </c>
      <c r="F444" t="s">
        <v>3</v>
      </c>
      <c r="G444" s="4">
        <v>1567</v>
      </c>
      <c r="H444" s="4">
        <v>119173.908</v>
      </c>
      <c r="I444" s="4">
        <v>115955.75599999999</v>
      </c>
      <c r="J444" s="1">
        <v>2.7753275137113524</v>
      </c>
      <c r="K444" s="2">
        <v>2</v>
      </c>
      <c r="L444" s="1">
        <v>2</v>
      </c>
      <c r="M444" s="4">
        <v>76052.27</v>
      </c>
    </row>
    <row r="445" spans="1:13" x14ac:dyDescent="0.25">
      <c r="A445">
        <f>RANK(H445,H$13:H$798,0)</f>
        <v>433</v>
      </c>
      <c r="B445" s="2">
        <v>110608</v>
      </c>
      <c r="C445" t="s">
        <v>782</v>
      </c>
      <c r="D445" t="s">
        <v>783</v>
      </c>
      <c r="E445" t="s">
        <v>12</v>
      </c>
      <c r="F445" t="s">
        <v>7</v>
      </c>
      <c r="G445" s="4">
        <v>32409</v>
      </c>
      <c r="H445" s="4">
        <v>119016.374</v>
      </c>
      <c r="I445" s="4">
        <v>110709.702</v>
      </c>
      <c r="J445" s="1">
        <v>7.5031111546122586</v>
      </c>
      <c r="K445" s="2">
        <v>2</v>
      </c>
      <c r="L445" s="1">
        <v>3</v>
      </c>
      <c r="M445" s="4">
        <v>3672.32</v>
      </c>
    </row>
    <row r="446" spans="1:13" x14ac:dyDescent="0.25">
      <c r="A446">
        <f>RANK(H446,H$13:H$798,0)</f>
        <v>434</v>
      </c>
      <c r="B446" s="2">
        <v>147660</v>
      </c>
      <c r="C446" t="s">
        <v>784</v>
      </c>
      <c r="D446" t="s">
        <v>785</v>
      </c>
      <c r="E446" t="s">
        <v>30</v>
      </c>
      <c r="F446" t="s">
        <v>3</v>
      </c>
      <c r="G446" s="4">
        <v>2793</v>
      </c>
      <c r="H446" s="4">
        <v>118586.101</v>
      </c>
      <c r="I446" s="4">
        <v>115883.391</v>
      </c>
      <c r="J446" s="1">
        <v>2.3322669251195727</v>
      </c>
      <c r="K446" s="2">
        <v>2</v>
      </c>
      <c r="L446" s="1">
        <v>3</v>
      </c>
      <c r="M446" s="4">
        <v>42458.32</v>
      </c>
    </row>
    <row r="447" spans="1:13" x14ac:dyDescent="0.25">
      <c r="A447">
        <f>RANK(H447,H$13:H$798,0)</f>
        <v>435</v>
      </c>
      <c r="B447" s="2">
        <v>195304</v>
      </c>
      <c r="C447" t="s">
        <v>786</v>
      </c>
      <c r="D447" t="s">
        <v>787</v>
      </c>
      <c r="E447" t="s">
        <v>33</v>
      </c>
      <c r="F447" t="s">
        <v>3</v>
      </c>
      <c r="G447" s="4">
        <v>1665</v>
      </c>
      <c r="H447" s="4">
        <v>117045.69516</v>
      </c>
      <c r="I447" s="4">
        <v>112734.89331999999</v>
      </c>
      <c r="J447" s="1">
        <v>3.8238399071028764</v>
      </c>
      <c r="K447" s="2">
        <v>2</v>
      </c>
      <c r="L447" s="1">
        <v>2</v>
      </c>
      <c r="M447" s="4">
        <v>70297.710000000006</v>
      </c>
    </row>
    <row r="448" spans="1:13" x14ac:dyDescent="0.25">
      <c r="A448">
        <f>RANK(H448,H$13:H$798,0)</f>
        <v>436</v>
      </c>
      <c r="B448" s="2">
        <v>227881</v>
      </c>
      <c r="C448" t="s">
        <v>788</v>
      </c>
      <c r="D448" t="s">
        <v>789</v>
      </c>
      <c r="E448" t="s">
        <v>6</v>
      </c>
      <c r="F448" t="s">
        <v>7</v>
      </c>
      <c r="G448" s="4">
        <v>17568</v>
      </c>
      <c r="H448" s="4">
        <v>116920.90121</v>
      </c>
      <c r="I448" s="4">
        <v>118129.35929000001</v>
      </c>
      <c r="J448" s="1">
        <v>-1.0229955425673005</v>
      </c>
      <c r="K448" s="2">
        <v>2</v>
      </c>
      <c r="L448" s="1">
        <v>4</v>
      </c>
      <c r="M448" s="4">
        <v>6655.33</v>
      </c>
    </row>
    <row r="449" spans="1:13" x14ac:dyDescent="0.25">
      <c r="A449">
        <f>RANK(H449,H$13:H$798,0)</f>
        <v>437</v>
      </c>
      <c r="B449" s="2">
        <v>216807</v>
      </c>
      <c r="C449" t="s">
        <v>790</v>
      </c>
      <c r="D449" t="s">
        <v>791</v>
      </c>
      <c r="E449" t="s">
        <v>20</v>
      </c>
      <c r="F449" t="s">
        <v>3</v>
      </c>
      <c r="G449" s="4">
        <v>1178</v>
      </c>
      <c r="H449" s="4">
        <v>116515.291</v>
      </c>
      <c r="I449" s="4">
        <v>122798.342</v>
      </c>
      <c r="J449" s="1">
        <v>-5.1165601242401193</v>
      </c>
      <c r="K449" s="2">
        <v>2</v>
      </c>
      <c r="L449" s="1">
        <v>2</v>
      </c>
      <c r="M449" s="4">
        <v>98909.42</v>
      </c>
    </row>
    <row r="450" spans="1:13" x14ac:dyDescent="0.25">
      <c r="A450">
        <f>RANK(H450,H$13:H$798,0)</f>
        <v>438</v>
      </c>
      <c r="B450" s="2">
        <v>136172</v>
      </c>
      <c r="C450" t="s">
        <v>792</v>
      </c>
      <c r="D450" t="s">
        <v>762</v>
      </c>
      <c r="E450" t="s">
        <v>127</v>
      </c>
      <c r="F450" t="s">
        <v>75</v>
      </c>
      <c r="G450" s="4">
        <v>14099</v>
      </c>
      <c r="H450" s="4">
        <v>116185.883</v>
      </c>
      <c r="I450" s="4">
        <v>112498.289</v>
      </c>
      <c r="J450" s="1">
        <v>3.2779111867203574</v>
      </c>
      <c r="K450" s="2">
        <v>2</v>
      </c>
      <c r="L450" s="1">
        <v>4</v>
      </c>
      <c r="M450" s="4">
        <v>8240.7199999999993</v>
      </c>
    </row>
    <row r="451" spans="1:13" x14ac:dyDescent="0.25">
      <c r="A451">
        <f>RANK(H451,H$13:H$798,0)</f>
        <v>439</v>
      </c>
      <c r="B451" s="2">
        <v>168227</v>
      </c>
      <c r="C451" t="s">
        <v>793</v>
      </c>
      <c r="D451" t="s">
        <v>1</v>
      </c>
      <c r="E451" t="s">
        <v>2</v>
      </c>
      <c r="F451" t="s">
        <v>3</v>
      </c>
      <c r="G451" s="4">
        <v>4230</v>
      </c>
      <c r="H451" s="4">
        <v>116142.47500000001</v>
      </c>
      <c r="I451" s="4">
        <v>112633.959</v>
      </c>
      <c r="J451" s="1">
        <v>3.1149717466647897</v>
      </c>
      <c r="K451" s="2">
        <v>2</v>
      </c>
      <c r="L451" s="1">
        <v>3</v>
      </c>
      <c r="M451" s="4">
        <v>27456.85</v>
      </c>
    </row>
    <row r="452" spans="1:13" x14ac:dyDescent="0.25">
      <c r="A452">
        <f>RANK(H452,H$13:H$798,0)</f>
        <v>440</v>
      </c>
      <c r="B452" s="2">
        <v>107558</v>
      </c>
      <c r="C452" t="s">
        <v>794</v>
      </c>
      <c r="D452" t="s">
        <v>795</v>
      </c>
      <c r="E452" t="s">
        <v>204</v>
      </c>
      <c r="F452" t="s">
        <v>3</v>
      </c>
      <c r="G452" s="4">
        <v>865</v>
      </c>
      <c r="H452" s="4">
        <v>115067.93700000001</v>
      </c>
      <c r="I452" s="4">
        <v>114827.74099999999</v>
      </c>
      <c r="J452" s="1">
        <v>0.2091794177158034</v>
      </c>
      <c r="K452" s="2">
        <v>2</v>
      </c>
      <c r="L452" s="1">
        <v>2</v>
      </c>
      <c r="M452" s="4">
        <v>133026.51999999999</v>
      </c>
    </row>
    <row r="453" spans="1:13" x14ac:dyDescent="0.25">
      <c r="A453">
        <f>RANK(H453,H$13:H$798,0)</f>
        <v>441</v>
      </c>
      <c r="B453" s="2">
        <v>142115</v>
      </c>
      <c r="C453" t="s">
        <v>796</v>
      </c>
      <c r="D453" t="s">
        <v>797</v>
      </c>
      <c r="E453" t="s">
        <v>500</v>
      </c>
      <c r="F453" t="s">
        <v>75</v>
      </c>
      <c r="G453" s="4">
        <v>16955</v>
      </c>
      <c r="H453" s="4">
        <v>115056.046</v>
      </c>
      <c r="I453" s="4">
        <v>107954.663</v>
      </c>
      <c r="J453" s="1">
        <v>6.5781160374702869</v>
      </c>
      <c r="K453" s="2">
        <v>2</v>
      </c>
      <c r="L453" s="1">
        <v>4</v>
      </c>
      <c r="M453" s="4">
        <v>6785.97</v>
      </c>
    </row>
    <row r="454" spans="1:13" x14ac:dyDescent="0.25">
      <c r="A454">
        <f>RANK(H454,H$13:H$798,0)</f>
        <v>442</v>
      </c>
      <c r="B454" s="2">
        <v>198950</v>
      </c>
      <c r="C454" t="s">
        <v>798</v>
      </c>
      <c r="D454" t="s">
        <v>172</v>
      </c>
      <c r="E454" t="s">
        <v>36</v>
      </c>
      <c r="F454" t="s">
        <v>3</v>
      </c>
      <c r="G454" s="4">
        <v>1748</v>
      </c>
      <c r="H454" s="4">
        <v>114786.235</v>
      </c>
      <c r="I454" s="4">
        <v>112549.603</v>
      </c>
      <c r="J454" s="1">
        <v>1.9872411278074413</v>
      </c>
      <c r="K454" s="2">
        <v>2</v>
      </c>
      <c r="L454" s="1">
        <v>2</v>
      </c>
      <c r="M454" s="4">
        <v>65667.179999999993</v>
      </c>
    </row>
    <row r="455" spans="1:13" x14ac:dyDescent="0.25">
      <c r="A455">
        <f>RANK(H455,H$13:H$798,0)</f>
        <v>443</v>
      </c>
      <c r="B455" s="2">
        <v>155061</v>
      </c>
      <c r="C455" t="s">
        <v>799</v>
      </c>
      <c r="D455" t="s">
        <v>800</v>
      </c>
      <c r="E455" t="s">
        <v>133</v>
      </c>
      <c r="F455" t="s">
        <v>75</v>
      </c>
      <c r="G455" s="4">
        <v>9480</v>
      </c>
      <c r="H455" s="4">
        <v>114718.568</v>
      </c>
      <c r="I455" s="4">
        <v>97610.951000000001</v>
      </c>
      <c r="J455" s="1">
        <v>17.526329602095565</v>
      </c>
      <c r="K455" s="2">
        <v>2</v>
      </c>
      <c r="L455" s="1">
        <v>3</v>
      </c>
      <c r="M455" s="4">
        <v>12101.11</v>
      </c>
    </row>
    <row r="456" spans="1:13" x14ac:dyDescent="0.25">
      <c r="A456">
        <f>RANK(H456,H$13:H$798,0)</f>
        <v>444</v>
      </c>
      <c r="B456" s="2">
        <v>238333</v>
      </c>
      <c r="C456" t="s">
        <v>801</v>
      </c>
      <c r="D456" t="s">
        <v>802</v>
      </c>
      <c r="E456" t="s">
        <v>74</v>
      </c>
      <c r="F456" t="s">
        <v>3</v>
      </c>
      <c r="G456" s="4">
        <v>1209.5</v>
      </c>
      <c r="H456" s="4">
        <v>114121.073</v>
      </c>
      <c r="I456" s="4">
        <v>145407.33600000001</v>
      </c>
      <c r="J456" s="1">
        <v>-21.516289246919428</v>
      </c>
      <c r="K456" s="2">
        <v>2</v>
      </c>
      <c r="L456" s="1">
        <v>2</v>
      </c>
      <c r="M456" s="4">
        <v>94353.93</v>
      </c>
    </row>
    <row r="457" spans="1:13" x14ac:dyDescent="0.25">
      <c r="A457">
        <f>RANK(H457,H$13:H$798,0)</f>
        <v>445</v>
      </c>
      <c r="B457" s="2">
        <v>181020</v>
      </c>
      <c r="C457" t="s">
        <v>803</v>
      </c>
      <c r="D457" t="s">
        <v>804</v>
      </c>
      <c r="E457" t="s">
        <v>163</v>
      </c>
      <c r="F457" t="s">
        <v>3</v>
      </c>
      <c r="G457" s="4">
        <v>1011</v>
      </c>
      <c r="H457" s="4">
        <v>113944.35</v>
      </c>
      <c r="I457" s="4">
        <v>112859.27800000001</v>
      </c>
      <c r="J457" s="1">
        <v>0.961438013098046</v>
      </c>
      <c r="K457" s="2">
        <v>2</v>
      </c>
      <c r="L457" s="1">
        <v>2</v>
      </c>
      <c r="M457" s="4">
        <v>112704.6</v>
      </c>
    </row>
    <row r="458" spans="1:13" x14ac:dyDescent="0.25">
      <c r="A458">
        <f>RANK(H458,H$13:H$798,0)</f>
        <v>446</v>
      </c>
      <c r="B458" s="2">
        <v>171128</v>
      </c>
      <c r="C458" t="s">
        <v>805</v>
      </c>
      <c r="D458" t="s">
        <v>806</v>
      </c>
      <c r="E458" t="s">
        <v>24</v>
      </c>
      <c r="F458" t="s">
        <v>7</v>
      </c>
      <c r="G458" s="4">
        <v>6683</v>
      </c>
      <c r="H458" s="4">
        <v>113644.98699999999</v>
      </c>
      <c r="I458" s="4">
        <v>115253.68399999999</v>
      </c>
      <c r="J458" s="1">
        <v>-1.3957879211913089</v>
      </c>
      <c r="K458" s="2">
        <v>2</v>
      </c>
      <c r="L458" s="1">
        <v>4</v>
      </c>
      <c r="M458" s="4">
        <v>17005.09</v>
      </c>
    </row>
    <row r="459" spans="1:13" x14ac:dyDescent="0.25">
      <c r="A459">
        <f>RANK(H459,H$13:H$798,0)</f>
        <v>447</v>
      </c>
      <c r="B459" s="2">
        <v>150668</v>
      </c>
      <c r="C459" t="s">
        <v>807</v>
      </c>
      <c r="D459" t="s">
        <v>808</v>
      </c>
      <c r="E459" t="s">
        <v>27</v>
      </c>
      <c r="F459" t="s">
        <v>3</v>
      </c>
      <c r="G459" s="4">
        <v>856.3</v>
      </c>
      <c r="H459" s="4">
        <v>113642.851</v>
      </c>
      <c r="I459" s="4">
        <v>112179.098</v>
      </c>
      <c r="J459" s="1">
        <v>1.3048357725251072</v>
      </c>
      <c r="K459" s="2">
        <v>2</v>
      </c>
      <c r="L459" s="1">
        <v>2</v>
      </c>
      <c r="M459" s="4">
        <v>132713.82999999999</v>
      </c>
    </row>
    <row r="460" spans="1:13" x14ac:dyDescent="0.25">
      <c r="A460">
        <f>RANK(H460,H$13:H$798,0)</f>
        <v>448</v>
      </c>
      <c r="B460" s="2">
        <v>232186</v>
      </c>
      <c r="C460" t="s">
        <v>809</v>
      </c>
      <c r="D460" t="s">
        <v>810</v>
      </c>
      <c r="E460" t="s">
        <v>49</v>
      </c>
      <c r="F460" t="s">
        <v>75</v>
      </c>
      <c r="G460" s="4">
        <v>29579</v>
      </c>
      <c r="H460" s="4">
        <v>113198.711</v>
      </c>
      <c r="I460" s="4">
        <v>91758.201000000001</v>
      </c>
      <c r="J460" s="1">
        <v>23.366314690498342</v>
      </c>
      <c r="K460" s="2">
        <v>2</v>
      </c>
      <c r="L460" s="1">
        <v>4</v>
      </c>
      <c r="M460" s="4">
        <v>3827</v>
      </c>
    </row>
    <row r="461" spans="1:13" x14ac:dyDescent="0.25">
      <c r="A461">
        <f>RANK(H461,H$13:H$798,0)</f>
        <v>449</v>
      </c>
      <c r="B461" s="2">
        <v>232609</v>
      </c>
      <c r="C461" t="s">
        <v>811</v>
      </c>
      <c r="D461" t="s">
        <v>145</v>
      </c>
      <c r="E461" t="s">
        <v>49</v>
      </c>
      <c r="F461" t="s">
        <v>3</v>
      </c>
      <c r="G461" s="4">
        <v>2660</v>
      </c>
      <c r="H461" s="4">
        <v>112879.454</v>
      </c>
      <c r="I461" s="4">
        <v>109550.24400000001</v>
      </c>
      <c r="J461" s="1">
        <v>3.0389799953343708</v>
      </c>
      <c r="K461" s="2">
        <v>2</v>
      </c>
      <c r="L461" s="1">
        <v>3</v>
      </c>
      <c r="M461" s="4">
        <v>42435.88</v>
      </c>
    </row>
    <row r="462" spans="1:13" x14ac:dyDescent="0.25">
      <c r="A462">
        <f>RANK(H462,H$13:H$798,0)</f>
        <v>450</v>
      </c>
      <c r="B462" s="2">
        <v>125763</v>
      </c>
      <c r="C462" t="s">
        <v>812</v>
      </c>
      <c r="D462" t="s">
        <v>813</v>
      </c>
      <c r="E462" t="s">
        <v>12</v>
      </c>
      <c r="F462" t="s">
        <v>3</v>
      </c>
      <c r="G462" s="4">
        <v>1400</v>
      </c>
      <c r="H462" s="4">
        <v>112868.27099999999</v>
      </c>
      <c r="I462" s="4">
        <v>106223.568</v>
      </c>
      <c r="J462" s="1">
        <v>6.255394283121797</v>
      </c>
      <c r="K462" s="2">
        <v>2</v>
      </c>
      <c r="L462" s="1">
        <v>2</v>
      </c>
      <c r="M462" s="4">
        <v>80620.19</v>
      </c>
    </row>
    <row r="463" spans="1:13" x14ac:dyDescent="0.25">
      <c r="A463">
        <f>RANK(H463,H$13:H$798,0)</f>
        <v>451</v>
      </c>
      <c r="B463" s="2">
        <v>196884</v>
      </c>
      <c r="C463" t="s">
        <v>814</v>
      </c>
      <c r="D463" t="s">
        <v>46</v>
      </c>
      <c r="E463" t="s">
        <v>33</v>
      </c>
      <c r="F463" t="s">
        <v>3</v>
      </c>
      <c r="G463" s="4">
        <v>220</v>
      </c>
      <c r="H463" s="4">
        <v>112560</v>
      </c>
      <c r="I463" s="4">
        <v>111819</v>
      </c>
      <c r="J463" s="1">
        <v>0.66267807796528311</v>
      </c>
      <c r="K463" s="2">
        <v>2</v>
      </c>
      <c r="L463" s="1">
        <v>5</v>
      </c>
      <c r="M463" s="4">
        <v>511636.36</v>
      </c>
    </row>
    <row r="464" spans="1:13" x14ac:dyDescent="0.25">
      <c r="A464">
        <f>RANK(H464,H$13:H$798,0)</f>
        <v>452</v>
      </c>
      <c r="B464" s="2">
        <v>144962</v>
      </c>
      <c r="C464" t="s">
        <v>815</v>
      </c>
      <c r="D464" t="s">
        <v>816</v>
      </c>
      <c r="E464" t="s">
        <v>30</v>
      </c>
      <c r="F464" t="s">
        <v>3</v>
      </c>
      <c r="G464" s="4">
        <v>4536</v>
      </c>
      <c r="H464" s="4">
        <v>112339.15992000001</v>
      </c>
      <c r="I464" s="4">
        <v>108545.20032999999</v>
      </c>
      <c r="J464" s="1">
        <v>3.4952808401159947</v>
      </c>
      <c r="K464" s="2">
        <v>2</v>
      </c>
      <c r="L464" s="1">
        <v>3</v>
      </c>
      <c r="M464" s="4">
        <v>24766.13</v>
      </c>
    </row>
    <row r="465" spans="1:13" x14ac:dyDescent="0.25">
      <c r="A465">
        <f>RANK(H465,H$13:H$798,0)</f>
        <v>453</v>
      </c>
      <c r="B465" s="2">
        <v>117140</v>
      </c>
      <c r="C465" t="s">
        <v>817</v>
      </c>
      <c r="D465" t="s">
        <v>818</v>
      </c>
      <c r="E465" t="s">
        <v>12</v>
      </c>
      <c r="F465" t="s">
        <v>3</v>
      </c>
      <c r="G465" s="4">
        <v>8064</v>
      </c>
      <c r="H465" s="4">
        <v>111994.318</v>
      </c>
      <c r="I465" s="4">
        <v>102270.889</v>
      </c>
      <c r="J465" s="1">
        <v>9.5075236903435965</v>
      </c>
      <c r="K465" s="2">
        <v>2</v>
      </c>
      <c r="L465" s="1">
        <v>4</v>
      </c>
      <c r="M465" s="4">
        <v>13888.18</v>
      </c>
    </row>
    <row r="466" spans="1:13" x14ac:dyDescent="0.25">
      <c r="A466">
        <f>RANK(H466,H$13:H$798,0)</f>
        <v>454</v>
      </c>
      <c r="B466" s="2">
        <v>238476</v>
      </c>
      <c r="C466" t="s">
        <v>819</v>
      </c>
      <c r="D466" t="s">
        <v>820</v>
      </c>
      <c r="E466" t="s">
        <v>74</v>
      </c>
      <c r="F466" t="s">
        <v>3</v>
      </c>
      <c r="G466" s="4">
        <v>2778</v>
      </c>
      <c r="H466" s="4">
        <v>111495.804</v>
      </c>
      <c r="I466" s="4">
        <v>108980.136</v>
      </c>
      <c r="J466" s="1">
        <v>2.3083729680792517</v>
      </c>
      <c r="K466" s="2">
        <v>2</v>
      </c>
      <c r="L466" s="1">
        <v>2</v>
      </c>
      <c r="M466" s="4">
        <v>40135.279999999999</v>
      </c>
    </row>
    <row r="467" spans="1:13" x14ac:dyDescent="0.25">
      <c r="A467">
        <f>RANK(H467,H$13:H$798,0)</f>
        <v>455</v>
      </c>
      <c r="B467" s="2">
        <v>232423</v>
      </c>
      <c r="C467" t="s">
        <v>821</v>
      </c>
      <c r="D467" t="s">
        <v>822</v>
      </c>
      <c r="E467" t="s">
        <v>49</v>
      </c>
      <c r="F467" t="s">
        <v>75</v>
      </c>
      <c r="G467" s="4">
        <v>20526</v>
      </c>
      <c r="H467" s="4">
        <v>111064.81299999999</v>
      </c>
      <c r="I467" s="4">
        <v>103924.454</v>
      </c>
      <c r="J467" s="1">
        <v>6.8707207256532676</v>
      </c>
      <c r="K467" s="2">
        <v>2</v>
      </c>
      <c r="L467" s="1">
        <v>3</v>
      </c>
      <c r="M467" s="4">
        <v>5410.93</v>
      </c>
    </row>
    <row r="468" spans="1:13" x14ac:dyDescent="0.25">
      <c r="A468">
        <f>RANK(H468,H$13:H$798,0)</f>
        <v>456</v>
      </c>
      <c r="B468" s="2">
        <v>177117</v>
      </c>
      <c r="C468" t="s">
        <v>823</v>
      </c>
      <c r="D468" t="s">
        <v>824</v>
      </c>
      <c r="E468" t="s">
        <v>41</v>
      </c>
      <c r="F468" t="s">
        <v>3</v>
      </c>
      <c r="G468" s="4">
        <v>269</v>
      </c>
      <c r="H468" s="4">
        <v>110199.677</v>
      </c>
      <c r="I468" s="4">
        <v>111273.341</v>
      </c>
      <c r="J468" s="1">
        <v>-0.96488879578083697</v>
      </c>
      <c r="K468" s="2">
        <v>2</v>
      </c>
      <c r="L468" s="1">
        <v>2</v>
      </c>
      <c r="M468" s="4">
        <v>409664.23</v>
      </c>
    </row>
    <row r="469" spans="1:13" x14ac:dyDescent="0.25">
      <c r="A469">
        <f>RANK(H469,H$13:H$798,0)</f>
        <v>457</v>
      </c>
      <c r="B469" s="2">
        <v>151263</v>
      </c>
      <c r="C469" t="s">
        <v>825</v>
      </c>
      <c r="D469" t="s">
        <v>826</v>
      </c>
      <c r="E469" t="s">
        <v>27</v>
      </c>
      <c r="F469" t="s">
        <v>3</v>
      </c>
      <c r="G469" s="4">
        <v>5095</v>
      </c>
      <c r="H469" s="4">
        <v>109447.757</v>
      </c>
      <c r="I469" s="4">
        <v>107804.96400000001</v>
      </c>
      <c r="J469" s="1">
        <v>1.5238565452329176</v>
      </c>
      <c r="K469" s="2">
        <v>2</v>
      </c>
      <c r="L469" s="1">
        <v>4</v>
      </c>
      <c r="M469" s="4">
        <v>21481.4</v>
      </c>
    </row>
    <row r="470" spans="1:13" x14ac:dyDescent="0.25">
      <c r="A470">
        <f>RANK(H470,H$13:H$798,0)</f>
        <v>458</v>
      </c>
      <c r="B470" s="2">
        <v>196307</v>
      </c>
      <c r="C470" t="s">
        <v>827</v>
      </c>
      <c r="D470" t="s">
        <v>174</v>
      </c>
      <c r="E470" t="s">
        <v>33</v>
      </c>
      <c r="F470" t="s">
        <v>87</v>
      </c>
      <c r="G470" s="4">
        <v>1538</v>
      </c>
      <c r="H470" s="4">
        <v>109069.01700000001</v>
      </c>
      <c r="I470" s="4">
        <v>100580.23</v>
      </c>
      <c r="J470" s="1">
        <v>8.4398166518410331</v>
      </c>
      <c r="K470" s="2">
        <v>2</v>
      </c>
      <c r="L470" s="1">
        <v>5</v>
      </c>
      <c r="M470" s="4">
        <v>70916.14</v>
      </c>
    </row>
    <row r="471" spans="1:13" x14ac:dyDescent="0.25">
      <c r="A471">
        <f>RANK(H471,H$13:H$798,0)</f>
        <v>459</v>
      </c>
      <c r="B471" s="2">
        <v>173896</v>
      </c>
      <c r="C471" t="s">
        <v>828</v>
      </c>
      <c r="D471" t="s">
        <v>292</v>
      </c>
      <c r="E471" t="s">
        <v>95</v>
      </c>
      <c r="F471" t="s">
        <v>3</v>
      </c>
      <c r="G471" s="4">
        <v>308</v>
      </c>
      <c r="H471" s="4">
        <v>108715.857</v>
      </c>
      <c r="I471" s="4">
        <v>104834.22500000001</v>
      </c>
      <c r="J471" s="1">
        <v>3.7026381413131042</v>
      </c>
      <c r="K471" s="2">
        <v>2</v>
      </c>
      <c r="L471" s="1">
        <v>5</v>
      </c>
      <c r="M471" s="4">
        <v>352973.56</v>
      </c>
    </row>
    <row r="472" spans="1:13" x14ac:dyDescent="0.25">
      <c r="A472">
        <f>RANK(H472,H$13:H$798,0)</f>
        <v>460</v>
      </c>
      <c r="B472" s="2">
        <v>110413</v>
      </c>
      <c r="C472" t="s">
        <v>829</v>
      </c>
      <c r="D472" t="s">
        <v>830</v>
      </c>
      <c r="E472" t="s">
        <v>12</v>
      </c>
      <c r="F472" t="s">
        <v>3</v>
      </c>
      <c r="G472" s="4">
        <v>4124.7</v>
      </c>
      <c r="H472" s="4">
        <v>108602.06259</v>
      </c>
      <c r="I472" s="4">
        <v>105544.20656999999</v>
      </c>
      <c r="J472" s="1">
        <v>2.8972277298536011</v>
      </c>
      <c r="K472" s="2">
        <v>2</v>
      </c>
      <c r="L472" s="1">
        <v>3</v>
      </c>
      <c r="M472" s="4">
        <v>26329.69</v>
      </c>
    </row>
    <row r="473" spans="1:13" x14ac:dyDescent="0.25">
      <c r="A473">
        <f>RANK(H473,H$13:H$798,0)</f>
        <v>461</v>
      </c>
      <c r="B473" s="2">
        <v>209065</v>
      </c>
      <c r="C473" t="s">
        <v>831</v>
      </c>
      <c r="D473" t="s">
        <v>832</v>
      </c>
      <c r="E473" t="s">
        <v>263</v>
      </c>
      <c r="F473" t="s">
        <v>3</v>
      </c>
      <c r="G473" s="4">
        <v>1779</v>
      </c>
      <c r="H473" s="4">
        <v>108079.531</v>
      </c>
      <c r="I473" s="4">
        <v>124537.898</v>
      </c>
      <c r="J473" s="1">
        <v>-13.21554905318861</v>
      </c>
      <c r="K473" s="2">
        <v>2</v>
      </c>
      <c r="L473" s="1">
        <v>2</v>
      </c>
      <c r="M473" s="4">
        <v>60752.97</v>
      </c>
    </row>
    <row r="474" spans="1:13" x14ac:dyDescent="0.25">
      <c r="A474">
        <f>RANK(H474,H$13:H$798,0)</f>
        <v>462</v>
      </c>
      <c r="B474" s="2">
        <v>231970</v>
      </c>
      <c r="C474" t="s">
        <v>833</v>
      </c>
      <c r="D474" t="s">
        <v>524</v>
      </c>
      <c r="E474" t="s">
        <v>49</v>
      </c>
      <c r="F474" t="s">
        <v>75</v>
      </c>
      <c r="G474" s="4">
        <v>1303</v>
      </c>
      <c r="H474" s="4">
        <v>107958.507</v>
      </c>
      <c r="I474" s="4">
        <v>97966.891000000003</v>
      </c>
      <c r="J474" s="1">
        <v>10.198972222156151</v>
      </c>
      <c r="K474" s="2">
        <v>2</v>
      </c>
      <c r="L474" s="1">
        <v>5</v>
      </c>
      <c r="M474" s="4">
        <v>82853.8</v>
      </c>
    </row>
    <row r="475" spans="1:13" x14ac:dyDescent="0.25">
      <c r="A475">
        <f>RANK(H475,H$13:H$798,0)</f>
        <v>463</v>
      </c>
      <c r="B475" s="2">
        <v>192703</v>
      </c>
      <c r="C475" t="s">
        <v>834</v>
      </c>
      <c r="D475" t="s">
        <v>307</v>
      </c>
      <c r="E475" t="s">
        <v>33</v>
      </c>
      <c r="F475" t="s">
        <v>3</v>
      </c>
      <c r="G475" s="4">
        <v>3928</v>
      </c>
      <c r="H475" s="4">
        <v>107173.731</v>
      </c>
      <c r="I475" s="4">
        <v>96994.633000000002</v>
      </c>
      <c r="J475" s="1">
        <v>10.494496123306121</v>
      </c>
      <c r="K475" s="2">
        <v>2</v>
      </c>
      <c r="L475" s="1">
        <v>3</v>
      </c>
      <c r="M475" s="4">
        <v>27284.55</v>
      </c>
    </row>
    <row r="476" spans="1:13" x14ac:dyDescent="0.25">
      <c r="A476">
        <f>RANK(H476,H$13:H$798,0)</f>
        <v>464</v>
      </c>
      <c r="B476" s="2">
        <v>185572</v>
      </c>
      <c r="C476" t="s">
        <v>835</v>
      </c>
      <c r="D476" t="s">
        <v>836</v>
      </c>
      <c r="E476" t="s">
        <v>15</v>
      </c>
      <c r="F476" t="s">
        <v>3</v>
      </c>
      <c r="G476" s="4">
        <v>5459.7</v>
      </c>
      <c r="H476" s="4">
        <v>107085</v>
      </c>
      <c r="I476" s="4">
        <v>99463</v>
      </c>
      <c r="J476" s="1">
        <v>7.6631511215225769</v>
      </c>
      <c r="K476" s="2">
        <v>2</v>
      </c>
      <c r="L476" s="1">
        <v>3</v>
      </c>
      <c r="M476" s="4">
        <v>19613.72</v>
      </c>
    </row>
    <row r="477" spans="1:13" x14ac:dyDescent="0.25">
      <c r="A477">
        <f>RANK(H477,H$13:H$798,0)</f>
        <v>465</v>
      </c>
      <c r="B477" s="2">
        <v>227845</v>
      </c>
      <c r="C477" t="s">
        <v>837</v>
      </c>
      <c r="D477" t="s">
        <v>5</v>
      </c>
      <c r="E477" t="s">
        <v>6</v>
      </c>
      <c r="F477" t="s">
        <v>3</v>
      </c>
      <c r="G477" s="4">
        <v>3986</v>
      </c>
      <c r="H477" s="4">
        <v>107025.739</v>
      </c>
      <c r="I477" s="4">
        <v>105113.882</v>
      </c>
      <c r="J477" s="1">
        <v>1.8188434901490973</v>
      </c>
      <c r="K477" s="2">
        <v>2</v>
      </c>
      <c r="L477" s="1">
        <v>3</v>
      </c>
      <c r="M477" s="4">
        <v>26850.41</v>
      </c>
    </row>
    <row r="478" spans="1:13" x14ac:dyDescent="0.25">
      <c r="A478">
        <f>RANK(H478,H$13:H$798,0)</f>
        <v>466</v>
      </c>
      <c r="B478" s="2">
        <v>162760</v>
      </c>
      <c r="C478" t="s">
        <v>1365</v>
      </c>
      <c r="D478" t="s">
        <v>838</v>
      </c>
      <c r="E478" t="s">
        <v>54</v>
      </c>
      <c r="F478" t="s">
        <v>3</v>
      </c>
      <c r="G478" s="4">
        <v>1467</v>
      </c>
      <c r="H478" s="4">
        <v>106904.637</v>
      </c>
      <c r="I478" s="4">
        <v>99715.826000000001</v>
      </c>
      <c r="J478" s="1">
        <v>7.2092979503574499</v>
      </c>
      <c r="K478" s="2">
        <v>2</v>
      </c>
      <c r="L478" s="1">
        <v>3</v>
      </c>
      <c r="M478" s="4">
        <v>72872.960000000006</v>
      </c>
    </row>
    <row r="479" spans="1:13" x14ac:dyDescent="0.25">
      <c r="A479">
        <f>RANK(H479,H$13:H$798,0)</f>
        <v>467</v>
      </c>
      <c r="B479" s="2">
        <v>147244</v>
      </c>
      <c r="C479" t="s">
        <v>839</v>
      </c>
      <c r="D479" t="s">
        <v>578</v>
      </c>
      <c r="E479" t="s">
        <v>30</v>
      </c>
      <c r="F479" t="s">
        <v>3</v>
      </c>
      <c r="G479" s="4">
        <v>2259</v>
      </c>
      <c r="H479" s="4">
        <v>106893.139</v>
      </c>
      <c r="I479" s="4">
        <v>108326.705</v>
      </c>
      <c r="J479" s="1">
        <v>-1.3233726623550548</v>
      </c>
      <c r="K479" s="2">
        <v>2</v>
      </c>
      <c r="L479" s="1">
        <v>2</v>
      </c>
      <c r="M479" s="4">
        <v>47318.79</v>
      </c>
    </row>
    <row r="480" spans="1:13" x14ac:dyDescent="0.25">
      <c r="A480">
        <f>RANK(H480,H$13:H$798,0)</f>
        <v>468</v>
      </c>
      <c r="B480" s="2">
        <v>201548</v>
      </c>
      <c r="C480" t="s">
        <v>840</v>
      </c>
      <c r="D480" t="s">
        <v>62</v>
      </c>
      <c r="E480" t="s">
        <v>63</v>
      </c>
      <c r="F480" t="s">
        <v>3</v>
      </c>
      <c r="G480" s="4">
        <v>2937</v>
      </c>
      <c r="H480" s="4">
        <v>106663.204</v>
      </c>
      <c r="I480" s="4">
        <v>107913.61</v>
      </c>
      <c r="J480" s="1">
        <v>-1.1587101942007154</v>
      </c>
      <c r="K480" s="2">
        <v>2</v>
      </c>
      <c r="L480" s="1">
        <v>3</v>
      </c>
      <c r="M480" s="4">
        <v>36317.06</v>
      </c>
    </row>
    <row r="481" spans="1:13" x14ac:dyDescent="0.25">
      <c r="A481">
        <f>RANK(H481,H$13:H$798,0)</f>
        <v>469</v>
      </c>
      <c r="B481" s="2">
        <v>220978</v>
      </c>
      <c r="C481" t="s">
        <v>841</v>
      </c>
      <c r="D481" t="s">
        <v>842</v>
      </c>
      <c r="E481" t="s">
        <v>57</v>
      </c>
      <c r="F481" t="s">
        <v>7</v>
      </c>
      <c r="G481" s="4">
        <v>17700</v>
      </c>
      <c r="H481" s="4">
        <v>105574.54148999999</v>
      </c>
      <c r="I481" s="4">
        <v>103146.289</v>
      </c>
      <c r="J481" s="1">
        <v>2.3541830865092823</v>
      </c>
      <c r="K481" s="2">
        <v>2</v>
      </c>
      <c r="L481" s="1">
        <v>4</v>
      </c>
      <c r="M481" s="4">
        <v>5964.66</v>
      </c>
    </row>
    <row r="482" spans="1:13" x14ac:dyDescent="0.25">
      <c r="A482">
        <f>RANK(H482,H$13:H$798,0)</f>
        <v>470</v>
      </c>
      <c r="B482" s="2">
        <v>157447</v>
      </c>
      <c r="C482" t="s">
        <v>843</v>
      </c>
      <c r="D482" t="s">
        <v>844</v>
      </c>
      <c r="E482" t="s">
        <v>170</v>
      </c>
      <c r="F482" t="s">
        <v>75</v>
      </c>
      <c r="G482" s="4">
        <v>11257</v>
      </c>
      <c r="H482" s="4">
        <v>105500.929</v>
      </c>
      <c r="I482" s="4">
        <v>106215.47100000001</v>
      </c>
      <c r="J482" s="1">
        <v>-0.67272874024161811</v>
      </c>
      <c r="K482" s="2">
        <v>2</v>
      </c>
      <c r="L482" s="1">
        <v>4</v>
      </c>
      <c r="M482" s="4">
        <v>9372.0300000000007</v>
      </c>
    </row>
    <row r="483" spans="1:13" x14ac:dyDescent="0.25">
      <c r="A483">
        <f>RANK(H483,H$13:H$798,0)</f>
        <v>471</v>
      </c>
      <c r="B483" s="2">
        <v>199218</v>
      </c>
      <c r="C483" t="s">
        <v>845</v>
      </c>
      <c r="D483" t="s">
        <v>846</v>
      </c>
      <c r="E483" t="s">
        <v>36</v>
      </c>
      <c r="F483" t="s">
        <v>7</v>
      </c>
      <c r="G483" s="4">
        <v>14287</v>
      </c>
      <c r="H483" s="4">
        <v>104945.568</v>
      </c>
      <c r="I483" s="4">
        <v>101728.933</v>
      </c>
      <c r="J483" s="1">
        <v>3.1619667140320789</v>
      </c>
      <c r="K483" s="2">
        <v>2</v>
      </c>
      <c r="L483" s="1">
        <v>4</v>
      </c>
      <c r="M483" s="4">
        <v>7345.53</v>
      </c>
    </row>
    <row r="484" spans="1:13" x14ac:dyDescent="0.25">
      <c r="A484">
        <f>RANK(H484,H$13:H$798,0)</f>
        <v>472</v>
      </c>
      <c r="B484" s="2">
        <v>176372</v>
      </c>
      <c r="C484" t="s">
        <v>847</v>
      </c>
      <c r="D484" t="s">
        <v>848</v>
      </c>
      <c r="E484" t="s">
        <v>305</v>
      </c>
      <c r="F484" t="s">
        <v>75</v>
      </c>
      <c r="G484" s="4">
        <v>12274</v>
      </c>
      <c r="H484" s="4">
        <v>104877.602</v>
      </c>
      <c r="I484" s="4">
        <v>100762.757</v>
      </c>
      <c r="J484" s="1">
        <v>4.0836963204569736</v>
      </c>
      <c r="K484" s="2">
        <v>2</v>
      </c>
      <c r="L484" s="1">
        <v>4</v>
      </c>
      <c r="M484" s="4">
        <v>8544.7000000000007</v>
      </c>
    </row>
    <row r="485" spans="1:13" x14ac:dyDescent="0.25">
      <c r="A485">
        <f>RANK(H485,H$13:H$798,0)</f>
        <v>473</v>
      </c>
      <c r="B485" s="2">
        <v>165529</v>
      </c>
      <c r="C485" t="s">
        <v>849</v>
      </c>
      <c r="D485" t="s">
        <v>850</v>
      </c>
      <c r="E485" t="s">
        <v>2</v>
      </c>
      <c r="F485" t="s">
        <v>3</v>
      </c>
      <c r="G485" s="4">
        <v>2253</v>
      </c>
      <c r="H485" s="4">
        <v>103667.13800000001</v>
      </c>
      <c r="I485" s="4">
        <v>98917.585000000006</v>
      </c>
      <c r="J485" s="1">
        <v>4.8015254314993632</v>
      </c>
      <c r="K485" s="2">
        <v>2</v>
      </c>
      <c r="L485" s="1">
        <v>3</v>
      </c>
      <c r="M485" s="4">
        <v>46013</v>
      </c>
    </row>
    <row r="486" spans="1:13" x14ac:dyDescent="0.25">
      <c r="A486">
        <f>RANK(H486,H$13:H$798,0)</f>
        <v>474</v>
      </c>
      <c r="B486" s="3" t="s">
        <v>1363</v>
      </c>
      <c r="C486" t="s">
        <v>851</v>
      </c>
      <c r="D486" t="s">
        <v>852</v>
      </c>
      <c r="E486" t="s">
        <v>49</v>
      </c>
      <c r="F486" t="s">
        <v>1364</v>
      </c>
      <c r="G486" s="5" t="s">
        <v>1363</v>
      </c>
      <c r="H486" s="4">
        <v>102945.943</v>
      </c>
      <c r="I486" s="4">
        <v>90902.778999999995</v>
      </c>
      <c r="J486" s="1">
        <v>13.248400249677742</v>
      </c>
      <c r="K486" s="2">
        <v>3</v>
      </c>
      <c r="L486" s="1">
        <v>6</v>
      </c>
      <c r="M486" s="5" t="s">
        <v>1363</v>
      </c>
    </row>
    <row r="487" spans="1:13" x14ac:dyDescent="0.25">
      <c r="A487">
        <f>RANK(H487,H$13:H$798,0)</f>
        <v>475</v>
      </c>
      <c r="B487" s="2">
        <v>164562</v>
      </c>
      <c r="C487" t="s">
        <v>853</v>
      </c>
      <c r="D487" t="s">
        <v>288</v>
      </c>
      <c r="E487" t="s">
        <v>2</v>
      </c>
      <c r="F487" t="s">
        <v>3</v>
      </c>
      <c r="G487" s="4">
        <v>2216</v>
      </c>
      <c r="H487" s="4">
        <v>102942.073</v>
      </c>
      <c r="I487" s="4">
        <v>108439.232</v>
      </c>
      <c r="J487" s="1">
        <v>-5.0693451978708222</v>
      </c>
      <c r="K487" s="2">
        <v>2</v>
      </c>
      <c r="L487" s="1">
        <v>3</v>
      </c>
      <c r="M487" s="4">
        <v>46454</v>
      </c>
    </row>
    <row r="488" spans="1:13" x14ac:dyDescent="0.25">
      <c r="A488">
        <f>RANK(H488,H$13:H$798,0)</f>
        <v>476</v>
      </c>
      <c r="B488" s="2">
        <v>110529</v>
      </c>
      <c r="C488" t="s">
        <v>854</v>
      </c>
      <c r="D488" t="s">
        <v>855</v>
      </c>
      <c r="E488" t="s">
        <v>12</v>
      </c>
      <c r="F488" t="s">
        <v>75</v>
      </c>
      <c r="G488" s="4">
        <v>23078</v>
      </c>
      <c r="H488" s="4">
        <v>101598.664</v>
      </c>
      <c r="I488" s="4">
        <v>99711.468999999997</v>
      </c>
      <c r="J488" s="1">
        <v>1.8926558989919275</v>
      </c>
      <c r="K488" s="2">
        <v>2</v>
      </c>
      <c r="L488" s="1">
        <v>3</v>
      </c>
      <c r="M488" s="4">
        <v>4402.3999999999996</v>
      </c>
    </row>
    <row r="489" spans="1:13" x14ac:dyDescent="0.25">
      <c r="A489">
        <f>RANK(H489,H$13:H$798,0)</f>
        <v>477</v>
      </c>
      <c r="B489" s="2">
        <v>204936</v>
      </c>
      <c r="C489" t="s">
        <v>856</v>
      </c>
      <c r="D489" t="s">
        <v>857</v>
      </c>
      <c r="E489" t="s">
        <v>63</v>
      </c>
      <c r="F489" t="s">
        <v>3</v>
      </c>
      <c r="G489" s="4">
        <v>2630</v>
      </c>
      <c r="H489" s="4">
        <v>101386.33500000001</v>
      </c>
      <c r="I489" s="4">
        <v>97776.160999999993</v>
      </c>
      <c r="J489" s="1">
        <v>3.6922844618536557</v>
      </c>
      <c r="K489" s="2">
        <v>2</v>
      </c>
      <c r="L489" s="1">
        <v>3</v>
      </c>
      <c r="M489" s="4">
        <v>38549.94</v>
      </c>
    </row>
    <row r="490" spans="1:13" x14ac:dyDescent="0.25">
      <c r="A490">
        <f>RANK(H490,H$13:H$798,0)</f>
        <v>478</v>
      </c>
      <c r="B490" s="2">
        <v>173665</v>
      </c>
      <c r="C490" t="s">
        <v>858</v>
      </c>
      <c r="D490" t="s">
        <v>859</v>
      </c>
      <c r="E490" t="s">
        <v>95</v>
      </c>
      <c r="F490" t="s">
        <v>3</v>
      </c>
      <c r="G490" s="4">
        <v>2899</v>
      </c>
      <c r="H490" s="4">
        <v>100549.851</v>
      </c>
      <c r="I490" s="4">
        <v>97241.183999999994</v>
      </c>
      <c r="J490" s="1">
        <v>3.4025367276482372</v>
      </c>
      <c r="K490" s="2">
        <v>2</v>
      </c>
      <c r="L490" s="1">
        <v>3</v>
      </c>
      <c r="M490" s="4">
        <v>34684.32</v>
      </c>
    </row>
    <row r="491" spans="1:13" x14ac:dyDescent="0.25">
      <c r="A491">
        <f>RANK(H491,H$13:H$798,0)</f>
        <v>479</v>
      </c>
      <c r="B491" s="2">
        <v>217819</v>
      </c>
      <c r="C491" t="s">
        <v>860</v>
      </c>
      <c r="D491" t="s">
        <v>439</v>
      </c>
      <c r="E491" t="s">
        <v>285</v>
      </c>
      <c r="F491" t="s">
        <v>75</v>
      </c>
      <c r="G491" s="4">
        <v>9833</v>
      </c>
      <c r="H491" s="4">
        <v>100135.995</v>
      </c>
      <c r="I491" s="4">
        <v>92159.304999999993</v>
      </c>
      <c r="J491" s="1">
        <v>8.6553278586465066</v>
      </c>
      <c r="K491" s="2">
        <v>2</v>
      </c>
      <c r="L491" s="1">
        <v>3</v>
      </c>
      <c r="M491" s="4">
        <v>10183.67</v>
      </c>
    </row>
    <row r="492" spans="1:13" x14ac:dyDescent="0.25">
      <c r="A492">
        <f>RANK(H492,H$13:H$798,0)</f>
        <v>480</v>
      </c>
      <c r="B492" s="2">
        <v>109651</v>
      </c>
      <c r="C492" t="s">
        <v>861</v>
      </c>
      <c r="D492" t="s">
        <v>79</v>
      </c>
      <c r="E492" t="s">
        <v>12</v>
      </c>
      <c r="F492" t="s">
        <v>3</v>
      </c>
      <c r="G492" s="4">
        <v>2126</v>
      </c>
      <c r="H492" s="4">
        <v>99432</v>
      </c>
      <c r="I492" s="4">
        <v>97518</v>
      </c>
      <c r="J492" s="1">
        <v>1.9627145757706272</v>
      </c>
      <c r="K492" s="2">
        <v>2</v>
      </c>
      <c r="L492" s="1">
        <v>5</v>
      </c>
      <c r="M492" s="4">
        <v>46769.52</v>
      </c>
    </row>
    <row r="493" spans="1:13" x14ac:dyDescent="0.25">
      <c r="A493">
        <f>RANK(H493,H$13:H$798,0)</f>
        <v>481</v>
      </c>
      <c r="B493" s="2">
        <v>171571</v>
      </c>
      <c r="C493" t="s">
        <v>862</v>
      </c>
      <c r="D493" t="s">
        <v>863</v>
      </c>
      <c r="E493" t="s">
        <v>24</v>
      </c>
      <c r="F493" t="s">
        <v>7</v>
      </c>
      <c r="G493" s="4">
        <v>16173</v>
      </c>
      <c r="H493" s="4">
        <v>99398.629000000001</v>
      </c>
      <c r="I493" s="4">
        <v>95008.415999999997</v>
      </c>
      <c r="J493" s="1">
        <v>4.6208674818870819</v>
      </c>
      <c r="K493" s="2">
        <v>2</v>
      </c>
      <c r="L493" s="1">
        <v>4</v>
      </c>
      <c r="M493" s="4">
        <v>6145.96</v>
      </c>
    </row>
    <row r="494" spans="1:13" x14ac:dyDescent="0.25">
      <c r="A494">
        <f>RANK(H494,H$13:H$798,0)</f>
        <v>482</v>
      </c>
      <c r="B494" s="2">
        <v>152530</v>
      </c>
      <c r="C494" t="s">
        <v>864</v>
      </c>
      <c r="D494" t="s">
        <v>865</v>
      </c>
      <c r="E494" t="s">
        <v>27</v>
      </c>
      <c r="F494" t="s">
        <v>3</v>
      </c>
      <c r="G494" s="4">
        <v>1895</v>
      </c>
      <c r="H494" s="4">
        <v>98717.388999999996</v>
      </c>
      <c r="I494" s="4">
        <v>95905.642999999996</v>
      </c>
      <c r="J494" s="1">
        <v>2.9317836907678094</v>
      </c>
      <c r="K494" s="2">
        <v>2</v>
      </c>
      <c r="L494" s="1">
        <v>2</v>
      </c>
      <c r="M494" s="4">
        <v>52093.61</v>
      </c>
    </row>
    <row r="495" spans="1:13" x14ac:dyDescent="0.25">
      <c r="A495">
        <f>RANK(H495,H$13:H$798,0)</f>
        <v>483</v>
      </c>
      <c r="B495" s="2">
        <v>133650</v>
      </c>
      <c r="C495" t="s">
        <v>866</v>
      </c>
      <c r="D495" t="s">
        <v>315</v>
      </c>
      <c r="E495" t="s">
        <v>127</v>
      </c>
      <c r="F495" t="s">
        <v>7</v>
      </c>
      <c r="G495" s="4">
        <v>8570</v>
      </c>
      <c r="H495" s="4">
        <v>98213.088000000003</v>
      </c>
      <c r="I495" s="4">
        <v>96350.361999999994</v>
      </c>
      <c r="J495" s="1">
        <v>1.9332838624934381</v>
      </c>
      <c r="K495" s="2">
        <v>1</v>
      </c>
      <c r="L495" s="1">
        <v>4</v>
      </c>
      <c r="M495" s="4">
        <v>11460.1</v>
      </c>
    </row>
    <row r="496" spans="1:13" x14ac:dyDescent="0.25">
      <c r="A496">
        <f>RANK(H496,H$13:H$798,0)</f>
        <v>484</v>
      </c>
      <c r="B496" s="2">
        <v>171492</v>
      </c>
      <c r="C496" t="s">
        <v>867</v>
      </c>
      <c r="D496" t="s">
        <v>868</v>
      </c>
      <c r="E496" t="s">
        <v>24</v>
      </c>
      <c r="F496" t="s">
        <v>3</v>
      </c>
      <c r="G496" s="4">
        <v>2042</v>
      </c>
      <c r="H496" s="4">
        <v>97868.827999999994</v>
      </c>
      <c r="I496" s="4">
        <v>99465.895999999993</v>
      </c>
      <c r="J496" s="1">
        <v>-1.6056438078032289</v>
      </c>
      <c r="K496" s="2">
        <v>2</v>
      </c>
      <c r="L496" s="1">
        <v>5</v>
      </c>
      <c r="M496" s="4">
        <v>47927.93</v>
      </c>
    </row>
    <row r="497" spans="1:13" x14ac:dyDescent="0.25">
      <c r="A497">
        <f>RANK(H497,H$13:H$798,0)</f>
        <v>485</v>
      </c>
      <c r="B497" s="2">
        <v>195720</v>
      </c>
      <c r="C497" t="s">
        <v>869</v>
      </c>
      <c r="D497" t="s">
        <v>245</v>
      </c>
      <c r="E497" t="s">
        <v>33</v>
      </c>
      <c r="F497" t="s">
        <v>3</v>
      </c>
      <c r="G497" s="4">
        <v>3712</v>
      </c>
      <c r="H497" s="4">
        <v>97743.096999999994</v>
      </c>
      <c r="I497" s="4">
        <v>93065.406000000003</v>
      </c>
      <c r="J497" s="1">
        <v>5.0262403626112064</v>
      </c>
      <c r="K497" s="2">
        <v>2</v>
      </c>
      <c r="L497" s="1">
        <v>4</v>
      </c>
      <c r="M497" s="4">
        <v>26331.65</v>
      </c>
    </row>
    <row r="498" spans="1:13" x14ac:dyDescent="0.25">
      <c r="A498">
        <f>RANK(H498,H$13:H$798,0)</f>
        <v>486</v>
      </c>
      <c r="B498" s="2">
        <v>193973</v>
      </c>
      <c r="C498" t="s">
        <v>870</v>
      </c>
      <c r="D498" t="s">
        <v>870</v>
      </c>
      <c r="E498" t="s">
        <v>33</v>
      </c>
      <c r="F498" t="s">
        <v>3</v>
      </c>
      <c r="G498" s="4">
        <v>3375</v>
      </c>
      <c r="H498" s="4">
        <v>97242.019</v>
      </c>
      <c r="I498" s="4">
        <v>102391.601</v>
      </c>
      <c r="J498" s="1">
        <v>-5.0293011826233629</v>
      </c>
      <c r="K498" s="2">
        <v>2</v>
      </c>
      <c r="L498" s="1">
        <v>3</v>
      </c>
      <c r="M498" s="4">
        <v>28812.45</v>
      </c>
    </row>
    <row r="499" spans="1:13" x14ac:dyDescent="0.25">
      <c r="A499">
        <f>RANK(H499,H$13:H$798,0)</f>
        <v>487</v>
      </c>
      <c r="B499" s="2">
        <v>206604</v>
      </c>
      <c r="C499" t="s">
        <v>871</v>
      </c>
      <c r="D499" t="s">
        <v>332</v>
      </c>
      <c r="E499" t="s">
        <v>63</v>
      </c>
      <c r="F499" t="s">
        <v>75</v>
      </c>
      <c r="G499" s="4">
        <v>13076.7</v>
      </c>
      <c r="H499" s="4">
        <v>97079.902000000002</v>
      </c>
      <c r="I499" s="4">
        <v>92847.441999999995</v>
      </c>
      <c r="J499" s="1">
        <v>4.5585100772081653</v>
      </c>
      <c r="K499" s="2">
        <v>2</v>
      </c>
      <c r="L499" s="1">
        <v>4</v>
      </c>
      <c r="M499" s="4">
        <v>7423.88</v>
      </c>
    </row>
    <row r="500" spans="1:13" x14ac:dyDescent="0.25">
      <c r="A500">
        <f>RANK(H500,H$13:H$798,0)</f>
        <v>488</v>
      </c>
      <c r="B500" s="2">
        <v>177214</v>
      </c>
      <c r="C500" t="s">
        <v>872</v>
      </c>
      <c r="D500" t="s">
        <v>781</v>
      </c>
      <c r="E500" t="s">
        <v>41</v>
      </c>
      <c r="F500" t="s">
        <v>3</v>
      </c>
      <c r="G500" s="4">
        <v>1665</v>
      </c>
      <c r="H500" s="4">
        <v>96516.596999999994</v>
      </c>
      <c r="I500" s="4">
        <v>97510.32</v>
      </c>
      <c r="J500" s="1">
        <v>-1.019095209614749</v>
      </c>
      <c r="K500" s="2">
        <v>2</v>
      </c>
      <c r="L500" s="1">
        <v>3</v>
      </c>
      <c r="M500" s="4">
        <v>57967.93</v>
      </c>
    </row>
    <row r="501" spans="1:13" x14ac:dyDescent="0.25">
      <c r="A501">
        <f>RANK(H501,H$13:H$798,0)</f>
        <v>489</v>
      </c>
      <c r="B501" s="2">
        <v>231581</v>
      </c>
      <c r="C501" t="s">
        <v>873</v>
      </c>
      <c r="D501" t="s">
        <v>874</v>
      </c>
      <c r="E501" t="s">
        <v>49</v>
      </c>
      <c r="F501" t="s">
        <v>3</v>
      </c>
      <c r="G501" s="4">
        <v>1834</v>
      </c>
      <c r="H501" s="4">
        <v>95758.089000000007</v>
      </c>
      <c r="I501" s="4">
        <v>96962.915999999997</v>
      </c>
      <c r="J501" s="1">
        <v>-1.242564734748685</v>
      </c>
      <c r="K501" s="2">
        <v>2</v>
      </c>
      <c r="L501" s="1">
        <v>2</v>
      </c>
      <c r="M501" s="4">
        <v>52212.7</v>
      </c>
    </row>
    <row r="502" spans="1:13" x14ac:dyDescent="0.25">
      <c r="A502">
        <f>RANK(H502,H$13:H$798,0)</f>
        <v>490</v>
      </c>
      <c r="B502" s="2">
        <v>165699</v>
      </c>
      <c r="C502" t="s">
        <v>875</v>
      </c>
      <c r="D502" t="s">
        <v>876</v>
      </c>
      <c r="E502" t="s">
        <v>2</v>
      </c>
      <c r="F502" t="s">
        <v>3</v>
      </c>
      <c r="G502" s="4">
        <v>3852.7</v>
      </c>
      <c r="H502" s="4">
        <v>95672.75</v>
      </c>
      <c r="I502" s="4">
        <v>88721.853000000003</v>
      </c>
      <c r="J502" s="1">
        <v>7.8344813199516885</v>
      </c>
      <c r="K502" s="2">
        <v>2</v>
      </c>
      <c r="L502" s="1">
        <v>3</v>
      </c>
      <c r="M502" s="4">
        <v>24832.65</v>
      </c>
    </row>
    <row r="503" spans="1:13" x14ac:dyDescent="0.25">
      <c r="A503">
        <f>RANK(H503,H$13:H$798,0)</f>
        <v>491</v>
      </c>
      <c r="B503" s="2">
        <v>226587</v>
      </c>
      <c r="C503" t="s">
        <v>877</v>
      </c>
      <c r="D503" t="s">
        <v>404</v>
      </c>
      <c r="E503" t="s">
        <v>6</v>
      </c>
      <c r="F503" t="s">
        <v>3</v>
      </c>
      <c r="G503" s="4">
        <v>1062</v>
      </c>
      <c r="H503" s="4">
        <v>94535.508000000002</v>
      </c>
      <c r="I503" s="4">
        <v>90161.781000000003</v>
      </c>
      <c r="J503" s="1">
        <v>4.8509767126272703</v>
      </c>
      <c r="K503" s="2">
        <v>2</v>
      </c>
      <c r="L503" s="1">
        <v>2</v>
      </c>
      <c r="M503" s="4">
        <v>89016.49</v>
      </c>
    </row>
    <row r="504" spans="1:13" x14ac:dyDescent="0.25">
      <c r="A504">
        <f>RANK(H504,H$13:H$798,0)</f>
        <v>492</v>
      </c>
      <c r="B504" s="2">
        <v>228981</v>
      </c>
      <c r="C504" t="s">
        <v>878</v>
      </c>
      <c r="D504" t="s">
        <v>879</v>
      </c>
      <c r="E504" t="s">
        <v>6</v>
      </c>
      <c r="F504" t="s">
        <v>3</v>
      </c>
      <c r="G504" s="4">
        <v>1389</v>
      </c>
      <c r="H504" s="4">
        <v>94530.19</v>
      </c>
      <c r="I504" s="4">
        <v>96706.535000000003</v>
      </c>
      <c r="J504" s="1">
        <v>-2.2504632184371003</v>
      </c>
      <c r="K504" s="2">
        <v>2</v>
      </c>
      <c r="L504" s="1">
        <v>2</v>
      </c>
      <c r="M504" s="4">
        <v>68056.289999999994</v>
      </c>
    </row>
    <row r="505" spans="1:13" x14ac:dyDescent="0.25">
      <c r="A505">
        <f>RANK(H505,H$13:H$798,0)</f>
        <v>493</v>
      </c>
      <c r="B505" s="2">
        <v>216852</v>
      </c>
      <c r="C505" t="s">
        <v>880</v>
      </c>
      <c r="D505" t="s">
        <v>881</v>
      </c>
      <c r="E505" t="s">
        <v>20</v>
      </c>
      <c r="F505" t="s">
        <v>3</v>
      </c>
      <c r="G505" s="4">
        <v>5206</v>
      </c>
      <c r="H505" s="4">
        <v>94454.361999999994</v>
      </c>
      <c r="I505" s="4">
        <v>91595.055999999997</v>
      </c>
      <c r="J505" s="1">
        <v>3.1216815894517245</v>
      </c>
      <c r="K505" s="2">
        <v>2</v>
      </c>
      <c r="L505" s="1">
        <v>4</v>
      </c>
      <c r="M505" s="4">
        <v>18143.37</v>
      </c>
    </row>
    <row r="506" spans="1:13" x14ac:dyDescent="0.25">
      <c r="A506">
        <f>RANK(H506,H$13:H$798,0)</f>
        <v>494</v>
      </c>
      <c r="B506" s="2">
        <v>163295</v>
      </c>
      <c r="C506" t="s">
        <v>882</v>
      </c>
      <c r="D506" t="s">
        <v>53</v>
      </c>
      <c r="E506" t="s">
        <v>54</v>
      </c>
      <c r="F506" t="s">
        <v>3</v>
      </c>
      <c r="G506" s="4">
        <v>2057</v>
      </c>
      <c r="H506" s="4">
        <v>94441.001000000004</v>
      </c>
      <c r="I506" s="4">
        <v>89968.429000000004</v>
      </c>
      <c r="J506" s="1">
        <v>4.9712683101313235</v>
      </c>
      <c r="K506" s="2">
        <v>2</v>
      </c>
      <c r="L506" s="1">
        <v>5</v>
      </c>
      <c r="M506" s="4">
        <v>45912.01</v>
      </c>
    </row>
    <row r="507" spans="1:13" x14ac:dyDescent="0.25">
      <c r="A507">
        <f>RANK(H507,H$13:H$798,0)</f>
        <v>495</v>
      </c>
      <c r="B507" s="2">
        <v>239628</v>
      </c>
      <c r="C507" t="s">
        <v>883</v>
      </c>
      <c r="D507" t="s">
        <v>884</v>
      </c>
      <c r="E507" t="s">
        <v>74</v>
      </c>
      <c r="F507" t="s">
        <v>3</v>
      </c>
      <c r="G507" s="4">
        <v>795</v>
      </c>
      <c r="H507" s="4">
        <v>94327.913</v>
      </c>
      <c r="I507" s="4">
        <v>92790.895000000004</v>
      </c>
      <c r="J507" s="1">
        <v>1.656431916084004</v>
      </c>
      <c r="K507" s="2">
        <v>2</v>
      </c>
      <c r="L507" s="1">
        <v>2</v>
      </c>
      <c r="M507" s="4">
        <v>118651.46</v>
      </c>
    </row>
    <row r="508" spans="1:13" x14ac:dyDescent="0.25">
      <c r="A508">
        <f>RANK(H508,H$13:H$798,0)</f>
        <v>496</v>
      </c>
      <c r="B508" s="2">
        <v>211556</v>
      </c>
      <c r="C508" t="s">
        <v>885</v>
      </c>
      <c r="D508" t="s">
        <v>66</v>
      </c>
      <c r="E508" t="s">
        <v>20</v>
      </c>
      <c r="F508" t="s">
        <v>3</v>
      </c>
      <c r="G508" s="4">
        <v>2092</v>
      </c>
      <c r="H508" s="4">
        <v>94215.55</v>
      </c>
      <c r="I508" s="4">
        <v>92930.934999999998</v>
      </c>
      <c r="J508" s="1">
        <v>1.3823330196774684</v>
      </c>
      <c r="K508" s="2">
        <v>2</v>
      </c>
      <c r="L508" s="1">
        <v>4</v>
      </c>
      <c r="M508" s="4">
        <v>45036.11</v>
      </c>
    </row>
    <row r="509" spans="1:13" x14ac:dyDescent="0.25">
      <c r="A509">
        <f>RANK(H509,H$13:H$798,0)</f>
        <v>497</v>
      </c>
      <c r="B509" s="2">
        <v>202806</v>
      </c>
      <c r="C509" t="s">
        <v>886</v>
      </c>
      <c r="D509" t="s">
        <v>62</v>
      </c>
      <c r="E509" t="s">
        <v>63</v>
      </c>
      <c r="F509" t="s">
        <v>3</v>
      </c>
      <c r="G509" s="4">
        <v>3159</v>
      </c>
      <c r="H509" s="4">
        <v>93155.850999999995</v>
      </c>
      <c r="I509" s="4">
        <v>91916.626999999993</v>
      </c>
      <c r="J509" s="1">
        <v>1.3482043896149518</v>
      </c>
      <c r="K509" s="2">
        <v>2</v>
      </c>
      <c r="L509" s="1">
        <v>5</v>
      </c>
      <c r="M509" s="4">
        <v>29489.03</v>
      </c>
    </row>
    <row r="510" spans="1:13" x14ac:dyDescent="0.25">
      <c r="A510">
        <f>RANK(H510,H$13:H$798,0)</f>
        <v>498</v>
      </c>
      <c r="B510" s="2">
        <v>210739</v>
      </c>
      <c r="C510" t="s">
        <v>887</v>
      </c>
      <c r="D510" t="s">
        <v>888</v>
      </c>
      <c r="E510" t="s">
        <v>20</v>
      </c>
      <c r="F510" t="s">
        <v>3</v>
      </c>
      <c r="G510" s="4">
        <v>2583</v>
      </c>
      <c r="H510" s="4">
        <v>91840.777000000002</v>
      </c>
      <c r="I510" s="4">
        <v>87843.073999999993</v>
      </c>
      <c r="J510" s="1">
        <v>4.5509598172759862</v>
      </c>
      <c r="K510" s="2">
        <v>2</v>
      </c>
      <c r="L510" s="1">
        <v>3</v>
      </c>
      <c r="M510" s="4">
        <v>35555.86</v>
      </c>
    </row>
    <row r="511" spans="1:13" x14ac:dyDescent="0.25">
      <c r="A511">
        <f>RANK(H511,H$13:H$798,0)</f>
        <v>499</v>
      </c>
      <c r="B511" s="2">
        <v>184603</v>
      </c>
      <c r="C511" t="s">
        <v>889</v>
      </c>
      <c r="D511" t="s">
        <v>890</v>
      </c>
      <c r="E511" t="s">
        <v>15</v>
      </c>
      <c r="F511" t="s">
        <v>3</v>
      </c>
      <c r="G511" s="4">
        <v>8779</v>
      </c>
      <c r="H511" s="4">
        <v>91624.956000000006</v>
      </c>
      <c r="I511" s="4">
        <v>87712.754000000001</v>
      </c>
      <c r="J511" s="1">
        <v>4.4602430337553924</v>
      </c>
      <c r="K511" s="2">
        <v>2</v>
      </c>
      <c r="L511" s="1">
        <v>3</v>
      </c>
      <c r="M511" s="4">
        <v>10436.83</v>
      </c>
    </row>
    <row r="512" spans="1:13" x14ac:dyDescent="0.25">
      <c r="A512">
        <f>RANK(H512,H$13:H$798,0)</f>
        <v>500</v>
      </c>
      <c r="B512" s="2">
        <v>218539</v>
      </c>
      <c r="C512" t="s">
        <v>891</v>
      </c>
      <c r="D512" t="s">
        <v>239</v>
      </c>
      <c r="E512" t="s">
        <v>285</v>
      </c>
      <c r="F512" t="s">
        <v>3</v>
      </c>
      <c r="G512" s="4">
        <v>1270</v>
      </c>
      <c r="H512" s="4">
        <v>91533.422999999995</v>
      </c>
      <c r="I512" s="4">
        <v>91855.297000000006</v>
      </c>
      <c r="J512" s="1">
        <v>-0.35041419549273317</v>
      </c>
      <c r="K512" s="2">
        <v>2</v>
      </c>
      <c r="L512" s="1">
        <v>2</v>
      </c>
      <c r="M512" s="4">
        <v>72073.56</v>
      </c>
    </row>
    <row r="513" spans="1:13" x14ac:dyDescent="0.25">
      <c r="A513">
        <f>RANK(H513,H$13:H$798,0)</f>
        <v>501</v>
      </c>
      <c r="B513" s="2">
        <v>146481</v>
      </c>
      <c r="C513" t="s">
        <v>892</v>
      </c>
      <c r="D513" t="s">
        <v>893</v>
      </c>
      <c r="E513" t="s">
        <v>30</v>
      </c>
      <c r="F513" t="s">
        <v>3</v>
      </c>
      <c r="G513" s="4">
        <v>1496</v>
      </c>
      <c r="H513" s="4">
        <v>90629.627999999997</v>
      </c>
      <c r="I513" s="4">
        <v>92008.347999999998</v>
      </c>
      <c r="J513" s="1">
        <v>-1.4984727255400794</v>
      </c>
      <c r="K513" s="2">
        <v>2</v>
      </c>
      <c r="L513" s="1">
        <v>2</v>
      </c>
      <c r="M513" s="4">
        <v>60581.3</v>
      </c>
    </row>
    <row r="514" spans="1:13" x14ac:dyDescent="0.25">
      <c r="A514">
        <f>RANK(H514,H$13:H$798,0)</f>
        <v>502</v>
      </c>
      <c r="B514" s="2">
        <v>169983</v>
      </c>
      <c r="C514" t="s">
        <v>894</v>
      </c>
      <c r="D514" t="s">
        <v>895</v>
      </c>
      <c r="E514" t="s">
        <v>24</v>
      </c>
      <c r="F514" t="s">
        <v>3</v>
      </c>
      <c r="G514" s="4">
        <v>2081</v>
      </c>
      <c r="H514" s="4">
        <v>90353.354999999996</v>
      </c>
      <c r="I514" s="4">
        <v>86552.982000000004</v>
      </c>
      <c r="J514" s="1">
        <v>4.3908053913151051</v>
      </c>
      <c r="K514" s="2">
        <v>2</v>
      </c>
      <c r="L514" s="1">
        <v>3</v>
      </c>
      <c r="M514" s="4">
        <v>43418.239999999998</v>
      </c>
    </row>
    <row r="515" spans="1:13" x14ac:dyDescent="0.25">
      <c r="A515">
        <f>RANK(H515,H$13:H$798,0)</f>
        <v>503</v>
      </c>
      <c r="B515" s="2">
        <v>127741</v>
      </c>
      <c r="C515" t="s">
        <v>896</v>
      </c>
      <c r="D515" t="s">
        <v>897</v>
      </c>
      <c r="E515" t="s">
        <v>158</v>
      </c>
      <c r="F515" t="s">
        <v>75</v>
      </c>
      <c r="G515" s="4">
        <v>10337</v>
      </c>
      <c r="H515" s="4">
        <v>89775.495999999999</v>
      </c>
      <c r="I515" s="4">
        <v>87022.74</v>
      </c>
      <c r="J515" s="1">
        <v>3.1632605454620184</v>
      </c>
      <c r="K515" s="2">
        <v>2</v>
      </c>
      <c r="L515" s="1">
        <v>4</v>
      </c>
      <c r="M515" s="4">
        <v>8684.8700000000008</v>
      </c>
    </row>
    <row r="516" spans="1:13" x14ac:dyDescent="0.25">
      <c r="A516">
        <f>RANK(H516,H$13:H$798,0)</f>
        <v>504</v>
      </c>
      <c r="B516" s="2">
        <v>157401</v>
      </c>
      <c r="C516" t="s">
        <v>898</v>
      </c>
      <c r="D516" t="s">
        <v>899</v>
      </c>
      <c r="E516" t="s">
        <v>170</v>
      </c>
      <c r="F516" t="s">
        <v>7</v>
      </c>
      <c r="G516" s="4">
        <v>7656</v>
      </c>
      <c r="H516" s="4">
        <v>89480.02</v>
      </c>
      <c r="I516" s="4">
        <v>83202.929999999993</v>
      </c>
      <c r="J516" s="1">
        <v>7.5443136437623197</v>
      </c>
      <c r="K516" s="2">
        <v>2</v>
      </c>
      <c r="L516" s="1">
        <v>3</v>
      </c>
      <c r="M516" s="4">
        <v>11687.57</v>
      </c>
    </row>
    <row r="517" spans="1:13" x14ac:dyDescent="0.25">
      <c r="A517">
        <f>RANK(H517,H$13:H$798,0)</f>
        <v>505</v>
      </c>
      <c r="B517" s="2">
        <v>231059</v>
      </c>
      <c r="C517" t="s">
        <v>900</v>
      </c>
      <c r="D517" t="s">
        <v>901</v>
      </c>
      <c r="E517" t="s">
        <v>209</v>
      </c>
      <c r="F517" t="s">
        <v>3</v>
      </c>
      <c r="G517" s="4">
        <v>1800</v>
      </c>
      <c r="H517" s="4">
        <v>89060.683000000005</v>
      </c>
      <c r="I517" s="4">
        <v>89921.135999999999</v>
      </c>
      <c r="J517" s="1">
        <v>-0.95689738617180509</v>
      </c>
      <c r="K517" s="2">
        <v>2</v>
      </c>
      <c r="L517" s="1">
        <v>2</v>
      </c>
      <c r="M517" s="4">
        <v>49478.16</v>
      </c>
    </row>
    <row r="518" spans="1:13" x14ac:dyDescent="0.25">
      <c r="A518">
        <f>RANK(H518,H$13:H$798,0)</f>
        <v>506</v>
      </c>
      <c r="B518" s="2">
        <v>238616</v>
      </c>
      <c r="C518" t="s">
        <v>902</v>
      </c>
      <c r="D518" t="s">
        <v>903</v>
      </c>
      <c r="E518" t="s">
        <v>74</v>
      </c>
      <c r="F518" t="s">
        <v>3</v>
      </c>
      <c r="G518" s="4">
        <v>5451</v>
      </c>
      <c r="H518" s="4">
        <v>88859.240999999995</v>
      </c>
      <c r="I518" s="4">
        <v>84911.168999999994</v>
      </c>
      <c r="J518" s="1">
        <v>4.6496498004873779</v>
      </c>
      <c r="K518" s="2">
        <v>2</v>
      </c>
      <c r="L518" s="1">
        <v>4</v>
      </c>
      <c r="M518" s="4">
        <v>16301.46</v>
      </c>
    </row>
    <row r="519" spans="1:13" x14ac:dyDescent="0.25">
      <c r="A519">
        <f>RANK(H519,H$13:H$798,0)</f>
        <v>507</v>
      </c>
      <c r="B519" s="2">
        <v>200004</v>
      </c>
      <c r="C519" t="s">
        <v>904</v>
      </c>
      <c r="D519" t="s">
        <v>905</v>
      </c>
      <c r="E519" t="s">
        <v>36</v>
      </c>
      <c r="F519" t="s">
        <v>7</v>
      </c>
      <c r="G519" s="4">
        <v>10660</v>
      </c>
      <c r="H519" s="4">
        <v>88700.504000000001</v>
      </c>
      <c r="I519" s="4">
        <v>85641.278000000006</v>
      </c>
      <c r="J519" s="1">
        <v>3.5721395937132034</v>
      </c>
      <c r="K519" s="2">
        <v>2</v>
      </c>
      <c r="L519" s="1">
        <v>3</v>
      </c>
      <c r="M519" s="4">
        <v>8320.8700000000008</v>
      </c>
    </row>
    <row r="520" spans="1:13" x14ac:dyDescent="0.25">
      <c r="A520">
        <f>RANK(H520,H$13:H$798,0)</f>
        <v>508</v>
      </c>
      <c r="B520" s="2">
        <v>203845</v>
      </c>
      <c r="C520" t="s">
        <v>906</v>
      </c>
      <c r="D520" t="s">
        <v>907</v>
      </c>
      <c r="E520" t="s">
        <v>63</v>
      </c>
      <c r="F520" t="s">
        <v>3</v>
      </c>
      <c r="G520" s="4">
        <v>1088</v>
      </c>
      <c r="H520" s="4">
        <v>88469.293999999994</v>
      </c>
      <c r="I520" s="4">
        <v>86026.736999999994</v>
      </c>
      <c r="J520" s="1">
        <v>2.8392998330274937</v>
      </c>
      <c r="K520" s="2">
        <v>2</v>
      </c>
      <c r="L520" s="1">
        <v>2</v>
      </c>
      <c r="M520" s="4">
        <v>81313.69</v>
      </c>
    </row>
    <row r="521" spans="1:13" x14ac:dyDescent="0.25">
      <c r="A521">
        <f>RANK(H521,H$13:H$798,0)</f>
        <v>509</v>
      </c>
      <c r="B521" s="2">
        <v>127185</v>
      </c>
      <c r="C521" t="s">
        <v>908</v>
      </c>
      <c r="D521" t="s">
        <v>909</v>
      </c>
      <c r="E521" t="s">
        <v>127</v>
      </c>
      <c r="F521" t="s">
        <v>3</v>
      </c>
      <c r="G521" s="4">
        <v>6484</v>
      </c>
      <c r="H521" s="4">
        <v>87759.145999999993</v>
      </c>
      <c r="I521" s="4">
        <v>82652.051999999996</v>
      </c>
      <c r="J521" s="1">
        <v>6.1790286827966447</v>
      </c>
      <c r="K521" s="2">
        <v>2</v>
      </c>
      <c r="L521" s="1">
        <v>2</v>
      </c>
      <c r="M521" s="4">
        <v>13534.72</v>
      </c>
    </row>
    <row r="522" spans="1:13" x14ac:dyDescent="0.25">
      <c r="A522">
        <f>RANK(H522,H$13:H$798,0)</f>
        <v>510</v>
      </c>
      <c r="B522" s="2">
        <v>172051</v>
      </c>
      <c r="C522" t="s">
        <v>910</v>
      </c>
      <c r="D522" t="s">
        <v>911</v>
      </c>
      <c r="E522" t="s">
        <v>24</v>
      </c>
      <c r="F522" t="s">
        <v>75</v>
      </c>
      <c r="G522" s="4">
        <v>7412</v>
      </c>
      <c r="H522" s="4">
        <v>87435.881999999998</v>
      </c>
      <c r="I522" s="4">
        <v>86175.061000000002</v>
      </c>
      <c r="J522" s="1">
        <v>1.4630926690031543</v>
      </c>
      <c r="K522" s="2">
        <v>2</v>
      </c>
      <c r="L522" s="1">
        <v>3</v>
      </c>
      <c r="M522" s="4">
        <v>11796.53</v>
      </c>
    </row>
    <row r="523" spans="1:13" x14ac:dyDescent="0.25">
      <c r="A523">
        <f>RANK(H523,H$13:H$798,0)</f>
        <v>511</v>
      </c>
      <c r="B523" s="2">
        <v>150604</v>
      </c>
      <c r="C523" t="s">
        <v>912</v>
      </c>
      <c r="D523" t="s">
        <v>913</v>
      </c>
      <c r="E523" t="s">
        <v>27</v>
      </c>
      <c r="F523" t="s">
        <v>3</v>
      </c>
      <c r="G523" s="4">
        <v>948</v>
      </c>
      <c r="H523" s="4">
        <v>87386.625</v>
      </c>
      <c r="I523" s="4">
        <v>87618.794999999998</v>
      </c>
      <c r="J523" s="1">
        <v>-0.26497739440493134</v>
      </c>
      <c r="K523" s="2">
        <v>2</v>
      </c>
      <c r="L523" s="1">
        <v>2</v>
      </c>
      <c r="M523" s="4">
        <v>92179.98</v>
      </c>
    </row>
    <row r="524" spans="1:13" x14ac:dyDescent="0.25">
      <c r="A524">
        <f>RANK(H524,H$13:H$798,0)</f>
        <v>512</v>
      </c>
      <c r="B524" s="2">
        <v>169910</v>
      </c>
      <c r="C524" t="s">
        <v>914</v>
      </c>
      <c r="D524" t="s">
        <v>915</v>
      </c>
      <c r="E524" t="s">
        <v>24</v>
      </c>
      <c r="F524" t="s">
        <v>7</v>
      </c>
      <c r="G524" s="4">
        <v>10423</v>
      </c>
      <c r="H524" s="4">
        <v>87355.421000000002</v>
      </c>
      <c r="I524" s="4">
        <v>78749.337</v>
      </c>
      <c r="J524" s="1">
        <v>10.928452642083835</v>
      </c>
      <c r="K524" s="2">
        <v>2</v>
      </c>
      <c r="L524" s="1">
        <v>4</v>
      </c>
      <c r="M524" s="4">
        <v>8381.02</v>
      </c>
    </row>
    <row r="525" spans="1:13" x14ac:dyDescent="0.25">
      <c r="A525">
        <f>RANK(H525,H$13:H$798,0)</f>
        <v>513</v>
      </c>
      <c r="B525" s="2">
        <v>217518</v>
      </c>
      <c r="C525" t="s">
        <v>916</v>
      </c>
      <c r="D525" t="s">
        <v>917</v>
      </c>
      <c r="E525" t="s">
        <v>69</v>
      </c>
      <c r="F525" t="s">
        <v>3</v>
      </c>
      <c r="G525" s="4">
        <v>4845</v>
      </c>
      <c r="H525" s="4">
        <v>86048.572</v>
      </c>
      <c r="I525" s="4">
        <v>87781.692999999999</v>
      </c>
      <c r="J525" s="1">
        <v>-1.9743535819023212</v>
      </c>
      <c r="K525" s="2">
        <v>2</v>
      </c>
      <c r="L525" s="1">
        <v>3</v>
      </c>
      <c r="M525" s="4">
        <v>17760.28</v>
      </c>
    </row>
    <row r="526" spans="1:13" x14ac:dyDescent="0.25">
      <c r="A526">
        <f>RANK(H526,H$13:H$798,0)</f>
        <v>514</v>
      </c>
      <c r="B526" s="2">
        <v>150534</v>
      </c>
      <c r="C526" t="s">
        <v>918</v>
      </c>
      <c r="D526" t="s">
        <v>919</v>
      </c>
      <c r="E526" t="s">
        <v>27</v>
      </c>
      <c r="F526" t="s">
        <v>3</v>
      </c>
      <c r="G526" s="4">
        <v>2409</v>
      </c>
      <c r="H526" s="4">
        <v>85666.743000000002</v>
      </c>
      <c r="I526" s="4">
        <v>88761.978000000003</v>
      </c>
      <c r="J526" s="1">
        <v>-3.487118099148264</v>
      </c>
      <c r="K526" s="2">
        <v>2</v>
      </c>
      <c r="L526" s="1">
        <v>3</v>
      </c>
      <c r="M526" s="4">
        <v>35561.120000000003</v>
      </c>
    </row>
    <row r="527" spans="1:13" x14ac:dyDescent="0.25">
      <c r="A527">
        <f>RANK(H527,H$13:H$798,0)</f>
        <v>515</v>
      </c>
      <c r="B527" s="2">
        <v>136330</v>
      </c>
      <c r="C527" t="s">
        <v>920</v>
      </c>
      <c r="D527" t="s">
        <v>921</v>
      </c>
      <c r="E527" t="s">
        <v>127</v>
      </c>
      <c r="F527" t="s">
        <v>3</v>
      </c>
      <c r="G527" s="4">
        <v>3705</v>
      </c>
      <c r="H527" s="4">
        <v>85236.214999999997</v>
      </c>
      <c r="I527" s="4">
        <v>84138.771999999997</v>
      </c>
      <c r="J527" s="1">
        <v>1.304324954968441</v>
      </c>
      <c r="K527" s="2">
        <v>2</v>
      </c>
      <c r="L527" s="1">
        <v>4</v>
      </c>
      <c r="M527" s="4">
        <v>23005.73</v>
      </c>
    </row>
    <row r="528" spans="1:13" x14ac:dyDescent="0.25">
      <c r="A528">
        <f>RANK(H528,H$13:H$798,0)</f>
        <v>516</v>
      </c>
      <c r="B528" s="2">
        <v>106458</v>
      </c>
      <c r="C528" t="s">
        <v>922</v>
      </c>
      <c r="D528" t="s">
        <v>923</v>
      </c>
      <c r="E528" t="s">
        <v>204</v>
      </c>
      <c r="F528" t="s">
        <v>75</v>
      </c>
      <c r="G528" s="4">
        <v>17436</v>
      </c>
      <c r="H528" s="4">
        <v>84430.331000000006</v>
      </c>
      <c r="I528" s="4">
        <v>78090.724000000002</v>
      </c>
      <c r="J528" s="1">
        <v>8.1182587063733749</v>
      </c>
      <c r="K528" s="2">
        <v>2</v>
      </c>
      <c r="L528" s="1">
        <v>4</v>
      </c>
      <c r="M528" s="4">
        <v>4842.3</v>
      </c>
    </row>
    <row r="529" spans="1:13" x14ac:dyDescent="0.25">
      <c r="A529">
        <f>RANK(H529,H$13:H$798,0)</f>
        <v>517</v>
      </c>
      <c r="B529" s="2">
        <v>219976</v>
      </c>
      <c r="C529" t="s">
        <v>924</v>
      </c>
      <c r="D529" t="s">
        <v>56</v>
      </c>
      <c r="E529" t="s">
        <v>57</v>
      </c>
      <c r="F529" t="s">
        <v>3</v>
      </c>
      <c r="G529" s="4">
        <v>4347</v>
      </c>
      <c r="H529" s="4">
        <v>84429.792000000001</v>
      </c>
      <c r="I529" s="4">
        <v>84633.895000000004</v>
      </c>
      <c r="J529" s="1">
        <v>-0.24115988044742923</v>
      </c>
      <c r="K529" s="2">
        <v>2</v>
      </c>
      <c r="L529" s="1">
        <v>4</v>
      </c>
      <c r="M529" s="4">
        <v>19422.54</v>
      </c>
    </row>
    <row r="530" spans="1:13" x14ac:dyDescent="0.25">
      <c r="A530">
        <f>RANK(H530,H$13:H$798,0)</f>
        <v>518</v>
      </c>
      <c r="B530" s="2">
        <v>144892</v>
      </c>
      <c r="C530" t="s">
        <v>925</v>
      </c>
      <c r="D530" t="s">
        <v>439</v>
      </c>
      <c r="E530" t="s">
        <v>30</v>
      </c>
      <c r="F530" t="s">
        <v>7</v>
      </c>
      <c r="G530" s="4">
        <v>5892</v>
      </c>
      <c r="H530" s="4">
        <v>84386.614000000001</v>
      </c>
      <c r="I530" s="4">
        <v>86032.312000000005</v>
      </c>
      <c r="J530" s="1">
        <v>-1.9128836151700814</v>
      </c>
      <c r="K530" s="2">
        <v>2</v>
      </c>
      <c r="L530" s="1">
        <v>3</v>
      </c>
      <c r="M530" s="4">
        <v>14322.24</v>
      </c>
    </row>
    <row r="531" spans="1:13" x14ac:dyDescent="0.25">
      <c r="A531">
        <f>RANK(H531,H$13:H$798,0)</f>
        <v>519</v>
      </c>
      <c r="B531" s="2">
        <v>230807</v>
      </c>
      <c r="C531" t="s">
        <v>926</v>
      </c>
      <c r="D531" t="s">
        <v>200</v>
      </c>
      <c r="E531" t="s">
        <v>201</v>
      </c>
      <c r="F531" t="s">
        <v>3</v>
      </c>
      <c r="G531" s="4">
        <v>2306</v>
      </c>
      <c r="H531" s="4">
        <v>84349.490999999995</v>
      </c>
      <c r="I531" s="4">
        <v>81165.731</v>
      </c>
      <c r="J531" s="1">
        <v>3.9225421378882115</v>
      </c>
      <c r="K531" s="2">
        <v>2</v>
      </c>
      <c r="L531" s="1">
        <v>3</v>
      </c>
      <c r="M531" s="4">
        <v>36578.269999999997</v>
      </c>
    </row>
    <row r="532" spans="1:13" x14ac:dyDescent="0.25">
      <c r="A532">
        <f>RANK(H532,H$13:H$798,0)</f>
        <v>520</v>
      </c>
      <c r="B532" s="2">
        <v>212197</v>
      </c>
      <c r="C532" t="s">
        <v>927</v>
      </c>
      <c r="D532" t="s">
        <v>928</v>
      </c>
      <c r="E532" t="s">
        <v>20</v>
      </c>
      <c r="F532" t="s">
        <v>3</v>
      </c>
      <c r="G532" s="4">
        <v>1664</v>
      </c>
      <c r="H532" s="4">
        <v>83796.997000000003</v>
      </c>
      <c r="I532" s="4">
        <v>80710.350999999995</v>
      </c>
      <c r="J532" s="1">
        <v>3.8243496178080156</v>
      </c>
      <c r="K532" s="2">
        <v>2</v>
      </c>
      <c r="L532" s="1">
        <v>2</v>
      </c>
      <c r="M532" s="4">
        <v>50358.77</v>
      </c>
    </row>
    <row r="533" spans="1:13" x14ac:dyDescent="0.25">
      <c r="A533">
        <f>RANK(H533,H$13:H$798,0)</f>
        <v>521</v>
      </c>
      <c r="B533" s="2">
        <v>108092</v>
      </c>
      <c r="C533" t="s">
        <v>929</v>
      </c>
      <c r="D533" t="s">
        <v>930</v>
      </c>
      <c r="E533" t="s">
        <v>204</v>
      </c>
      <c r="F533" t="s">
        <v>75</v>
      </c>
      <c r="G533" s="4">
        <v>5166</v>
      </c>
      <c r="H533" s="4">
        <v>83733.320000000007</v>
      </c>
      <c r="I533" s="4">
        <v>83118.008000000002</v>
      </c>
      <c r="J533" s="1">
        <v>0.74028723113769201</v>
      </c>
      <c r="K533" s="2">
        <v>2</v>
      </c>
      <c r="L533" s="1">
        <v>2</v>
      </c>
      <c r="M533" s="4">
        <v>16208.54</v>
      </c>
    </row>
    <row r="534" spans="1:13" x14ac:dyDescent="0.25">
      <c r="A534">
        <f>RANK(H534,H$13:H$798,0)</f>
        <v>522</v>
      </c>
      <c r="B534" s="2">
        <v>174747</v>
      </c>
      <c r="C534" t="s">
        <v>931</v>
      </c>
      <c r="D534" t="s">
        <v>932</v>
      </c>
      <c r="E534" t="s">
        <v>95</v>
      </c>
      <c r="F534" t="s">
        <v>3</v>
      </c>
      <c r="G534" s="4">
        <v>1755</v>
      </c>
      <c r="H534" s="4">
        <v>83506.118000000002</v>
      </c>
      <c r="I534" s="4">
        <v>78104.907000000007</v>
      </c>
      <c r="J534" s="1">
        <v>6.915328636138053</v>
      </c>
      <c r="K534" s="2">
        <v>2</v>
      </c>
      <c r="L534" s="1">
        <v>2</v>
      </c>
      <c r="M534" s="4">
        <v>47581.83</v>
      </c>
    </row>
    <row r="535" spans="1:13" x14ac:dyDescent="0.25">
      <c r="A535">
        <f>RANK(H535,H$13:H$798,0)</f>
        <v>523</v>
      </c>
      <c r="B535" s="2">
        <v>450304</v>
      </c>
      <c r="C535" t="s">
        <v>933</v>
      </c>
      <c r="D535" t="s">
        <v>934</v>
      </c>
      <c r="E535" t="s">
        <v>6</v>
      </c>
      <c r="F535" t="s">
        <v>3</v>
      </c>
      <c r="G535" s="4">
        <v>135</v>
      </c>
      <c r="H535" s="4">
        <v>83303.334000000003</v>
      </c>
      <c r="I535" s="4">
        <v>84861.47</v>
      </c>
      <c r="J535" s="1">
        <v>-1.8360935769790441</v>
      </c>
      <c r="K535" s="2">
        <v>2</v>
      </c>
      <c r="L535" s="1">
        <v>5</v>
      </c>
      <c r="M535" s="4">
        <v>617061.73</v>
      </c>
    </row>
    <row r="536" spans="1:13" x14ac:dyDescent="0.25">
      <c r="A536">
        <f>RANK(H536,H$13:H$798,0)</f>
        <v>524</v>
      </c>
      <c r="B536" s="2">
        <v>193830</v>
      </c>
      <c r="C536" t="s">
        <v>935</v>
      </c>
      <c r="D536" t="s">
        <v>625</v>
      </c>
      <c r="E536" t="s">
        <v>33</v>
      </c>
      <c r="F536" t="s">
        <v>3</v>
      </c>
      <c r="G536" s="4">
        <v>1295</v>
      </c>
      <c r="H536" s="4">
        <v>83043.47</v>
      </c>
      <c r="I536" s="4">
        <v>82786.135999999999</v>
      </c>
      <c r="J536" s="1">
        <v>0.31084190232045927</v>
      </c>
      <c r="K536" s="2">
        <v>2</v>
      </c>
      <c r="L536" s="1">
        <v>5</v>
      </c>
      <c r="M536" s="4">
        <v>64126.23</v>
      </c>
    </row>
    <row r="537" spans="1:13" x14ac:dyDescent="0.25">
      <c r="A537">
        <f>RANK(H537,H$13:H$798,0)</f>
        <v>525</v>
      </c>
      <c r="B537" s="2">
        <v>211088</v>
      </c>
      <c r="C537" t="s">
        <v>936</v>
      </c>
      <c r="D537" t="s">
        <v>937</v>
      </c>
      <c r="E537" t="s">
        <v>20</v>
      </c>
      <c r="F537" t="s">
        <v>3</v>
      </c>
      <c r="G537" s="4">
        <v>2876</v>
      </c>
      <c r="H537" s="4">
        <v>82645</v>
      </c>
      <c r="I537" s="4">
        <v>71753</v>
      </c>
      <c r="J537" s="1">
        <v>15.179853107187155</v>
      </c>
      <c r="K537" s="2">
        <v>2</v>
      </c>
      <c r="L537" s="1">
        <v>3</v>
      </c>
      <c r="M537" s="4">
        <v>28736.09</v>
      </c>
    </row>
    <row r="538" spans="1:13" x14ac:dyDescent="0.25">
      <c r="A538">
        <f>RANK(H538,H$13:H$798,0)</f>
        <v>526</v>
      </c>
      <c r="B538" s="2">
        <v>240268</v>
      </c>
      <c r="C538" t="s">
        <v>938</v>
      </c>
      <c r="D538" t="s">
        <v>939</v>
      </c>
      <c r="E538" t="s">
        <v>74</v>
      </c>
      <c r="F538" t="s">
        <v>75</v>
      </c>
      <c r="G538" s="4">
        <v>9804</v>
      </c>
      <c r="H538" s="4">
        <v>81094.364000000001</v>
      </c>
      <c r="I538" s="4">
        <v>80998.051999999996</v>
      </c>
      <c r="J538" s="1">
        <v>0.11890656333315938</v>
      </c>
      <c r="K538" s="2">
        <v>2</v>
      </c>
      <c r="L538" s="1">
        <v>3</v>
      </c>
      <c r="M538" s="4">
        <v>8271.56</v>
      </c>
    </row>
    <row r="539" spans="1:13" x14ac:dyDescent="0.25">
      <c r="A539">
        <f>RANK(H539,H$13:H$798,0)</f>
        <v>527</v>
      </c>
      <c r="B539" s="2">
        <v>209807</v>
      </c>
      <c r="C539" t="s">
        <v>940</v>
      </c>
      <c r="D539" t="s">
        <v>262</v>
      </c>
      <c r="E539" t="s">
        <v>263</v>
      </c>
      <c r="F539" t="s">
        <v>75</v>
      </c>
      <c r="G539" s="4">
        <v>27285</v>
      </c>
      <c r="H539" s="4">
        <v>80340.811000000002</v>
      </c>
      <c r="I539" s="4">
        <v>74206.024999999994</v>
      </c>
      <c r="J539" s="1">
        <v>8.2672343654036275</v>
      </c>
      <c r="K539" s="2">
        <v>2</v>
      </c>
      <c r="L539" s="1">
        <v>4</v>
      </c>
      <c r="M539" s="4">
        <v>2944.5</v>
      </c>
    </row>
    <row r="540" spans="1:13" x14ac:dyDescent="0.25">
      <c r="A540">
        <f>RANK(H540,H$13:H$798,0)</f>
        <v>528</v>
      </c>
      <c r="B540" s="2">
        <v>213367</v>
      </c>
      <c r="C540" t="s">
        <v>941</v>
      </c>
      <c r="D540" t="s">
        <v>19</v>
      </c>
      <c r="E540" t="s">
        <v>20</v>
      </c>
      <c r="F540" t="s">
        <v>3</v>
      </c>
      <c r="G540" s="4">
        <v>5193</v>
      </c>
      <c r="H540" s="4">
        <v>80311.293000000005</v>
      </c>
      <c r="I540" s="4">
        <v>85073.509000000005</v>
      </c>
      <c r="J540" s="1">
        <v>-5.597766044891836</v>
      </c>
      <c r="K540" s="2">
        <v>2</v>
      </c>
      <c r="L540" s="1">
        <v>3</v>
      </c>
      <c r="M540" s="4">
        <v>15465.3</v>
      </c>
    </row>
    <row r="541" spans="1:13" x14ac:dyDescent="0.25">
      <c r="A541">
        <f>RANK(H541,H$13:H$798,0)</f>
        <v>529</v>
      </c>
      <c r="B541" s="2">
        <v>147703</v>
      </c>
      <c r="C541" t="s">
        <v>942</v>
      </c>
      <c r="D541" t="s">
        <v>943</v>
      </c>
      <c r="E541" t="s">
        <v>30</v>
      </c>
      <c r="F541" t="s">
        <v>75</v>
      </c>
      <c r="G541" s="5" t="s">
        <v>1363</v>
      </c>
      <c r="H541" s="4">
        <v>80064.853000000003</v>
      </c>
      <c r="I541" s="4">
        <v>79256.369000000006</v>
      </c>
      <c r="J541" s="1">
        <v>1.0200871049240179</v>
      </c>
      <c r="K541" s="2">
        <v>2</v>
      </c>
      <c r="L541" s="1">
        <v>4</v>
      </c>
      <c r="M541" s="5" t="s">
        <v>1363</v>
      </c>
    </row>
    <row r="542" spans="1:13" x14ac:dyDescent="0.25">
      <c r="A542">
        <f>RANK(H542,H$13:H$798,0)</f>
        <v>530</v>
      </c>
      <c r="B542" s="2">
        <v>229179</v>
      </c>
      <c r="C542" t="s">
        <v>944</v>
      </c>
      <c r="D542" t="s">
        <v>598</v>
      </c>
      <c r="E542" t="s">
        <v>6</v>
      </c>
      <c r="F542" t="s">
        <v>7</v>
      </c>
      <c r="G542" s="4">
        <v>13952</v>
      </c>
      <c r="H542" s="4">
        <v>79577.312999999995</v>
      </c>
      <c r="I542" s="4">
        <v>71962.543999999994</v>
      </c>
      <c r="J542" s="1">
        <v>10.581572824885125</v>
      </c>
      <c r="K542" s="2">
        <v>2</v>
      </c>
      <c r="L542" s="1">
        <v>4</v>
      </c>
      <c r="M542" s="4">
        <v>5703.65</v>
      </c>
    </row>
    <row r="543" spans="1:13" x14ac:dyDescent="0.25">
      <c r="A543">
        <f>RANK(H543,H$13:H$798,0)</f>
        <v>531</v>
      </c>
      <c r="B543" s="2">
        <v>147679</v>
      </c>
      <c r="C543" t="s">
        <v>945</v>
      </c>
      <c r="D543" t="s">
        <v>38</v>
      </c>
      <c r="E543" t="s">
        <v>30</v>
      </c>
      <c r="F543" t="s">
        <v>3</v>
      </c>
      <c r="G543" s="4">
        <v>2327</v>
      </c>
      <c r="H543" s="4">
        <v>79526.773000000001</v>
      </c>
      <c r="I543" s="4">
        <v>76873.615000000005</v>
      </c>
      <c r="J543" s="1">
        <v>3.451324618986626</v>
      </c>
      <c r="K543" s="2">
        <v>2</v>
      </c>
      <c r="L543" s="1">
        <v>3</v>
      </c>
      <c r="M543" s="4">
        <v>34175.67</v>
      </c>
    </row>
    <row r="544" spans="1:13" x14ac:dyDescent="0.25">
      <c r="A544">
        <f>RANK(H544,H$13:H$798,0)</f>
        <v>532</v>
      </c>
      <c r="B544" s="2">
        <v>185590</v>
      </c>
      <c r="C544" t="s">
        <v>946</v>
      </c>
      <c r="D544" t="s">
        <v>947</v>
      </c>
      <c r="E544" t="s">
        <v>15</v>
      </c>
      <c r="F544" t="s">
        <v>75</v>
      </c>
      <c r="G544" s="4">
        <v>22000</v>
      </c>
      <c r="H544" s="4">
        <v>79490.256999999998</v>
      </c>
      <c r="I544" s="4">
        <v>74309.634999999995</v>
      </c>
      <c r="J544" s="1">
        <v>6.9716692862237899</v>
      </c>
      <c r="K544" s="2">
        <v>2</v>
      </c>
      <c r="L544" s="1">
        <v>4</v>
      </c>
      <c r="M544" s="4">
        <v>3613.19</v>
      </c>
    </row>
    <row r="545" spans="1:13" x14ac:dyDescent="0.25">
      <c r="A545">
        <f>RANK(H545,H$13:H$798,0)</f>
        <v>533</v>
      </c>
      <c r="B545" s="2">
        <v>204264</v>
      </c>
      <c r="C545" t="s">
        <v>948</v>
      </c>
      <c r="D545" t="s">
        <v>949</v>
      </c>
      <c r="E545" t="s">
        <v>63</v>
      </c>
      <c r="F545" t="s">
        <v>3</v>
      </c>
      <c r="G545" s="4">
        <v>1818</v>
      </c>
      <c r="H545" s="4">
        <v>79460.895000000004</v>
      </c>
      <c r="I545" s="4">
        <v>79308.070000000007</v>
      </c>
      <c r="J545" s="1">
        <v>0.19269791838333361</v>
      </c>
      <c r="K545" s="2">
        <v>2</v>
      </c>
      <c r="L545" s="1">
        <v>3</v>
      </c>
      <c r="M545" s="4">
        <v>43707.86</v>
      </c>
    </row>
    <row r="546" spans="1:13" x14ac:dyDescent="0.25">
      <c r="A546">
        <f>RANK(H546,H$13:H$798,0)</f>
        <v>534</v>
      </c>
      <c r="B546" s="2">
        <v>110583</v>
      </c>
      <c r="C546" t="s">
        <v>950</v>
      </c>
      <c r="D546" t="s">
        <v>951</v>
      </c>
      <c r="E546" t="s">
        <v>12</v>
      </c>
      <c r="F546" t="s">
        <v>7</v>
      </c>
      <c r="G546" s="4">
        <v>31700.799999999999</v>
      </c>
      <c r="H546" s="4">
        <v>79351.656000000003</v>
      </c>
      <c r="I546" s="4">
        <v>77174.528999999995</v>
      </c>
      <c r="J546" s="1">
        <v>2.821043455930917</v>
      </c>
      <c r="K546" s="2">
        <v>2</v>
      </c>
      <c r="L546" s="1">
        <v>3</v>
      </c>
      <c r="M546" s="4">
        <v>2503.14</v>
      </c>
    </row>
    <row r="547" spans="1:13" x14ac:dyDescent="0.25">
      <c r="A547">
        <f>RANK(H547,H$13:H$798,0)</f>
        <v>535</v>
      </c>
      <c r="B547" s="2">
        <v>153108</v>
      </c>
      <c r="C547" t="s">
        <v>952</v>
      </c>
      <c r="D547" t="s">
        <v>953</v>
      </c>
      <c r="E547" t="s">
        <v>113</v>
      </c>
      <c r="F547" t="s">
        <v>3</v>
      </c>
      <c r="G547" s="4">
        <v>1095</v>
      </c>
      <c r="H547" s="4">
        <v>79160.656000000003</v>
      </c>
      <c r="I547" s="4">
        <v>80644.297999999995</v>
      </c>
      <c r="J547" s="1">
        <v>-1.8397357740035043</v>
      </c>
      <c r="K547" s="2">
        <v>2</v>
      </c>
      <c r="L547" s="1">
        <v>2</v>
      </c>
      <c r="M547" s="4">
        <v>72292.84</v>
      </c>
    </row>
    <row r="548" spans="1:13" x14ac:dyDescent="0.25">
      <c r="A548">
        <f>RANK(H548,H$13:H$798,0)</f>
        <v>536</v>
      </c>
      <c r="B548" s="2">
        <v>134079</v>
      </c>
      <c r="C548" t="s">
        <v>954</v>
      </c>
      <c r="D548" t="s">
        <v>955</v>
      </c>
      <c r="E548" t="s">
        <v>127</v>
      </c>
      <c r="F548" t="s">
        <v>3</v>
      </c>
      <c r="G548" s="4">
        <v>3060</v>
      </c>
      <c r="H548" s="4">
        <v>79135.857000000004</v>
      </c>
      <c r="I548" s="4">
        <v>77740.676999999996</v>
      </c>
      <c r="J548" s="1">
        <v>1.7946589273978248</v>
      </c>
      <c r="K548" s="2">
        <v>2</v>
      </c>
      <c r="L548" s="1">
        <v>3</v>
      </c>
      <c r="M548" s="4">
        <v>25861.39</v>
      </c>
    </row>
    <row r="549" spans="1:13" x14ac:dyDescent="0.25">
      <c r="A549">
        <f>RANK(H549,H$13:H$798,0)</f>
        <v>537</v>
      </c>
      <c r="B549" s="2">
        <v>155025</v>
      </c>
      <c r="C549" t="s">
        <v>956</v>
      </c>
      <c r="D549" t="s">
        <v>957</v>
      </c>
      <c r="E549" t="s">
        <v>133</v>
      </c>
      <c r="F549" t="s">
        <v>75</v>
      </c>
      <c r="G549" s="4">
        <v>4423</v>
      </c>
      <c r="H549" s="4">
        <v>79116.123000000007</v>
      </c>
      <c r="I549" s="4">
        <v>77134.182000000001</v>
      </c>
      <c r="J549" s="1">
        <v>2.5694717291485714</v>
      </c>
      <c r="K549" s="2">
        <v>2</v>
      </c>
      <c r="L549" s="1">
        <v>3</v>
      </c>
      <c r="M549" s="4">
        <v>17887.43</v>
      </c>
    </row>
    <row r="550" spans="1:13" x14ac:dyDescent="0.25">
      <c r="A550">
        <f>RANK(H550,H$13:H$798,0)</f>
        <v>538</v>
      </c>
      <c r="B550" s="2">
        <v>125727</v>
      </c>
      <c r="C550" t="s">
        <v>958</v>
      </c>
      <c r="D550" t="s">
        <v>522</v>
      </c>
      <c r="E550" t="s">
        <v>12</v>
      </c>
      <c r="F550" t="s">
        <v>3</v>
      </c>
      <c r="G550" s="4">
        <v>1272</v>
      </c>
      <c r="H550" s="4">
        <v>78907.982000000004</v>
      </c>
      <c r="I550" s="4">
        <v>83998.599000000002</v>
      </c>
      <c r="J550" s="1">
        <v>-6.0603594114706585</v>
      </c>
      <c r="K550" s="2">
        <v>2</v>
      </c>
      <c r="L550" s="1">
        <v>2</v>
      </c>
      <c r="M550" s="4">
        <v>62034.58</v>
      </c>
    </row>
    <row r="551" spans="1:13" x14ac:dyDescent="0.25">
      <c r="A551">
        <f>RANK(H551,H$13:H$798,0)</f>
        <v>539</v>
      </c>
      <c r="B551" s="2">
        <v>217961</v>
      </c>
      <c r="C551" t="s">
        <v>959</v>
      </c>
      <c r="D551" t="s">
        <v>596</v>
      </c>
      <c r="E551" t="s">
        <v>285</v>
      </c>
      <c r="F551" t="s">
        <v>3</v>
      </c>
      <c r="G551" s="4">
        <v>1622</v>
      </c>
      <c r="H551" s="4">
        <v>78372.081999999995</v>
      </c>
      <c r="I551" s="4">
        <v>78739.686000000002</v>
      </c>
      <c r="J551" s="1">
        <v>-0.46685987546357077</v>
      </c>
      <c r="K551" s="2">
        <v>2</v>
      </c>
      <c r="L551" s="1">
        <v>3</v>
      </c>
      <c r="M551" s="4">
        <v>48318.18</v>
      </c>
    </row>
    <row r="552" spans="1:13" x14ac:dyDescent="0.25">
      <c r="A552">
        <f>RANK(H552,H$13:H$798,0)</f>
        <v>540</v>
      </c>
      <c r="B552" s="2">
        <v>198613</v>
      </c>
      <c r="C552" t="s">
        <v>960</v>
      </c>
      <c r="D552" t="s">
        <v>488</v>
      </c>
      <c r="E552" t="s">
        <v>36</v>
      </c>
      <c r="F552" t="s">
        <v>3</v>
      </c>
      <c r="G552" s="4">
        <v>1475</v>
      </c>
      <c r="H552" s="4">
        <v>78308.255000000005</v>
      </c>
      <c r="I552" s="4">
        <v>78153.251999999993</v>
      </c>
      <c r="J552" s="1">
        <v>0.1983321180288333</v>
      </c>
      <c r="K552" s="2">
        <v>2</v>
      </c>
      <c r="L552" s="1">
        <v>2</v>
      </c>
      <c r="M552" s="4">
        <v>53090.34</v>
      </c>
    </row>
    <row r="553" spans="1:13" x14ac:dyDescent="0.25">
      <c r="A553">
        <f>RANK(H553,H$13:H$798,0)</f>
        <v>541</v>
      </c>
      <c r="B553" s="2">
        <v>169798</v>
      </c>
      <c r="C553" t="s">
        <v>961</v>
      </c>
      <c r="D553" t="s">
        <v>962</v>
      </c>
      <c r="E553" t="s">
        <v>24</v>
      </c>
      <c r="F553" t="s">
        <v>75</v>
      </c>
      <c r="G553" s="4">
        <v>16060</v>
      </c>
      <c r="H553" s="4">
        <v>78170.895000000004</v>
      </c>
      <c r="I553" s="4">
        <v>76013.925000000003</v>
      </c>
      <c r="J553" s="1">
        <v>2.8375985058000897</v>
      </c>
      <c r="K553" s="2">
        <v>2</v>
      </c>
      <c r="L553" s="1">
        <v>4</v>
      </c>
      <c r="M553" s="4">
        <v>4867.43</v>
      </c>
    </row>
    <row r="554" spans="1:13" x14ac:dyDescent="0.25">
      <c r="A554">
        <f>RANK(H554,H$13:H$798,0)</f>
        <v>542</v>
      </c>
      <c r="B554" s="2">
        <v>176284</v>
      </c>
      <c r="C554" t="s">
        <v>963</v>
      </c>
      <c r="D554" t="s">
        <v>964</v>
      </c>
      <c r="E554" t="s">
        <v>305</v>
      </c>
      <c r="F554" t="s">
        <v>3</v>
      </c>
      <c r="G554" s="4">
        <v>583</v>
      </c>
      <c r="H554" s="4">
        <v>78154.695999999996</v>
      </c>
      <c r="I554" s="4">
        <v>79379.599000000002</v>
      </c>
      <c r="J554" s="1">
        <v>-1.5430954746949599</v>
      </c>
      <c r="K554" s="2">
        <v>3</v>
      </c>
      <c r="L554" s="1">
        <v>6</v>
      </c>
      <c r="M554" s="4">
        <v>134056.07999999999</v>
      </c>
    </row>
    <row r="555" spans="1:13" x14ac:dyDescent="0.25">
      <c r="A555">
        <f>RANK(H555,H$13:H$798,0)</f>
        <v>543</v>
      </c>
      <c r="B555" s="2">
        <v>146977</v>
      </c>
      <c r="C555" t="s">
        <v>965</v>
      </c>
      <c r="D555" t="s">
        <v>38</v>
      </c>
      <c r="E555" t="s">
        <v>30</v>
      </c>
      <c r="F555" t="s">
        <v>3</v>
      </c>
      <c r="G555" s="4">
        <v>75.5</v>
      </c>
      <c r="H555" s="4">
        <v>78024.838000000003</v>
      </c>
      <c r="I555" s="4">
        <v>79853.668999999994</v>
      </c>
      <c r="J555" s="1">
        <v>-2.2902278917202805</v>
      </c>
      <c r="K555" s="2">
        <v>2</v>
      </c>
      <c r="L555" s="1">
        <v>5</v>
      </c>
      <c r="M555" s="4">
        <v>1033441.56</v>
      </c>
    </row>
    <row r="556" spans="1:13" x14ac:dyDescent="0.25">
      <c r="A556">
        <f>RANK(H556,H$13:H$798,0)</f>
        <v>544</v>
      </c>
      <c r="B556" s="2">
        <v>167899</v>
      </c>
      <c r="C556" t="s">
        <v>966</v>
      </c>
      <c r="D556" t="s">
        <v>781</v>
      </c>
      <c r="E556" t="s">
        <v>2</v>
      </c>
      <c r="F556" t="s">
        <v>3</v>
      </c>
      <c r="G556" s="4">
        <v>4127</v>
      </c>
      <c r="H556" s="4">
        <v>77931.986999999994</v>
      </c>
      <c r="I556" s="4">
        <v>75775.623999999996</v>
      </c>
      <c r="J556" s="1">
        <v>2.8457212044865479</v>
      </c>
      <c r="K556" s="2">
        <v>2</v>
      </c>
      <c r="L556" s="1">
        <v>3</v>
      </c>
      <c r="M556" s="4">
        <v>18883.45</v>
      </c>
    </row>
    <row r="557" spans="1:13" x14ac:dyDescent="0.25">
      <c r="A557">
        <f>RANK(H557,H$13:H$798,0)</f>
        <v>545</v>
      </c>
      <c r="B557" s="2">
        <v>197197</v>
      </c>
      <c r="C557" t="s">
        <v>967</v>
      </c>
      <c r="D557" t="s">
        <v>968</v>
      </c>
      <c r="E557" t="s">
        <v>33</v>
      </c>
      <c r="F557" t="s">
        <v>3</v>
      </c>
      <c r="G557" s="4">
        <v>2010</v>
      </c>
      <c r="H557" s="4">
        <v>77564.418000000005</v>
      </c>
      <c r="I557" s="4">
        <v>78493.326000000001</v>
      </c>
      <c r="J557" s="1">
        <v>-1.1834229065538588</v>
      </c>
      <c r="K557" s="2">
        <v>2</v>
      </c>
      <c r="L557" s="1">
        <v>3</v>
      </c>
      <c r="M557" s="4">
        <v>38589.26</v>
      </c>
    </row>
    <row r="558" spans="1:13" x14ac:dyDescent="0.25">
      <c r="A558">
        <f>RANK(H558,H$13:H$798,0)</f>
        <v>546</v>
      </c>
      <c r="B558" s="2">
        <v>237011</v>
      </c>
      <c r="C558" t="s">
        <v>969</v>
      </c>
      <c r="D558" t="s">
        <v>970</v>
      </c>
      <c r="E558" t="s">
        <v>82</v>
      </c>
      <c r="F558" t="s">
        <v>75</v>
      </c>
      <c r="G558" s="4">
        <v>14186</v>
      </c>
      <c r="H558" s="4">
        <v>77349.22</v>
      </c>
      <c r="I558" s="4">
        <v>71727.842000000004</v>
      </c>
      <c r="J558" s="1">
        <v>7.8370934399504124</v>
      </c>
      <c r="K558" s="2">
        <v>2</v>
      </c>
      <c r="L558" s="1">
        <v>3</v>
      </c>
      <c r="M558" s="4">
        <v>5452.5</v>
      </c>
    </row>
    <row r="559" spans="1:13" x14ac:dyDescent="0.25">
      <c r="A559">
        <f>RANK(H559,H$13:H$798,0)</f>
        <v>547</v>
      </c>
      <c r="B559" s="3" t="s">
        <v>1363</v>
      </c>
      <c r="C559" t="s">
        <v>971</v>
      </c>
      <c r="D559" t="s">
        <v>972</v>
      </c>
      <c r="E559" t="s">
        <v>12</v>
      </c>
      <c r="F559" t="s">
        <v>75</v>
      </c>
      <c r="G559" s="5" t="s">
        <v>1363</v>
      </c>
      <c r="H559" s="4">
        <v>77307.58</v>
      </c>
      <c r="I559" s="4">
        <v>77153.936000000002</v>
      </c>
      <c r="J559" s="1">
        <v>0.19913954875873116</v>
      </c>
      <c r="K559" s="2">
        <v>3</v>
      </c>
      <c r="L559" s="1">
        <v>6</v>
      </c>
      <c r="M559" s="5" t="s">
        <v>1363</v>
      </c>
    </row>
    <row r="560" spans="1:13" x14ac:dyDescent="0.25">
      <c r="A560">
        <f>RANK(H560,H$13:H$798,0)</f>
        <v>548</v>
      </c>
      <c r="B560" s="2">
        <v>210571</v>
      </c>
      <c r="C560" t="s">
        <v>973</v>
      </c>
      <c r="D560" t="s">
        <v>974</v>
      </c>
      <c r="E560" t="s">
        <v>20</v>
      </c>
      <c r="F560" t="s">
        <v>7</v>
      </c>
      <c r="G560" s="4">
        <v>2300</v>
      </c>
      <c r="H560" s="4">
        <v>77102.539999999994</v>
      </c>
      <c r="I560" s="4">
        <v>71181</v>
      </c>
      <c r="J560" s="1">
        <v>8.318989618016035</v>
      </c>
      <c r="K560" s="2">
        <v>2</v>
      </c>
      <c r="L560" s="1">
        <v>2</v>
      </c>
      <c r="M560" s="4">
        <v>33522.839999999997</v>
      </c>
    </row>
    <row r="561" spans="1:13" x14ac:dyDescent="0.25">
      <c r="A561">
        <f>RANK(H561,H$13:H$798,0)</f>
        <v>549</v>
      </c>
      <c r="B561" s="2">
        <v>191533</v>
      </c>
      <c r="C561" t="s">
        <v>975</v>
      </c>
      <c r="D561" t="s">
        <v>976</v>
      </c>
      <c r="E561" t="s">
        <v>33</v>
      </c>
      <c r="F561" t="s">
        <v>3</v>
      </c>
      <c r="G561" s="4">
        <v>1158</v>
      </c>
      <c r="H561" s="4">
        <v>76792.235000000001</v>
      </c>
      <c r="I561" s="4">
        <v>77304.467999999993</v>
      </c>
      <c r="J561" s="1">
        <v>-0.66261758634700518</v>
      </c>
      <c r="K561" s="2">
        <v>2</v>
      </c>
      <c r="L561" s="1">
        <v>2</v>
      </c>
      <c r="M561" s="4">
        <v>66314.539999999994</v>
      </c>
    </row>
    <row r="562" spans="1:13" x14ac:dyDescent="0.25">
      <c r="A562">
        <f>RANK(H562,H$13:H$798,0)</f>
        <v>550</v>
      </c>
      <c r="B562" s="2">
        <v>155681</v>
      </c>
      <c r="C562" t="s">
        <v>977</v>
      </c>
      <c r="D562" t="s">
        <v>978</v>
      </c>
      <c r="E562" t="s">
        <v>133</v>
      </c>
      <c r="F562" t="s">
        <v>7</v>
      </c>
      <c r="G562" s="4">
        <v>6907</v>
      </c>
      <c r="H562" s="4">
        <v>76527.615000000005</v>
      </c>
      <c r="I562" s="4">
        <v>74328.464999999997</v>
      </c>
      <c r="J562" s="1">
        <v>2.9586915322413949</v>
      </c>
      <c r="K562" s="2">
        <v>2</v>
      </c>
      <c r="L562" s="1">
        <v>3</v>
      </c>
      <c r="M562" s="4">
        <v>11079.72</v>
      </c>
    </row>
    <row r="563" spans="1:13" x14ac:dyDescent="0.25">
      <c r="A563">
        <f>RANK(H563,H$13:H$798,0)</f>
        <v>551</v>
      </c>
      <c r="B563" s="2">
        <v>138354</v>
      </c>
      <c r="C563" t="s">
        <v>979</v>
      </c>
      <c r="D563" t="s">
        <v>980</v>
      </c>
      <c r="E563" t="s">
        <v>127</v>
      </c>
      <c r="F563" t="s">
        <v>7</v>
      </c>
      <c r="G563" s="4">
        <v>9066</v>
      </c>
      <c r="H563" s="4">
        <v>76399.307000000001</v>
      </c>
      <c r="I563" s="4">
        <v>75191.239000000001</v>
      </c>
      <c r="J563" s="1">
        <v>1.6066605844864443</v>
      </c>
      <c r="K563" s="2">
        <v>2</v>
      </c>
      <c r="L563" s="1">
        <v>3</v>
      </c>
      <c r="M563" s="4">
        <v>8427.01</v>
      </c>
    </row>
    <row r="564" spans="1:13" x14ac:dyDescent="0.25">
      <c r="A564">
        <f>RANK(H564,H$13:H$798,0)</f>
        <v>552</v>
      </c>
      <c r="B564" s="2">
        <v>153162</v>
      </c>
      <c r="C564" t="s">
        <v>981</v>
      </c>
      <c r="D564" t="s">
        <v>982</v>
      </c>
      <c r="E564" t="s">
        <v>113</v>
      </c>
      <c r="F564" t="s">
        <v>3</v>
      </c>
      <c r="G564" s="4">
        <v>1017</v>
      </c>
      <c r="H564" s="4">
        <v>76288.111000000004</v>
      </c>
      <c r="I564" s="4">
        <v>77722.34</v>
      </c>
      <c r="J564" s="1">
        <v>-1.845324008515431</v>
      </c>
      <c r="K564" s="2">
        <v>2</v>
      </c>
      <c r="L564" s="1">
        <v>2</v>
      </c>
      <c r="M564" s="4">
        <v>75012.89</v>
      </c>
    </row>
    <row r="565" spans="1:13" x14ac:dyDescent="0.25">
      <c r="A565">
        <f>RANK(H565,H$13:H$798,0)</f>
        <v>553</v>
      </c>
      <c r="B565" s="3">
        <v>196060</v>
      </c>
      <c r="C565" t="s">
        <v>983</v>
      </c>
      <c r="D565" t="s">
        <v>984</v>
      </c>
      <c r="E565" t="s">
        <v>33</v>
      </c>
      <c r="F565" t="s">
        <v>7</v>
      </c>
      <c r="G565" s="5" t="s">
        <v>1363</v>
      </c>
      <c r="H565" s="4">
        <v>75126.460999999996</v>
      </c>
      <c r="I565" s="4">
        <v>71700.966</v>
      </c>
      <c r="J565" s="1">
        <v>4.777473988286288</v>
      </c>
      <c r="K565" s="2">
        <v>2</v>
      </c>
      <c r="L565" s="1">
        <v>4</v>
      </c>
      <c r="M565" s="5" t="s">
        <v>1363</v>
      </c>
    </row>
    <row r="566" spans="1:13" x14ac:dyDescent="0.25">
      <c r="A566">
        <f>RANK(H566,H$13:H$798,0)</f>
        <v>554</v>
      </c>
      <c r="B566" s="2">
        <v>138187</v>
      </c>
      <c r="C566" t="s">
        <v>985</v>
      </c>
      <c r="D566" t="s">
        <v>681</v>
      </c>
      <c r="E566" t="s">
        <v>127</v>
      </c>
      <c r="F566" t="s">
        <v>75</v>
      </c>
      <c r="G566" s="4">
        <v>26241</v>
      </c>
      <c r="H566" s="4">
        <v>74854.796000000002</v>
      </c>
      <c r="I566" s="4">
        <v>74331.707999999999</v>
      </c>
      <c r="J566" s="1">
        <v>0.70372121679217081</v>
      </c>
      <c r="K566" s="2">
        <v>2</v>
      </c>
      <c r="L566" s="1">
        <v>1</v>
      </c>
      <c r="M566" s="4">
        <v>2852.59</v>
      </c>
    </row>
    <row r="567" spans="1:13" x14ac:dyDescent="0.25">
      <c r="A567">
        <f>RANK(H567,H$13:H$798,0)</f>
        <v>555</v>
      </c>
      <c r="B567" s="2">
        <v>195164</v>
      </c>
      <c r="C567" t="s">
        <v>986</v>
      </c>
      <c r="D567" t="s">
        <v>987</v>
      </c>
      <c r="E567" t="s">
        <v>33</v>
      </c>
      <c r="F567" t="s">
        <v>3</v>
      </c>
      <c r="G567" s="4">
        <v>2157</v>
      </c>
      <c r="H567" s="4">
        <v>74401.824999999997</v>
      </c>
      <c r="I567" s="4">
        <v>70191.986999999994</v>
      </c>
      <c r="J567" s="1">
        <v>5.9976048263172883</v>
      </c>
      <c r="K567" s="2">
        <v>2</v>
      </c>
      <c r="L567" s="1">
        <v>3</v>
      </c>
      <c r="M567" s="4">
        <v>34493.199999999997</v>
      </c>
    </row>
    <row r="568" spans="1:13" x14ac:dyDescent="0.25">
      <c r="A568">
        <f>RANK(H568,H$13:H$798,0)</f>
        <v>556</v>
      </c>
      <c r="B568" s="2">
        <v>159939</v>
      </c>
      <c r="C568" t="s">
        <v>1438</v>
      </c>
      <c r="D568" t="s">
        <v>165</v>
      </c>
      <c r="E568" t="s">
        <v>166</v>
      </c>
      <c r="F568" t="s">
        <v>75</v>
      </c>
      <c r="G568" s="5" t="s">
        <v>1363</v>
      </c>
      <c r="H568" s="4">
        <v>74206</v>
      </c>
      <c r="I568" s="4">
        <v>73240</v>
      </c>
      <c r="J568" s="1">
        <v>1.32</v>
      </c>
      <c r="K568" s="2">
        <v>2</v>
      </c>
      <c r="L568" s="1">
        <v>4</v>
      </c>
      <c r="M568" s="5" t="s">
        <v>1363</v>
      </c>
    </row>
    <row r="569" spans="1:13" x14ac:dyDescent="0.25">
      <c r="A569">
        <f>RANK(H569,H$13:H$798,0)</f>
        <v>557</v>
      </c>
      <c r="B569" s="2">
        <v>132851</v>
      </c>
      <c r="C569" t="s">
        <v>988</v>
      </c>
      <c r="D569" t="s">
        <v>989</v>
      </c>
      <c r="E569" t="s">
        <v>127</v>
      </c>
      <c r="F569" t="s">
        <v>75</v>
      </c>
      <c r="G569" s="4">
        <v>7606</v>
      </c>
      <c r="H569" s="4">
        <v>72029.39</v>
      </c>
      <c r="I569" s="4">
        <v>71664.005000000005</v>
      </c>
      <c r="J569" s="1">
        <v>0.50985847079017521</v>
      </c>
      <c r="K569" s="2">
        <v>2</v>
      </c>
      <c r="L569" s="1">
        <v>2</v>
      </c>
      <c r="M569" s="4">
        <v>9470.07</v>
      </c>
    </row>
    <row r="570" spans="1:13" x14ac:dyDescent="0.25">
      <c r="A570">
        <f>RANK(H570,H$13:H$798,0)</f>
        <v>558</v>
      </c>
      <c r="B570" s="2">
        <v>213507</v>
      </c>
      <c r="C570" t="s">
        <v>990</v>
      </c>
      <c r="D570" t="s">
        <v>991</v>
      </c>
      <c r="E570" t="s">
        <v>20</v>
      </c>
      <c r="F570" t="s">
        <v>3</v>
      </c>
      <c r="G570" s="4">
        <v>1804.67</v>
      </c>
      <c r="H570" s="4">
        <v>71832.366999999998</v>
      </c>
      <c r="I570" s="4">
        <v>70470.785999999993</v>
      </c>
      <c r="J570" s="1">
        <v>1.9321212055162911</v>
      </c>
      <c r="K570" s="2">
        <v>2</v>
      </c>
      <c r="L570" s="1">
        <v>3</v>
      </c>
      <c r="M570" s="4">
        <v>39803.599999999999</v>
      </c>
    </row>
    <row r="571" spans="1:13" x14ac:dyDescent="0.25">
      <c r="A571">
        <f>RANK(H571,H$13:H$798,0)</f>
        <v>559</v>
      </c>
      <c r="B571" s="2">
        <v>243665</v>
      </c>
      <c r="C571" t="s">
        <v>992</v>
      </c>
      <c r="D571" t="s">
        <v>993</v>
      </c>
      <c r="E571" t="s">
        <v>994</v>
      </c>
      <c r="F571" t="s">
        <v>75</v>
      </c>
      <c r="G571" s="4">
        <v>1870</v>
      </c>
      <c r="H571" s="4">
        <v>71684.356</v>
      </c>
      <c r="I571" s="4">
        <v>61889.031000000003</v>
      </c>
      <c r="J571" s="1">
        <v>15.827239240504504</v>
      </c>
      <c r="K571" s="2">
        <v>1</v>
      </c>
      <c r="L571" s="1">
        <v>2</v>
      </c>
      <c r="M571" s="4">
        <v>38333.879999999997</v>
      </c>
    </row>
    <row r="572" spans="1:13" x14ac:dyDescent="0.25">
      <c r="A572">
        <f>RANK(H572,H$13:H$798,0)</f>
        <v>560</v>
      </c>
      <c r="B572" s="2">
        <v>232566</v>
      </c>
      <c r="C572" t="s">
        <v>995</v>
      </c>
      <c r="D572" t="s">
        <v>996</v>
      </c>
      <c r="E572" t="s">
        <v>49</v>
      </c>
      <c r="F572" t="s">
        <v>75</v>
      </c>
      <c r="G572" s="4">
        <v>4253</v>
      </c>
      <c r="H572" s="4">
        <v>71363.260999999999</v>
      </c>
      <c r="I572" s="4">
        <v>70148.411999999997</v>
      </c>
      <c r="J572" s="1">
        <v>1.7318268017243243</v>
      </c>
      <c r="K572" s="2">
        <v>2</v>
      </c>
      <c r="L572" s="1">
        <v>3</v>
      </c>
      <c r="M572" s="4">
        <v>16779.509999999998</v>
      </c>
    </row>
    <row r="573" spans="1:13" x14ac:dyDescent="0.25">
      <c r="A573">
        <f>RANK(H573,H$13:H$798,0)</f>
        <v>561</v>
      </c>
      <c r="B573" s="2">
        <v>193584</v>
      </c>
      <c r="C573" t="s">
        <v>997</v>
      </c>
      <c r="D573" t="s">
        <v>245</v>
      </c>
      <c r="E573" t="s">
        <v>33</v>
      </c>
      <c r="F573" t="s">
        <v>3</v>
      </c>
      <c r="G573" s="4">
        <v>2806</v>
      </c>
      <c r="H573" s="4">
        <v>71317.61</v>
      </c>
      <c r="I573" s="4">
        <v>69091.462</v>
      </c>
      <c r="J573" s="1">
        <v>3.2220305310661987</v>
      </c>
      <c r="K573" s="2">
        <v>2</v>
      </c>
      <c r="L573" s="1">
        <v>3</v>
      </c>
      <c r="M573" s="4">
        <v>25416.11</v>
      </c>
    </row>
    <row r="574" spans="1:13" x14ac:dyDescent="0.25">
      <c r="A574">
        <f>RANK(H574,H$13:H$798,0)</f>
        <v>562</v>
      </c>
      <c r="B574" s="2">
        <v>221847</v>
      </c>
      <c r="C574" t="s">
        <v>998</v>
      </c>
      <c r="D574" t="s">
        <v>999</v>
      </c>
      <c r="E574" t="s">
        <v>57</v>
      </c>
      <c r="F574" t="s">
        <v>7</v>
      </c>
      <c r="G574" s="4">
        <v>8769</v>
      </c>
      <c r="H574" s="4">
        <v>71287.38</v>
      </c>
      <c r="I574" s="4">
        <v>67192.27</v>
      </c>
      <c r="J574" s="1">
        <v>6.0946147525600791</v>
      </c>
      <c r="K574" s="2">
        <v>2</v>
      </c>
      <c r="L574" s="1">
        <v>4</v>
      </c>
      <c r="M574" s="4">
        <v>8129.48</v>
      </c>
    </row>
    <row r="575" spans="1:13" x14ac:dyDescent="0.25">
      <c r="A575">
        <f>RANK(H575,H$13:H$798,0)</f>
        <v>563</v>
      </c>
      <c r="B575" s="2">
        <v>209612</v>
      </c>
      <c r="C575" t="s">
        <v>1000</v>
      </c>
      <c r="D575" t="s">
        <v>1001</v>
      </c>
      <c r="E575" t="s">
        <v>263</v>
      </c>
      <c r="F575" t="s">
        <v>3</v>
      </c>
      <c r="G575" s="4">
        <v>3888</v>
      </c>
      <c r="H575" s="4">
        <v>71233.551999999996</v>
      </c>
      <c r="I575" s="4">
        <v>68714.826000000001</v>
      </c>
      <c r="J575" s="1">
        <v>3.6654767924465022</v>
      </c>
      <c r="K575" s="2">
        <v>2</v>
      </c>
      <c r="L575" s="1">
        <v>4</v>
      </c>
      <c r="M575" s="4">
        <v>18321.39</v>
      </c>
    </row>
    <row r="576" spans="1:13" x14ac:dyDescent="0.25">
      <c r="A576">
        <f>RANK(H576,H$13:H$798,0)</f>
        <v>564</v>
      </c>
      <c r="B576" s="2">
        <v>238458</v>
      </c>
      <c r="C576" t="s">
        <v>1002</v>
      </c>
      <c r="D576" t="s">
        <v>1003</v>
      </c>
      <c r="E576" t="s">
        <v>74</v>
      </c>
      <c r="F576" t="s">
        <v>3</v>
      </c>
      <c r="G576" s="4">
        <v>3185</v>
      </c>
      <c r="H576" s="4">
        <v>71164.498000000007</v>
      </c>
      <c r="I576" s="4">
        <v>62142.911999999997</v>
      </c>
      <c r="J576" s="1">
        <v>14.5174818972114</v>
      </c>
      <c r="K576" s="2">
        <v>2</v>
      </c>
      <c r="L576" s="1">
        <v>3</v>
      </c>
      <c r="M576" s="4">
        <v>22343.64</v>
      </c>
    </row>
    <row r="577" spans="1:13" x14ac:dyDescent="0.25">
      <c r="A577">
        <f>RANK(H577,H$13:H$798,0)</f>
        <v>565</v>
      </c>
      <c r="B577" s="2">
        <v>133711</v>
      </c>
      <c r="C577" t="s">
        <v>1004</v>
      </c>
      <c r="D577" t="s">
        <v>1005</v>
      </c>
      <c r="E577" t="s">
        <v>127</v>
      </c>
      <c r="F577" t="s">
        <v>3</v>
      </c>
      <c r="G577" s="4">
        <v>2945.33</v>
      </c>
      <c r="H577" s="4">
        <v>69919.267999999996</v>
      </c>
      <c r="I577" s="4">
        <v>68693.06</v>
      </c>
      <c r="J577" s="1">
        <v>1.7850536866460727</v>
      </c>
      <c r="K577" s="2">
        <v>2</v>
      </c>
      <c r="L577" s="1">
        <v>2</v>
      </c>
      <c r="M577" s="4">
        <v>23739.03</v>
      </c>
    </row>
    <row r="578" spans="1:13" x14ac:dyDescent="0.25">
      <c r="A578">
        <f>RANK(H578,H$13:H$798,0)</f>
        <v>566</v>
      </c>
      <c r="B578" s="2">
        <v>127918</v>
      </c>
      <c r="C578" t="s">
        <v>1006</v>
      </c>
      <c r="D578" t="s">
        <v>157</v>
      </c>
      <c r="E578" t="s">
        <v>158</v>
      </c>
      <c r="F578" t="s">
        <v>3</v>
      </c>
      <c r="G578" s="4">
        <v>6181</v>
      </c>
      <c r="H578" s="4">
        <v>69772.661999999997</v>
      </c>
      <c r="I578" s="4">
        <v>65140.88</v>
      </c>
      <c r="J578" s="1">
        <v>7.1104074737706942</v>
      </c>
      <c r="K578" s="2">
        <v>2</v>
      </c>
      <c r="L578" s="1">
        <v>4</v>
      </c>
      <c r="M578" s="4">
        <v>11288.25</v>
      </c>
    </row>
    <row r="579" spans="1:13" x14ac:dyDescent="0.25">
      <c r="A579">
        <f>RANK(H579,H$13:H$798,0)</f>
        <v>567</v>
      </c>
      <c r="B579" s="2">
        <v>139366</v>
      </c>
      <c r="C579" t="s">
        <v>1007</v>
      </c>
      <c r="D579" t="s">
        <v>62</v>
      </c>
      <c r="E579" t="s">
        <v>44</v>
      </c>
      <c r="F579" t="s">
        <v>75</v>
      </c>
      <c r="G579" s="4">
        <v>8076</v>
      </c>
      <c r="H579" s="4">
        <v>69502</v>
      </c>
      <c r="I579" s="4">
        <v>64475</v>
      </c>
      <c r="J579" s="1">
        <v>7.7968204730515707</v>
      </c>
      <c r="K579" s="2">
        <v>2</v>
      </c>
      <c r="L579" s="1">
        <v>3</v>
      </c>
      <c r="M579" s="4">
        <v>8605.99</v>
      </c>
    </row>
    <row r="580" spans="1:13" x14ac:dyDescent="0.25">
      <c r="A580">
        <f>RANK(H580,H$13:H$798,0)</f>
        <v>568</v>
      </c>
      <c r="B580" s="2">
        <v>169716</v>
      </c>
      <c r="C580" t="s">
        <v>1008</v>
      </c>
      <c r="D580" t="s">
        <v>423</v>
      </c>
      <c r="E580" t="s">
        <v>24</v>
      </c>
      <c r="F580" t="s">
        <v>3</v>
      </c>
      <c r="G580" s="4">
        <v>4525</v>
      </c>
      <c r="H580" s="4">
        <v>69300</v>
      </c>
      <c r="I580" s="4">
        <v>63253</v>
      </c>
      <c r="J580" s="1">
        <v>9.5600208685754033</v>
      </c>
      <c r="K580" s="2">
        <v>2</v>
      </c>
      <c r="L580" s="1">
        <v>4</v>
      </c>
      <c r="M580" s="4">
        <v>15314.92</v>
      </c>
    </row>
    <row r="581" spans="1:13" x14ac:dyDescent="0.25">
      <c r="A581">
        <f>RANK(H581,H$13:H$798,0)</f>
        <v>569</v>
      </c>
      <c r="B581" s="2">
        <v>156620</v>
      </c>
      <c r="C581" t="s">
        <v>1009</v>
      </c>
      <c r="D581" t="s">
        <v>91</v>
      </c>
      <c r="E581" t="s">
        <v>170</v>
      </c>
      <c r="F581" t="s">
        <v>75</v>
      </c>
      <c r="G581" s="4">
        <v>12717</v>
      </c>
      <c r="H581" s="4">
        <v>69138.638000000006</v>
      </c>
      <c r="I581" s="4">
        <v>69329.267999999996</v>
      </c>
      <c r="J581" s="1">
        <v>-0.2749632377482914</v>
      </c>
      <c r="K581" s="2">
        <v>2</v>
      </c>
      <c r="L581" s="1">
        <v>3</v>
      </c>
      <c r="M581" s="4">
        <v>5436.71</v>
      </c>
    </row>
    <row r="582" spans="1:13" x14ac:dyDescent="0.25">
      <c r="A582">
        <f>RANK(H582,H$13:H$798,0)</f>
        <v>570</v>
      </c>
      <c r="B582" s="2">
        <v>110565</v>
      </c>
      <c r="C582" t="s">
        <v>1010</v>
      </c>
      <c r="D582" t="s">
        <v>1011</v>
      </c>
      <c r="E582" t="s">
        <v>12</v>
      </c>
      <c r="F582" t="s">
        <v>75</v>
      </c>
      <c r="G582" s="4">
        <v>39774</v>
      </c>
      <c r="H582" s="4">
        <v>68754.849000000002</v>
      </c>
      <c r="I582" s="4">
        <v>64984.1</v>
      </c>
      <c r="J582" s="1">
        <v>5.8025717060019346</v>
      </c>
      <c r="K582" s="2">
        <v>2</v>
      </c>
      <c r="L582" s="1">
        <v>3</v>
      </c>
      <c r="M582" s="4">
        <v>1728.64</v>
      </c>
    </row>
    <row r="583" spans="1:13" x14ac:dyDescent="0.25">
      <c r="A583">
        <f>RANK(H583,H$13:H$798,0)</f>
        <v>571</v>
      </c>
      <c r="B583" s="2">
        <v>199102</v>
      </c>
      <c r="C583" t="s">
        <v>1012</v>
      </c>
      <c r="D583" t="s">
        <v>488</v>
      </c>
      <c r="E583" t="s">
        <v>36</v>
      </c>
      <c r="F583" t="s">
        <v>7</v>
      </c>
      <c r="G583" s="4">
        <v>11109</v>
      </c>
      <c r="H583" s="4">
        <v>68458.831000000006</v>
      </c>
      <c r="I583" s="4">
        <v>63637.616999999998</v>
      </c>
      <c r="J583" s="1">
        <v>7.5760442129692063</v>
      </c>
      <c r="K583" s="2">
        <v>1</v>
      </c>
      <c r="L583" s="1">
        <v>4</v>
      </c>
      <c r="M583" s="4">
        <v>6162.47</v>
      </c>
    </row>
    <row r="584" spans="1:13" x14ac:dyDescent="0.25">
      <c r="A584">
        <f>RANK(H584,H$13:H$798,0)</f>
        <v>572</v>
      </c>
      <c r="B584" s="2">
        <v>234933</v>
      </c>
      <c r="C584" t="s">
        <v>1013</v>
      </c>
      <c r="D584" t="s">
        <v>188</v>
      </c>
      <c r="E584" t="s">
        <v>82</v>
      </c>
      <c r="F584" t="s">
        <v>75</v>
      </c>
      <c r="G584" s="4">
        <v>7526</v>
      </c>
      <c r="H584" s="4">
        <v>68107.523000000001</v>
      </c>
      <c r="I584" s="4">
        <v>65193.428999999996</v>
      </c>
      <c r="J584" s="1">
        <v>4.469919813544406</v>
      </c>
      <c r="K584" s="2">
        <v>2</v>
      </c>
      <c r="L584" s="1">
        <v>1</v>
      </c>
      <c r="M584" s="4">
        <v>9049.6299999999992</v>
      </c>
    </row>
    <row r="585" spans="1:13" x14ac:dyDescent="0.25">
      <c r="A585">
        <f>RANK(H585,H$13:H$798,0)</f>
        <v>573</v>
      </c>
      <c r="B585" s="2">
        <v>233541</v>
      </c>
      <c r="C585" t="s">
        <v>1014</v>
      </c>
      <c r="D585" t="s">
        <v>1015</v>
      </c>
      <c r="E585" t="s">
        <v>49</v>
      </c>
      <c r="F585" t="s">
        <v>3</v>
      </c>
      <c r="G585" s="4">
        <v>3211</v>
      </c>
      <c r="H585" s="4">
        <v>68105.197</v>
      </c>
      <c r="I585" s="4">
        <v>66139.421000000002</v>
      </c>
      <c r="J585" s="1">
        <v>2.9721699559480541</v>
      </c>
      <c r="K585" s="2">
        <v>2</v>
      </c>
      <c r="L585" s="1">
        <v>4</v>
      </c>
      <c r="M585" s="4">
        <v>21209.96</v>
      </c>
    </row>
    <row r="586" spans="1:13" x14ac:dyDescent="0.25">
      <c r="A586">
        <f>RANK(H586,H$13:H$798,0)</f>
        <v>574</v>
      </c>
      <c r="B586" s="2">
        <v>151324</v>
      </c>
      <c r="C586" t="s">
        <v>1016</v>
      </c>
      <c r="D586" t="s">
        <v>590</v>
      </c>
      <c r="E586" t="s">
        <v>27</v>
      </c>
      <c r="F586" t="s">
        <v>75</v>
      </c>
      <c r="G586" s="4">
        <v>10980.7</v>
      </c>
      <c r="H586" s="4">
        <v>67714.255000000005</v>
      </c>
      <c r="I586" s="4">
        <v>65986.337</v>
      </c>
      <c r="J586" s="1">
        <v>2.6185996655641079</v>
      </c>
      <c r="K586" s="2">
        <v>2</v>
      </c>
      <c r="L586" s="1">
        <v>4</v>
      </c>
      <c r="M586" s="4">
        <v>6166.66</v>
      </c>
    </row>
    <row r="587" spans="1:13" x14ac:dyDescent="0.25">
      <c r="A587">
        <f>RANK(H587,H$13:H$798,0)</f>
        <v>575</v>
      </c>
      <c r="B587" s="2">
        <v>440031</v>
      </c>
      <c r="C587" t="s">
        <v>1017</v>
      </c>
      <c r="D587" t="s">
        <v>99</v>
      </c>
      <c r="E587" t="s">
        <v>12</v>
      </c>
      <c r="F587" t="s">
        <v>3</v>
      </c>
      <c r="G587" s="4">
        <v>607</v>
      </c>
      <c r="H587" s="4">
        <v>67477.149000000005</v>
      </c>
      <c r="I587" s="4">
        <v>65511.904000000002</v>
      </c>
      <c r="J587" s="1">
        <v>2.999828855531359</v>
      </c>
      <c r="K587" s="2">
        <v>2</v>
      </c>
      <c r="L587" s="1">
        <v>3</v>
      </c>
      <c r="M587" s="4">
        <v>111164.99</v>
      </c>
    </row>
    <row r="588" spans="1:13" x14ac:dyDescent="0.25">
      <c r="A588">
        <f>RANK(H588,H$13:H$798,0)</f>
        <v>576</v>
      </c>
      <c r="B588" s="2">
        <v>186283</v>
      </c>
      <c r="C588" t="s">
        <v>1018</v>
      </c>
      <c r="D588" t="s">
        <v>1019</v>
      </c>
      <c r="E588" t="s">
        <v>15</v>
      </c>
      <c r="F588" t="s">
        <v>3</v>
      </c>
      <c r="G588" s="4">
        <v>4393</v>
      </c>
      <c r="H588" s="4">
        <v>66592.86</v>
      </c>
      <c r="I588" s="4">
        <v>64282.544000000002</v>
      </c>
      <c r="J588" s="1">
        <v>3.5940021291005513</v>
      </c>
      <c r="K588" s="2">
        <v>2</v>
      </c>
      <c r="L588" s="1">
        <v>3</v>
      </c>
      <c r="M588" s="4">
        <v>15158.86</v>
      </c>
    </row>
    <row r="589" spans="1:13" x14ac:dyDescent="0.25">
      <c r="A589">
        <f>RANK(H589,H$13:H$798,0)</f>
        <v>577</v>
      </c>
      <c r="B589" s="2">
        <v>197221</v>
      </c>
      <c r="C589" t="s">
        <v>1020</v>
      </c>
      <c r="D589" t="s">
        <v>1021</v>
      </c>
      <c r="E589" t="s">
        <v>33</v>
      </c>
      <c r="F589" t="s">
        <v>3</v>
      </c>
      <c r="G589" s="4">
        <v>104</v>
      </c>
      <c r="H589" s="4">
        <v>66556.126999999993</v>
      </c>
      <c r="I589" s="4">
        <v>67110.053</v>
      </c>
      <c r="J589" s="1">
        <v>-0.82539943754776457</v>
      </c>
      <c r="K589" s="2">
        <v>2</v>
      </c>
      <c r="L589" s="1">
        <v>5</v>
      </c>
      <c r="M589" s="4">
        <v>639962.76</v>
      </c>
    </row>
    <row r="590" spans="1:13" x14ac:dyDescent="0.25">
      <c r="A590">
        <f>RANK(H590,H$13:H$798,0)</f>
        <v>578</v>
      </c>
      <c r="B590" s="2">
        <v>156286</v>
      </c>
      <c r="C590" t="s">
        <v>1022</v>
      </c>
      <c r="D590" t="s">
        <v>312</v>
      </c>
      <c r="E590" t="s">
        <v>170</v>
      </c>
      <c r="F590" t="s">
        <v>3</v>
      </c>
      <c r="G590" s="4">
        <v>2964</v>
      </c>
      <c r="H590" s="4">
        <v>66331.270999999993</v>
      </c>
      <c r="I590" s="4">
        <v>66864.493000000002</v>
      </c>
      <c r="J590" s="1">
        <v>-0.7974666015937768</v>
      </c>
      <c r="K590" s="2">
        <v>2</v>
      </c>
      <c r="L590" s="1">
        <v>4</v>
      </c>
      <c r="M590" s="4">
        <v>22378.97</v>
      </c>
    </row>
    <row r="591" spans="1:13" x14ac:dyDescent="0.25">
      <c r="A591">
        <f>RANK(H591,H$13:H$798,0)</f>
        <v>579</v>
      </c>
      <c r="B591" s="2">
        <v>110361</v>
      </c>
      <c r="C591" t="s">
        <v>1023</v>
      </c>
      <c r="D591" t="s">
        <v>1024</v>
      </c>
      <c r="E591" t="s">
        <v>12</v>
      </c>
      <c r="F591" t="s">
        <v>3</v>
      </c>
      <c r="G591" s="4">
        <v>10647</v>
      </c>
      <c r="H591" s="4">
        <v>65618.267000000007</v>
      </c>
      <c r="I591" s="4">
        <v>53909.34</v>
      </c>
      <c r="J591" s="1">
        <v>21.719663049111734</v>
      </c>
      <c r="K591" s="2">
        <v>2</v>
      </c>
      <c r="L591" s="1">
        <v>3</v>
      </c>
      <c r="M591" s="4">
        <v>6163.08</v>
      </c>
    </row>
    <row r="592" spans="1:13" x14ac:dyDescent="0.25">
      <c r="A592">
        <f>RANK(H592,H$13:H$798,0)</f>
        <v>580</v>
      </c>
      <c r="B592" s="2">
        <v>212601</v>
      </c>
      <c r="C592" t="s">
        <v>1025</v>
      </c>
      <c r="D592" t="s">
        <v>1026</v>
      </c>
      <c r="E592" t="s">
        <v>20</v>
      </c>
      <c r="F592" t="s">
        <v>3</v>
      </c>
      <c r="G592" s="4">
        <v>3606</v>
      </c>
      <c r="H592" s="4">
        <v>65364</v>
      </c>
      <c r="I592" s="4">
        <v>63600</v>
      </c>
      <c r="J592" s="1">
        <v>2.7735849056603774</v>
      </c>
      <c r="K592" s="2">
        <v>2</v>
      </c>
      <c r="L592" s="1">
        <v>4</v>
      </c>
      <c r="M592" s="4">
        <v>18126.46</v>
      </c>
    </row>
    <row r="593" spans="1:13" x14ac:dyDescent="0.25">
      <c r="A593">
        <f>RANK(H593,H$13:H$798,0)</f>
        <v>581</v>
      </c>
      <c r="B593" s="2">
        <v>110538</v>
      </c>
      <c r="C593" t="s">
        <v>1027</v>
      </c>
      <c r="D593" t="s">
        <v>1028</v>
      </c>
      <c r="E593" t="s">
        <v>12</v>
      </c>
      <c r="F593" t="s">
        <v>75</v>
      </c>
      <c r="G593" s="4">
        <v>17488</v>
      </c>
      <c r="H593" s="4">
        <v>65293.33</v>
      </c>
      <c r="I593" s="4">
        <v>64728.582999999999</v>
      </c>
      <c r="J593" s="1">
        <v>0.87248472595175319</v>
      </c>
      <c r="K593" s="2">
        <v>2</v>
      </c>
      <c r="L593" s="1">
        <v>3</v>
      </c>
      <c r="M593" s="4">
        <v>3733.61</v>
      </c>
    </row>
    <row r="594" spans="1:13" x14ac:dyDescent="0.25">
      <c r="A594">
        <f>RANK(H594,H$13:H$798,0)</f>
        <v>582</v>
      </c>
      <c r="B594" s="2">
        <v>219347</v>
      </c>
      <c r="C594" t="s">
        <v>1029</v>
      </c>
      <c r="D594" t="s">
        <v>1030</v>
      </c>
      <c r="E594" t="s">
        <v>755</v>
      </c>
      <c r="F594" t="s">
        <v>75</v>
      </c>
      <c r="G594" s="5" t="s">
        <v>1363</v>
      </c>
      <c r="H594" s="4">
        <v>65076.247000000003</v>
      </c>
      <c r="I594" s="4">
        <v>60989.587</v>
      </c>
      <c r="J594" s="1">
        <v>6.7005864460108633</v>
      </c>
      <c r="K594" s="2">
        <v>2</v>
      </c>
      <c r="L594" s="1">
        <v>5</v>
      </c>
      <c r="M594" s="5" t="s">
        <v>1363</v>
      </c>
    </row>
    <row r="595" spans="1:13" x14ac:dyDescent="0.25">
      <c r="A595">
        <f>RANK(H595,H$13:H$798,0)</f>
        <v>583</v>
      </c>
      <c r="B595" s="2">
        <v>198695</v>
      </c>
      <c r="C595" t="s">
        <v>1031</v>
      </c>
      <c r="D595" t="s">
        <v>1032</v>
      </c>
      <c r="E595" t="s">
        <v>36</v>
      </c>
      <c r="F595" t="s">
        <v>3</v>
      </c>
      <c r="G595" s="4">
        <v>5076</v>
      </c>
      <c r="H595" s="4">
        <v>64776.805</v>
      </c>
      <c r="I595" s="4">
        <v>60778.432000000001</v>
      </c>
      <c r="J595" s="1">
        <v>6.5786050551616722</v>
      </c>
      <c r="K595" s="2">
        <v>2</v>
      </c>
      <c r="L595" s="1">
        <v>2</v>
      </c>
      <c r="M595" s="4">
        <v>12761.39</v>
      </c>
    </row>
    <row r="596" spans="1:13" x14ac:dyDescent="0.25">
      <c r="A596">
        <f>RANK(H596,H$13:H$798,0)</f>
        <v>584</v>
      </c>
      <c r="B596" s="2">
        <v>151777</v>
      </c>
      <c r="C596" t="s">
        <v>1033</v>
      </c>
      <c r="D596" t="s">
        <v>1034</v>
      </c>
      <c r="E596" t="s">
        <v>27</v>
      </c>
      <c r="F596" t="s">
        <v>3</v>
      </c>
      <c r="G596" s="4">
        <v>1481</v>
      </c>
      <c r="H596" s="4">
        <v>64469.561999999998</v>
      </c>
      <c r="I596" s="4">
        <v>62457.978000000003</v>
      </c>
      <c r="J596" s="1">
        <v>3.2206998439814929</v>
      </c>
      <c r="K596" s="2">
        <v>2</v>
      </c>
      <c r="L596" s="1">
        <v>2</v>
      </c>
      <c r="M596" s="4">
        <v>43531.1</v>
      </c>
    </row>
    <row r="597" spans="1:13" x14ac:dyDescent="0.25">
      <c r="A597">
        <f>RANK(H597,H$13:H$798,0)</f>
        <v>585</v>
      </c>
      <c r="B597" s="2">
        <v>217536</v>
      </c>
      <c r="C597" t="s">
        <v>1035</v>
      </c>
      <c r="D597" t="s">
        <v>1036</v>
      </c>
      <c r="E597" t="s">
        <v>69</v>
      </c>
      <c r="F597" t="s">
        <v>3</v>
      </c>
      <c r="G597" s="4">
        <v>2412</v>
      </c>
      <c r="H597" s="4">
        <v>63790</v>
      </c>
      <c r="I597" s="4">
        <v>62711</v>
      </c>
      <c r="J597" s="1">
        <v>1.720591283825804</v>
      </c>
      <c r="K597" s="2">
        <v>2</v>
      </c>
      <c r="L597" s="1">
        <v>3</v>
      </c>
      <c r="M597" s="4">
        <v>26446.93</v>
      </c>
    </row>
    <row r="598" spans="1:13" x14ac:dyDescent="0.25">
      <c r="A598">
        <f>RANK(H598,H$13:H$798,0)</f>
        <v>586</v>
      </c>
      <c r="B598" s="2">
        <v>225548</v>
      </c>
      <c r="C598" t="s">
        <v>1037</v>
      </c>
      <c r="D598" t="s">
        <v>1038</v>
      </c>
      <c r="E598" t="s">
        <v>6</v>
      </c>
      <c r="F598" t="s">
        <v>3</v>
      </c>
      <c r="G598" s="4">
        <v>843</v>
      </c>
      <c r="H598" s="4">
        <v>62864.828999999998</v>
      </c>
      <c r="I598" s="4">
        <v>63018.385999999999</v>
      </c>
      <c r="J598" s="1">
        <v>-0.24367015683327831</v>
      </c>
      <c r="K598" s="2">
        <v>2</v>
      </c>
      <c r="L598" s="1">
        <v>2</v>
      </c>
      <c r="M598" s="4">
        <v>74572.75</v>
      </c>
    </row>
    <row r="599" spans="1:13" x14ac:dyDescent="0.25">
      <c r="A599">
        <f>RANK(H599,H$13:H$798,0)</f>
        <v>587</v>
      </c>
      <c r="B599" s="2">
        <v>132709</v>
      </c>
      <c r="C599" t="s">
        <v>1039</v>
      </c>
      <c r="D599" t="s">
        <v>1040</v>
      </c>
      <c r="E599" t="s">
        <v>127</v>
      </c>
      <c r="F599" t="s">
        <v>75</v>
      </c>
      <c r="G599" s="4">
        <v>21342</v>
      </c>
      <c r="H599" s="4">
        <v>62187.858</v>
      </c>
      <c r="I599" s="4">
        <v>63968.258999999998</v>
      </c>
      <c r="J599" s="1">
        <v>-2.7832569274708541</v>
      </c>
      <c r="K599" s="2">
        <v>2</v>
      </c>
      <c r="L599" s="1">
        <v>1</v>
      </c>
      <c r="M599" s="4">
        <v>2913.87</v>
      </c>
    </row>
    <row r="600" spans="1:13" x14ac:dyDescent="0.25">
      <c r="A600">
        <f>RANK(H600,H$13:H$798,0)</f>
        <v>588</v>
      </c>
      <c r="B600" s="2">
        <v>174817</v>
      </c>
      <c r="C600" t="s">
        <v>1041</v>
      </c>
      <c r="D600" t="s">
        <v>1042</v>
      </c>
      <c r="E600" t="s">
        <v>95</v>
      </c>
      <c r="F600" t="s">
        <v>3</v>
      </c>
      <c r="G600" s="4">
        <v>4468</v>
      </c>
      <c r="H600" s="4">
        <v>61788.11</v>
      </c>
      <c r="I600" s="4">
        <v>65102.406000000003</v>
      </c>
      <c r="J600" s="1">
        <v>-5.0908963333859001</v>
      </c>
      <c r="K600" s="2">
        <v>2</v>
      </c>
      <c r="L600" s="1">
        <v>3</v>
      </c>
      <c r="M600" s="4">
        <v>13829.03</v>
      </c>
    </row>
    <row r="601" spans="1:13" x14ac:dyDescent="0.25">
      <c r="A601" s="30">
        <f>RANK(H601,H$13:H$798,0)</f>
        <v>589</v>
      </c>
      <c r="B601" s="31" t="s">
        <v>1363</v>
      </c>
      <c r="C601" s="30" t="s">
        <v>1043</v>
      </c>
      <c r="D601" s="30" t="s">
        <v>1044</v>
      </c>
      <c r="E601" s="30" t="s">
        <v>189</v>
      </c>
      <c r="F601" s="30" t="s">
        <v>1388</v>
      </c>
      <c r="G601" s="32">
        <v>2738</v>
      </c>
      <c r="H601" s="32">
        <v>61370.47032</v>
      </c>
      <c r="I601" s="32">
        <v>59018.512299999995</v>
      </c>
      <c r="J601" s="33">
        <v>3.9851191233771677</v>
      </c>
      <c r="K601" s="24">
        <v>3</v>
      </c>
      <c r="L601" s="33">
        <v>6</v>
      </c>
      <c r="M601" s="32">
        <v>22414.34</v>
      </c>
    </row>
    <row r="602" spans="1:13" x14ac:dyDescent="0.25">
      <c r="A602">
        <f>RANK(H602,H$13:H$798,0)</f>
        <v>590</v>
      </c>
      <c r="B602" s="2">
        <v>221838</v>
      </c>
      <c r="C602" t="s">
        <v>1045</v>
      </c>
      <c r="D602" t="s">
        <v>56</v>
      </c>
      <c r="E602" t="s">
        <v>57</v>
      </c>
      <c r="F602" t="s">
        <v>75</v>
      </c>
      <c r="G602" s="4">
        <v>6497.4</v>
      </c>
      <c r="H602" s="4">
        <v>61110.474000000002</v>
      </c>
      <c r="I602" s="4">
        <v>58696.930999999997</v>
      </c>
      <c r="J602" s="1">
        <v>4.1118725611054607</v>
      </c>
      <c r="K602" s="2">
        <v>1</v>
      </c>
      <c r="L602" s="1">
        <v>4</v>
      </c>
      <c r="M602" s="4">
        <v>9405.3700000000008</v>
      </c>
    </row>
    <row r="603" spans="1:13" x14ac:dyDescent="0.25">
      <c r="A603">
        <f>RANK(H603,H$13:H$798,0)</f>
        <v>591</v>
      </c>
      <c r="B603" s="2">
        <v>133492</v>
      </c>
      <c r="C603" t="s">
        <v>1046</v>
      </c>
      <c r="D603" t="s">
        <v>1047</v>
      </c>
      <c r="E603" t="s">
        <v>127</v>
      </c>
      <c r="F603" t="s">
        <v>3</v>
      </c>
      <c r="G603" s="4">
        <v>1971</v>
      </c>
      <c r="H603" s="4">
        <v>60578.968000000001</v>
      </c>
      <c r="I603" s="4">
        <v>58313.106</v>
      </c>
      <c r="J603" s="1">
        <v>3.88568223411046</v>
      </c>
      <c r="K603" s="2">
        <v>2</v>
      </c>
      <c r="L603" s="1">
        <v>2</v>
      </c>
      <c r="M603" s="4">
        <v>30735.14</v>
      </c>
    </row>
    <row r="604" spans="1:13" x14ac:dyDescent="0.25">
      <c r="A604">
        <f>RANK(H604,H$13:H$798,0)</f>
        <v>592</v>
      </c>
      <c r="B604" s="2">
        <v>220215</v>
      </c>
      <c r="C604" t="s">
        <v>1048</v>
      </c>
      <c r="D604" t="s">
        <v>1049</v>
      </c>
      <c r="E604" t="s">
        <v>57</v>
      </c>
      <c r="F604" t="s">
        <v>3</v>
      </c>
      <c r="G604" s="4">
        <v>1588</v>
      </c>
      <c r="H604" s="4">
        <v>60337.605000000003</v>
      </c>
      <c r="I604" s="4">
        <v>56797.737000000001</v>
      </c>
      <c r="J604" s="1">
        <v>6.2324102807124202</v>
      </c>
      <c r="K604" s="2">
        <v>2</v>
      </c>
      <c r="L604" s="1">
        <v>3</v>
      </c>
      <c r="M604" s="4">
        <v>37995.97</v>
      </c>
    </row>
    <row r="605" spans="1:13" x14ac:dyDescent="0.25">
      <c r="A605">
        <f>RANK(H605,H$13:H$798,0)</f>
        <v>593</v>
      </c>
      <c r="B605" s="2">
        <v>204200</v>
      </c>
      <c r="C605" t="s">
        <v>1050</v>
      </c>
      <c r="D605" t="s">
        <v>178</v>
      </c>
      <c r="E605" t="s">
        <v>63</v>
      </c>
      <c r="F605" t="s">
        <v>3</v>
      </c>
      <c r="G605" s="4">
        <v>1570</v>
      </c>
      <c r="H605" s="4">
        <v>59653.614000000001</v>
      </c>
      <c r="I605" s="4">
        <v>39715.341999999997</v>
      </c>
      <c r="J605" s="1">
        <v>50.202946760473587</v>
      </c>
      <c r="K605" s="2">
        <v>2</v>
      </c>
      <c r="L605" s="1">
        <v>3</v>
      </c>
      <c r="M605" s="4">
        <v>37995.93</v>
      </c>
    </row>
    <row r="606" spans="1:13" x14ac:dyDescent="0.25">
      <c r="A606">
        <f>RANK(H606,H$13:H$798,0)</f>
        <v>594</v>
      </c>
      <c r="B606" s="2">
        <v>229160</v>
      </c>
      <c r="C606" t="s">
        <v>1051</v>
      </c>
      <c r="D606" t="s">
        <v>934</v>
      </c>
      <c r="E606" t="s">
        <v>6</v>
      </c>
      <c r="F606" t="s">
        <v>3</v>
      </c>
      <c r="G606" s="4">
        <v>2095</v>
      </c>
      <c r="H606" s="4">
        <v>59523.430999999997</v>
      </c>
      <c r="I606" s="4">
        <v>62012.023999999998</v>
      </c>
      <c r="J606" s="1">
        <v>-4.0130813985365172</v>
      </c>
      <c r="K606" s="2">
        <v>2</v>
      </c>
      <c r="L606" s="1">
        <v>4</v>
      </c>
      <c r="M606" s="4">
        <v>28412.14</v>
      </c>
    </row>
    <row r="607" spans="1:13" x14ac:dyDescent="0.25">
      <c r="A607">
        <f>RANK(H607,H$13:H$798,0)</f>
        <v>595</v>
      </c>
      <c r="B607" s="2">
        <v>154174</v>
      </c>
      <c r="C607" t="s">
        <v>1052</v>
      </c>
      <c r="D607" t="s">
        <v>674</v>
      </c>
      <c r="E607" t="s">
        <v>113</v>
      </c>
      <c r="F607" t="s">
        <v>3</v>
      </c>
      <c r="G607" s="4">
        <v>2179</v>
      </c>
      <c r="H607" s="4">
        <v>58824.86</v>
      </c>
      <c r="I607" s="4">
        <v>55450.449000000001</v>
      </c>
      <c r="J607" s="1">
        <v>6.0854529780272841</v>
      </c>
      <c r="K607" s="2">
        <v>2</v>
      </c>
      <c r="L607" s="1">
        <v>5</v>
      </c>
      <c r="M607" s="4">
        <v>26996.26</v>
      </c>
    </row>
    <row r="608" spans="1:13" x14ac:dyDescent="0.25">
      <c r="A608">
        <f>RANK(H608,H$13:H$798,0)</f>
        <v>596</v>
      </c>
      <c r="B608" s="2">
        <v>193751</v>
      </c>
      <c r="C608" t="s">
        <v>1053</v>
      </c>
      <c r="D608" t="s">
        <v>1054</v>
      </c>
      <c r="E608" t="s">
        <v>33</v>
      </c>
      <c r="F608" t="s">
        <v>3</v>
      </c>
      <c r="G608" s="4">
        <v>762</v>
      </c>
      <c r="H608" s="4">
        <v>58663.332999999999</v>
      </c>
      <c r="I608" s="4">
        <v>57949.909</v>
      </c>
      <c r="J608" s="1">
        <v>1.2311046079468373</v>
      </c>
      <c r="K608" s="2">
        <v>2</v>
      </c>
      <c r="L608" s="1">
        <v>5</v>
      </c>
      <c r="M608" s="4">
        <v>76986</v>
      </c>
    </row>
    <row r="609" spans="1:13" x14ac:dyDescent="0.25">
      <c r="A609">
        <f>RANK(H609,H$13:H$798,0)</f>
        <v>597</v>
      </c>
      <c r="B609" s="2">
        <v>173920</v>
      </c>
      <c r="C609" t="s">
        <v>1055</v>
      </c>
      <c r="D609" t="s">
        <v>1056</v>
      </c>
      <c r="E609" t="s">
        <v>95</v>
      </c>
      <c r="F609" t="s">
        <v>7</v>
      </c>
      <c r="G609" s="4">
        <v>12247</v>
      </c>
      <c r="H609" s="4">
        <v>57957.27</v>
      </c>
      <c r="I609" s="4">
        <v>57563.805999999997</v>
      </c>
      <c r="J609" s="1">
        <v>0.68352672858358243</v>
      </c>
      <c r="K609" s="2">
        <v>2</v>
      </c>
      <c r="L609" s="1">
        <v>3</v>
      </c>
      <c r="M609" s="4">
        <v>4732.3599999999997</v>
      </c>
    </row>
    <row r="610" spans="1:13" x14ac:dyDescent="0.25">
      <c r="A610">
        <f>RANK(H610,H$13:H$798,0)</f>
        <v>598</v>
      </c>
      <c r="B610" s="2">
        <v>218964</v>
      </c>
      <c r="C610" t="s">
        <v>1057</v>
      </c>
      <c r="D610" t="s">
        <v>1058</v>
      </c>
      <c r="E610" t="s">
        <v>285</v>
      </c>
      <c r="F610" t="s">
        <v>75</v>
      </c>
      <c r="G610" s="4">
        <v>5073</v>
      </c>
      <c r="H610" s="4">
        <v>57948.900999999998</v>
      </c>
      <c r="I610" s="4">
        <v>54520.879000000001</v>
      </c>
      <c r="J610" s="1">
        <v>6.2875398615638556</v>
      </c>
      <c r="K610" s="2">
        <v>2</v>
      </c>
      <c r="L610" s="1">
        <v>3</v>
      </c>
      <c r="M610" s="4">
        <v>11423</v>
      </c>
    </row>
    <row r="611" spans="1:13" x14ac:dyDescent="0.25">
      <c r="A611">
        <f>RANK(H611,H$13:H$798,0)</f>
        <v>599</v>
      </c>
      <c r="B611" s="2">
        <v>234155</v>
      </c>
      <c r="C611" t="s">
        <v>1059</v>
      </c>
      <c r="D611" t="s">
        <v>1060</v>
      </c>
      <c r="E611" t="s">
        <v>49</v>
      </c>
      <c r="F611" t="s">
        <v>87</v>
      </c>
      <c r="G611" s="4">
        <v>4385</v>
      </c>
      <c r="H611" s="4">
        <v>57382.711000000003</v>
      </c>
      <c r="I611" s="4">
        <v>54478.578000000001</v>
      </c>
      <c r="J611" s="1">
        <v>5.3307797424521643</v>
      </c>
      <c r="K611" s="2">
        <v>1</v>
      </c>
      <c r="L611" s="1">
        <v>3</v>
      </c>
      <c r="M611" s="4">
        <v>13086.14</v>
      </c>
    </row>
    <row r="612" spans="1:13" x14ac:dyDescent="0.25">
      <c r="A612">
        <f>RANK(H612,H$13:H$798,0)</f>
        <v>600</v>
      </c>
      <c r="B612" s="2">
        <v>191676</v>
      </c>
      <c r="C612" t="s">
        <v>1061</v>
      </c>
      <c r="D612" t="s">
        <v>806</v>
      </c>
      <c r="E612" t="s">
        <v>33</v>
      </c>
      <c r="F612" t="s">
        <v>3</v>
      </c>
      <c r="G612" s="4">
        <v>986</v>
      </c>
      <c r="H612" s="4">
        <v>57371.563999999998</v>
      </c>
      <c r="I612" s="4">
        <v>56150.995000000003</v>
      </c>
      <c r="J612" s="1">
        <v>2.1737263961217352</v>
      </c>
      <c r="K612" s="2">
        <v>2</v>
      </c>
      <c r="L612" s="1">
        <v>2</v>
      </c>
      <c r="M612" s="4">
        <v>58186.17</v>
      </c>
    </row>
    <row r="613" spans="1:13" x14ac:dyDescent="0.25">
      <c r="A613">
        <f>RANK(H613,H$13:H$798,0)</f>
        <v>601</v>
      </c>
      <c r="B613" s="2">
        <v>214379</v>
      </c>
      <c r="C613" t="s">
        <v>1062</v>
      </c>
      <c r="D613" t="s">
        <v>168</v>
      </c>
      <c r="E613" t="s">
        <v>20</v>
      </c>
      <c r="F613" t="s">
        <v>7</v>
      </c>
      <c r="G613" s="4">
        <v>7124</v>
      </c>
      <c r="H613" s="4">
        <v>57013.845000000001</v>
      </c>
      <c r="I613" s="4">
        <v>51900.79</v>
      </c>
      <c r="J613" s="1">
        <v>9.851593781135124</v>
      </c>
      <c r="K613" s="2">
        <v>2</v>
      </c>
      <c r="L613" s="1">
        <v>1</v>
      </c>
      <c r="M613" s="4">
        <v>8003.07</v>
      </c>
    </row>
    <row r="614" spans="1:13" x14ac:dyDescent="0.25">
      <c r="A614">
        <f>RANK(H614,H$13:H$798,0)</f>
        <v>602</v>
      </c>
      <c r="B614" s="2">
        <v>174127</v>
      </c>
      <c r="C614" t="s">
        <v>1063</v>
      </c>
      <c r="D614" t="s">
        <v>94</v>
      </c>
      <c r="E614" t="s">
        <v>95</v>
      </c>
      <c r="F614" t="s">
        <v>3</v>
      </c>
      <c r="G614" s="4">
        <v>784</v>
      </c>
      <c r="H614" s="4">
        <v>56731.127</v>
      </c>
      <c r="I614" s="4">
        <v>55256.978999999999</v>
      </c>
      <c r="J614" s="1">
        <v>2.6678041881370333</v>
      </c>
      <c r="K614" s="2">
        <v>2</v>
      </c>
      <c r="L614" s="1">
        <v>5</v>
      </c>
      <c r="M614" s="4">
        <v>72361.13</v>
      </c>
    </row>
    <row r="615" spans="1:13" x14ac:dyDescent="0.25">
      <c r="A615">
        <f>RANK(H615,H$13:H$798,0)</f>
        <v>603</v>
      </c>
      <c r="B615" s="2">
        <v>168254</v>
      </c>
      <c r="C615" t="s">
        <v>1064</v>
      </c>
      <c r="D615" t="s">
        <v>781</v>
      </c>
      <c r="E615" t="s">
        <v>2</v>
      </c>
      <c r="F615" t="s">
        <v>3</v>
      </c>
      <c r="G615" s="4">
        <v>3439</v>
      </c>
      <c r="H615" s="4">
        <v>56682.997000000003</v>
      </c>
      <c r="I615" s="4">
        <v>52938.044000000002</v>
      </c>
      <c r="J615" s="1">
        <v>7.0742186847704485</v>
      </c>
      <c r="K615" s="2">
        <v>2</v>
      </c>
      <c r="L615" s="1">
        <v>4</v>
      </c>
      <c r="M615" s="4">
        <v>16482.41</v>
      </c>
    </row>
    <row r="616" spans="1:13" x14ac:dyDescent="0.25">
      <c r="A616">
        <f>RANK(H616,H$13:H$798,0)</f>
        <v>604</v>
      </c>
      <c r="B616" s="2">
        <v>139931</v>
      </c>
      <c r="C616" t="s">
        <v>1065</v>
      </c>
      <c r="D616" t="s">
        <v>1066</v>
      </c>
      <c r="E616" t="s">
        <v>44</v>
      </c>
      <c r="F616" t="s">
        <v>75</v>
      </c>
      <c r="G616" s="4">
        <v>22685</v>
      </c>
      <c r="H616" s="4">
        <v>56323.733999999997</v>
      </c>
      <c r="I616" s="4">
        <v>49746.616000000002</v>
      </c>
      <c r="J616" s="1">
        <v>13.221236998311593</v>
      </c>
      <c r="K616" s="2">
        <v>2</v>
      </c>
      <c r="L616" s="1">
        <v>4</v>
      </c>
      <c r="M616" s="4">
        <v>2482.86</v>
      </c>
    </row>
    <row r="617" spans="1:13" x14ac:dyDescent="0.25">
      <c r="A617">
        <f>RANK(H617,H$13:H$798,0)</f>
        <v>605</v>
      </c>
      <c r="B617" s="2">
        <v>233277</v>
      </c>
      <c r="C617" t="s">
        <v>1067</v>
      </c>
      <c r="D617" t="s">
        <v>1068</v>
      </c>
      <c r="E617" t="s">
        <v>49</v>
      </c>
      <c r="F617" t="s">
        <v>75</v>
      </c>
      <c r="G617" s="5" t="s">
        <v>1363</v>
      </c>
      <c r="H617" s="4">
        <v>56080.349000000002</v>
      </c>
      <c r="I617" s="4">
        <v>56530.055999999997</v>
      </c>
      <c r="J617" s="1">
        <v>-0.7955184052886749</v>
      </c>
      <c r="K617" s="2">
        <v>2</v>
      </c>
      <c r="L617" s="1">
        <v>3</v>
      </c>
      <c r="M617" s="5" t="s">
        <v>1363</v>
      </c>
    </row>
    <row r="618" spans="1:13" x14ac:dyDescent="0.25">
      <c r="A618">
        <f>RANK(H618,H$13:H$798,0)</f>
        <v>606</v>
      </c>
      <c r="B618" s="2">
        <v>163851</v>
      </c>
      <c r="C618" t="s">
        <v>1069</v>
      </c>
      <c r="D618" t="s">
        <v>1070</v>
      </c>
      <c r="E618" t="s">
        <v>54</v>
      </c>
      <c r="F618" t="s">
        <v>75</v>
      </c>
      <c r="G618" s="4">
        <v>7920</v>
      </c>
      <c r="H618" s="4">
        <v>56033.561999999998</v>
      </c>
      <c r="I618" s="4">
        <v>53858.142</v>
      </c>
      <c r="J618" s="1">
        <v>4.039166445808692</v>
      </c>
      <c r="K618" s="2">
        <v>2</v>
      </c>
      <c r="L618" s="1">
        <v>3</v>
      </c>
      <c r="M618" s="4">
        <v>7074.94</v>
      </c>
    </row>
    <row r="619" spans="1:13" x14ac:dyDescent="0.25">
      <c r="A619">
        <f>RANK(H619,H$13:H$798,0)</f>
        <v>607</v>
      </c>
      <c r="B619" s="2">
        <v>240107</v>
      </c>
      <c r="C619" t="s">
        <v>1071</v>
      </c>
      <c r="D619" t="s">
        <v>1072</v>
      </c>
      <c r="E619" t="s">
        <v>74</v>
      </c>
      <c r="F619" t="s">
        <v>3</v>
      </c>
      <c r="G619" s="4">
        <v>2101</v>
      </c>
      <c r="H619" s="4">
        <v>55673.184000000001</v>
      </c>
      <c r="I619" s="4">
        <v>53984.207999999999</v>
      </c>
      <c r="J619" s="1">
        <v>3.128648289144119</v>
      </c>
      <c r="K619" s="2">
        <v>2</v>
      </c>
      <c r="L619" s="1">
        <v>3</v>
      </c>
      <c r="M619" s="4">
        <v>26498.42</v>
      </c>
    </row>
    <row r="620" spans="1:13" x14ac:dyDescent="0.25">
      <c r="A620">
        <f>RANK(H620,H$13:H$798,0)</f>
        <v>608</v>
      </c>
      <c r="B620" s="2">
        <v>232681</v>
      </c>
      <c r="C620" t="s">
        <v>1073</v>
      </c>
      <c r="D620" t="s">
        <v>1074</v>
      </c>
      <c r="E620" t="s">
        <v>49</v>
      </c>
      <c r="F620" t="s">
        <v>75</v>
      </c>
      <c r="G620" s="4">
        <v>4180</v>
      </c>
      <c r="H620" s="4">
        <v>55478.737999999998</v>
      </c>
      <c r="I620" s="4">
        <v>50640.913999999997</v>
      </c>
      <c r="J620" s="1">
        <v>9.5531925035950191</v>
      </c>
      <c r="K620" s="2">
        <v>2</v>
      </c>
      <c r="L620" s="1">
        <v>3</v>
      </c>
      <c r="M620" s="4">
        <v>13272.43</v>
      </c>
    </row>
    <row r="621" spans="1:13" x14ac:dyDescent="0.25">
      <c r="A621">
        <f>RANK(H621,H$13:H$798,0)</f>
        <v>609</v>
      </c>
      <c r="B621" s="2">
        <v>217013</v>
      </c>
      <c r="C621" t="s">
        <v>1075</v>
      </c>
      <c r="D621" t="s">
        <v>1076</v>
      </c>
      <c r="E621" t="s">
        <v>20</v>
      </c>
      <c r="F621" t="s">
        <v>3</v>
      </c>
      <c r="G621" s="4">
        <v>967</v>
      </c>
      <c r="H621" s="4">
        <v>55337.694000000003</v>
      </c>
      <c r="I621" s="4">
        <v>58076.883000000002</v>
      </c>
      <c r="J621" s="1">
        <v>-4.7164876255497363</v>
      </c>
      <c r="K621" s="2">
        <v>2</v>
      </c>
      <c r="L621" s="1">
        <v>3</v>
      </c>
      <c r="M621" s="4">
        <v>57226.16</v>
      </c>
    </row>
    <row r="622" spans="1:13" x14ac:dyDescent="0.25">
      <c r="A622">
        <f>RANK(H622,H$13:H$798,0)</f>
        <v>610</v>
      </c>
      <c r="B622" s="2">
        <v>184773</v>
      </c>
      <c r="C622" t="s">
        <v>1077</v>
      </c>
      <c r="D622" t="s">
        <v>1078</v>
      </c>
      <c r="E622" t="s">
        <v>15</v>
      </c>
      <c r="F622" t="s">
        <v>3</v>
      </c>
      <c r="G622" s="4">
        <v>1863</v>
      </c>
      <c r="H622" s="4">
        <v>54858.481</v>
      </c>
      <c r="I622" s="4">
        <v>54635.332000000002</v>
      </c>
      <c r="J622" s="1">
        <v>0.40843350233507791</v>
      </c>
      <c r="K622" s="2">
        <v>2</v>
      </c>
      <c r="L622" s="1">
        <v>3</v>
      </c>
      <c r="M622" s="4">
        <v>29446.31</v>
      </c>
    </row>
    <row r="623" spans="1:13" x14ac:dyDescent="0.25">
      <c r="A623">
        <f>RANK(H623,H$13:H$798,0)</f>
        <v>611</v>
      </c>
      <c r="B623" s="2">
        <v>214069</v>
      </c>
      <c r="C623" t="s">
        <v>1079</v>
      </c>
      <c r="D623" t="s">
        <v>143</v>
      </c>
      <c r="E623" t="s">
        <v>20</v>
      </c>
      <c r="F623" t="s">
        <v>3</v>
      </c>
      <c r="G623" s="4">
        <v>2112</v>
      </c>
      <c r="H623" s="4">
        <v>54532.127999999997</v>
      </c>
      <c r="I623" s="4">
        <v>52358.934999999998</v>
      </c>
      <c r="J623" s="1">
        <v>4.1505676156323643</v>
      </c>
      <c r="K623" s="2">
        <v>2</v>
      </c>
      <c r="L623" s="1">
        <v>4</v>
      </c>
      <c r="M623" s="4">
        <v>25820.14</v>
      </c>
    </row>
    <row r="624" spans="1:13" x14ac:dyDescent="0.25">
      <c r="A624">
        <f>RANK(H624,H$13:H$798,0)</f>
        <v>612</v>
      </c>
      <c r="B624" s="2">
        <v>178059</v>
      </c>
      <c r="C624" t="s">
        <v>1080</v>
      </c>
      <c r="D624" t="s">
        <v>40</v>
      </c>
      <c r="E624" t="s">
        <v>41</v>
      </c>
      <c r="F624" t="s">
        <v>3</v>
      </c>
      <c r="G624" s="4">
        <v>5548</v>
      </c>
      <c r="H624" s="4">
        <v>54237.248</v>
      </c>
      <c r="I624" s="4">
        <v>55045.836000000003</v>
      </c>
      <c r="J624" s="1">
        <v>-1.4689358155992096</v>
      </c>
      <c r="K624" s="2">
        <v>2</v>
      </c>
      <c r="L624" s="1">
        <v>4</v>
      </c>
      <c r="M624" s="4">
        <v>9776</v>
      </c>
    </row>
    <row r="625" spans="1:13" x14ac:dyDescent="0.25">
      <c r="A625">
        <f>RANK(H625,H$13:H$798,0)</f>
        <v>613</v>
      </c>
      <c r="B625" s="2">
        <v>115728</v>
      </c>
      <c r="C625" t="s">
        <v>1081</v>
      </c>
      <c r="D625" t="s">
        <v>31</v>
      </c>
      <c r="E625" t="s">
        <v>12</v>
      </c>
      <c r="F625" t="s">
        <v>3</v>
      </c>
      <c r="G625" s="4">
        <v>863.8</v>
      </c>
      <c r="H625" s="4">
        <v>54171.144999999997</v>
      </c>
      <c r="I625" s="4">
        <v>51917.54</v>
      </c>
      <c r="J625" s="1">
        <v>4.3407391798609796</v>
      </c>
      <c r="K625" s="2">
        <v>2</v>
      </c>
      <c r="L625" s="1">
        <v>3</v>
      </c>
      <c r="M625" s="4">
        <v>62712.6</v>
      </c>
    </row>
    <row r="626" spans="1:13" x14ac:dyDescent="0.25">
      <c r="A626">
        <f>RANK(H626,H$13:H$798,0)</f>
        <v>614</v>
      </c>
      <c r="B626" s="2">
        <v>216931</v>
      </c>
      <c r="C626" t="s">
        <v>1082</v>
      </c>
      <c r="D626" t="s">
        <v>1083</v>
      </c>
      <c r="E626" t="s">
        <v>20</v>
      </c>
      <c r="F626" t="s">
        <v>3</v>
      </c>
      <c r="G626" s="4">
        <v>3506</v>
      </c>
      <c r="H626" s="4">
        <v>54043.584000000003</v>
      </c>
      <c r="I626" s="4">
        <v>51397.601999999999</v>
      </c>
      <c r="J626" s="1">
        <v>5.1480650789894904</v>
      </c>
      <c r="K626" s="2">
        <v>2</v>
      </c>
      <c r="L626" s="1">
        <v>4</v>
      </c>
      <c r="M626" s="4">
        <v>15414.6</v>
      </c>
    </row>
    <row r="627" spans="1:13" x14ac:dyDescent="0.25">
      <c r="A627">
        <f>RANK(H627,H$13:H$798,0)</f>
        <v>615</v>
      </c>
      <c r="B627" s="2">
        <v>136774</v>
      </c>
      <c r="C627" t="s">
        <v>1084</v>
      </c>
      <c r="D627" t="s">
        <v>1085</v>
      </c>
      <c r="E627" t="s">
        <v>127</v>
      </c>
      <c r="F627" t="s">
        <v>3</v>
      </c>
      <c r="G627" s="4">
        <v>1533</v>
      </c>
      <c r="H627" s="4">
        <v>53536.658000000003</v>
      </c>
      <c r="I627" s="4">
        <v>50288.034</v>
      </c>
      <c r="J627" s="1">
        <v>6.4600338124174899</v>
      </c>
      <c r="K627" s="2">
        <v>2</v>
      </c>
      <c r="L627" s="1">
        <v>5</v>
      </c>
      <c r="M627" s="4">
        <v>34922.800000000003</v>
      </c>
    </row>
    <row r="628" spans="1:13" x14ac:dyDescent="0.25">
      <c r="A628">
        <f>RANK(H628,H$13:H$798,0)</f>
        <v>616</v>
      </c>
      <c r="B628" s="2">
        <v>199111</v>
      </c>
      <c r="C628" t="s">
        <v>1086</v>
      </c>
      <c r="D628" t="s">
        <v>1087</v>
      </c>
      <c r="E628" t="s">
        <v>36</v>
      </c>
      <c r="F628" t="s">
        <v>7</v>
      </c>
      <c r="G628" s="4">
        <v>3489</v>
      </c>
      <c r="H628" s="4">
        <v>53521.362999999998</v>
      </c>
      <c r="I628" s="4">
        <v>51396.483</v>
      </c>
      <c r="J628" s="1">
        <v>4.1342906673205588</v>
      </c>
      <c r="K628" s="2">
        <v>2</v>
      </c>
      <c r="L628" s="1">
        <v>2</v>
      </c>
      <c r="M628" s="4">
        <v>15340.03</v>
      </c>
    </row>
    <row r="629" spans="1:13" x14ac:dyDescent="0.25">
      <c r="A629">
        <f>RANK(H629,H$13:H$798,0)</f>
        <v>617</v>
      </c>
      <c r="B629" s="2">
        <v>232089</v>
      </c>
      <c r="C629" t="s">
        <v>1088</v>
      </c>
      <c r="D629" t="s">
        <v>1089</v>
      </c>
      <c r="E629" t="s">
        <v>49</v>
      </c>
      <c r="F629" t="s">
        <v>3</v>
      </c>
      <c r="G629" s="4">
        <v>1014</v>
      </c>
      <c r="H629" s="4">
        <v>53516.697999999997</v>
      </c>
      <c r="I629" s="4">
        <v>52751.544000000002</v>
      </c>
      <c r="J629" s="1">
        <v>1.4504864540078579</v>
      </c>
      <c r="K629" s="2">
        <v>2</v>
      </c>
      <c r="L629" s="1">
        <v>2</v>
      </c>
      <c r="M629" s="4">
        <v>52777.81</v>
      </c>
    </row>
    <row r="630" spans="1:13" x14ac:dyDescent="0.25">
      <c r="A630">
        <f>RANK(H630,H$13:H$798,0)</f>
        <v>618</v>
      </c>
      <c r="B630" s="2">
        <v>155089</v>
      </c>
      <c r="C630" t="s">
        <v>1090</v>
      </c>
      <c r="D630" t="s">
        <v>513</v>
      </c>
      <c r="E630" t="s">
        <v>133</v>
      </c>
      <c r="F630" t="s">
        <v>3</v>
      </c>
      <c r="G630" s="4">
        <v>1329</v>
      </c>
      <c r="H630" s="4">
        <v>53323.868999999999</v>
      </c>
      <c r="I630" s="4">
        <v>51832.463000000003</v>
      </c>
      <c r="J630" s="1">
        <v>2.8773589246569187</v>
      </c>
      <c r="K630" s="2">
        <v>2</v>
      </c>
      <c r="L630" s="1">
        <v>3</v>
      </c>
      <c r="M630" s="4">
        <v>40123.300000000003</v>
      </c>
    </row>
    <row r="631" spans="1:13" x14ac:dyDescent="0.25">
      <c r="A631">
        <f>RANK(H631,H$13:H$798,0)</f>
        <v>619</v>
      </c>
      <c r="B631" s="2">
        <v>140234</v>
      </c>
      <c r="C631" t="s">
        <v>1091</v>
      </c>
      <c r="D631" t="s">
        <v>1092</v>
      </c>
      <c r="E631" t="s">
        <v>44</v>
      </c>
      <c r="F631" t="s">
        <v>3</v>
      </c>
      <c r="G631" s="4">
        <v>973</v>
      </c>
      <c r="H631" s="4">
        <v>53005.237000000001</v>
      </c>
      <c r="I631" s="4">
        <v>49410.406999999999</v>
      </c>
      <c r="J631" s="1">
        <v>7.2754511008176914</v>
      </c>
      <c r="K631" s="2">
        <v>2</v>
      </c>
      <c r="L631" s="1">
        <v>2</v>
      </c>
      <c r="M631" s="4">
        <v>54476.09</v>
      </c>
    </row>
    <row r="632" spans="1:13" x14ac:dyDescent="0.25">
      <c r="A632">
        <f>RANK(H632,H$13:H$798,0)</f>
        <v>620</v>
      </c>
      <c r="B632" s="2">
        <v>215743</v>
      </c>
      <c r="C632" t="s">
        <v>1093</v>
      </c>
      <c r="D632" t="s">
        <v>1094</v>
      </c>
      <c r="E632" t="s">
        <v>20</v>
      </c>
      <c r="F632" t="s">
        <v>3</v>
      </c>
      <c r="G632" s="4">
        <v>2091</v>
      </c>
      <c r="H632" s="4">
        <v>52712.605000000003</v>
      </c>
      <c r="I632" s="4">
        <v>50428.016000000003</v>
      </c>
      <c r="J632" s="1">
        <v>4.5303963574533643</v>
      </c>
      <c r="K632" s="2">
        <v>2</v>
      </c>
      <c r="L632" s="1">
        <v>3</v>
      </c>
      <c r="M632" s="4">
        <v>25209.279999999999</v>
      </c>
    </row>
    <row r="633" spans="1:13" x14ac:dyDescent="0.25">
      <c r="A633">
        <f>RANK(H633,H$13:H$798,0)</f>
        <v>621</v>
      </c>
      <c r="B633" s="2">
        <v>123572</v>
      </c>
      <c r="C633" t="s">
        <v>1095</v>
      </c>
      <c r="D633" t="s">
        <v>1096</v>
      </c>
      <c r="E633" t="s">
        <v>12</v>
      </c>
      <c r="F633" t="s">
        <v>87</v>
      </c>
      <c r="G633" s="4">
        <v>8673.5</v>
      </c>
      <c r="H633" s="4">
        <v>52281.184999999998</v>
      </c>
      <c r="I633" s="4">
        <v>49080.741999999998</v>
      </c>
      <c r="J633" s="1">
        <v>6.5207714259902589</v>
      </c>
      <c r="K633" s="2">
        <v>2</v>
      </c>
      <c r="L633" s="1">
        <v>3</v>
      </c>
      <c r="M633" s="4">
        <v>6027.69</v>
      </c>
    </row>
    <row r="634" spans="1:13" x14ac:dyDescent="0.25">
      <c r="A634">
        <f>RANK(H634,H$13:H$798,0)</f>
        <v>622</v>
      </c>
      <c r="B634" s="2">
        <v>203085</v>
      </c>
      <c r="C634" t="s">
        <v>1097</v>
      </c>
      <c r="D634" t="s">
        <v>1098</v>
      </c>
      <c r="E634" t="s">
        <v>63</v>
      </c>
      <c r="F634" t="s">
        <v>3</v>
      </c>
      <c r="G634" s="4">
        <v>1229</v>
      </c>
      <c r="H634" s="4">
        <v>51987.303</v>
      </c>
      <c r="I634" s="4">
        <v>52245.538999999997</v>
      </c>
      <c r="J634" s="1">
        <v>-0.49427377904934078</v>
      </c>
      <c r="K634" s="2">
        <v>2</v>
      </c>
      <c r="L634" s="1">
        <v>2</v>
      </c>
      <c r="M634" s="4">
        <v>42300.49</v>
      </c>
    </row>
    <row r="635" spans="1:13" x14ac:dyDescent="0.25">
      <c r="A635">
        <f>RANK(H635,H$13:H$798,0)</f>
        <v>623</v>
      </c>
      <c r="B635" s="2">
        <v>196185</v>
      </c>
      <c r="C635" t="s">
        <v>1099</v>
      </c>
      <c r="D635" t="s">
        <v>976</v>
      </c>
      <c r="E635" t="s">
        <v>33</v>
      </c>
      <c r="F635" t="s">
        <v>7</v>
      </c>
      <c r="G635" s="4">
        <v>6056</v>
      </c>
      <c r="H635" s="4">
        <v>51718.222000000002</v>
      </c>
      <c r="I635" s="4">
        <v>50071.667000000001</v>
      </c>
      <c r="J635" s="1">
        <v>3.2883966096035917</v>
      </c>
      <c r="K635" s="2">
        <v>2</v>
      </c>
      <c r="L635" s="1">
        <v>3</v>
      </c>
      <c r="M635" s="4">
        <v>8540</v>
      </c>
    </row>
    <row r="636" spans="1:13" x14ac:dyDescent="0.25">
      <c r="A636">
        <f>RANK(H636,H$13:H$798,0)</f>
        <v>624</v>
      </c>
      <c r="B636" s="2">
        <v>218724</v>
      </c>
      <c r="C636" t="s">
        <v>1389</v>
      </c>
      <c r="D636" t="s">
        <v>618</v>
      </c>
      <c r="E636" t="s">
        <v>285</v>
      </c>
      <c r="F636" t="s">
        <v>75</v>
      </c>
      <c r="G636" s="4">
        <v>9950</v>
      </c>
      <c r="H636" s="4">
        <v>51483.029000000002</v>
      </c>
      <c r="I636" s="4">
        <v>44670.080999999998</v>
      </c>
      <c r="J636" s="1">
        <v>15.251702812000731</v>
      </c>
      <c r="K636" s="2">
        <v>2</v>
      </c>
      <c r="L636" s="1">
        <v>3</v>
      </c>
      <c r="M636" s="4">
        <v>5174.17</v>
      </c>
    </row>
    <row r="637" spans="1:13" x14ac:dyDescent="0.25">
      <c r="A637">
        <f>RANK(H637,H$13:H$798,0)</f>
        <v>625</v>
      </c>
      <c r="B637" s="2">
        <v>115214</v>
      </c>
      <c r="C637" t="s">
        <v>1100</v>
      </c>
      <c r="D637" t="s">
        <v>1101</v>
      </c>
      <c r="E637" t="s">
        <v>12</v>
      </c>
      <c r="F637" t="s">
        <v>3</v>
      </c>
      <c r="G637" s="4">
        <v>183</v>
      </c>
      <c r="H637" s="4">
        <v>51474.834999999999</v>
      </c>
      <c r="I637" s="4">
        <v>51292.527999999998</v>
      </c>
      <c r="J637" s="1">
        <v>0.3554260378821662</v>
      </c>
      <c r="K637" s="2">
        <v>2</v>
      </c>
      <c r="L637" s="1">
        <v>5</v>
      </c>
      <c r="M637" s="4">
        <v>281283.25</v>
      </c>
    </row>
    <row r="638" spans="1:13" x14ac:dyDescent="0.25">
      <c r="A638">
        <f>RANK(H638,H$13:H$798,0)</f>
        <v>626</v>
      </c>
      <c r="B638" s="2">
        <v>122296</v>
      </c>
      <c r="C638" t="s">
        <v>1102</v>
      </c>
      <c r="D638" t="s">
        <v>31</v>
      </c>
      <c r="E638" t="s">
        <v>12</v>
      </c>
      <c r="F638" t="s">
        <v>3</v>
      </c>
      <c r="G638" s="4">
        <v>2405</v>
      </c>
      <c r="H638" s="4">
        <v>51316.284639999998</v>
      </c>
      <c r="I638" s="4">
        <v>51861.635630000004</v>
      </c>
      <c r="J638" s="1">
        <v>-1.0515499238989316</v>
      </c>
      <c r="K638" s="2">
        <v>2</v>
      </c>
      <c r="L638" s="1">
        <v>5</v>
      </c>
      <c r="M638" s="4">
        <v>21337.33</v>
      </c>
    </row>
    <row r="639" spans="1:13" x14ac:dyDescent="0.25">
      <c r="A639">
        <f>RANK(H639,H$13:H$798,0)</f>
        <v>627</v>
      </c>
      <c r="B639" s="2">
        <v>199865</v>
      </c>
      <c r="C639" t="s">
        <v>1103</v>
      </c>
      <c r="D639" t="s">
        <v>1087</v>
      </c>
      <c r="E639" t="s">
        <v>36</v>
      </c>
      <c r="F639" t="s">
        <v>3</v>
      </c>
      <c r="G639" s="4">
        <v>763</v>
      </c>
      <c r="H639" s="4">
        <v>51270.334000000003</v>
      </c>
      <c r="I639" s="4">
        <v>52616.953000000001</v>
      </c>
      <c r="J639" s="1">
        <v>-2.5592873080278871</v>
      </c>
      <c r="K639" s="2">
        <v>2</v>
      </c>
      <c r="L639" s="1">
        <v>2</v>
      </c>
      <c r="M639" s="4">
        <v>67195.72</v>
      </c>
    </row>
    <row r="640" spans="1:13" x14ac:dyDescent="0.25">
      <c r="A640">
        <f>RANK(H640,H$13:H$798,0)</f>
        <v>628</v>
      </c>
      <c r="B640" s="2">
        <v>110617</v>
      </c>
      <c r="C640" t="s">
        <v>1104</v>
      </c>
      <c r="D640" t="s">
        <v>972</v>
      </c>
      <c r="E640" t="s">
        <v>12</v>
      </c>
      <c r="F640" t="s">
        <v>87</v>
      </c>
      <c r="G640" s="4">
        <v>26719</v>
      </c>
      <c r="H640" s="4">
        <v>51241.432000000001</v>
      </c>
      <c r="I640" s="4">
        <v>48045.682000000001</v>
      </c>
      <c r="J640" s="1">
        <v>6.6514822289337054</v>
      </c>
      <c r="K640" s="2">
        <v>2</v>
      </c>
      <c r="L640" s="1">
        <v>3</v>
      </c>
      <c r="M640" s="4">
        <v>1917.79</v>
      </c>
    </row>
    <row r="641" spans="1:13" x14ac:dyDescent="0.25">
      <c r="A641">
        <f>RANK(H641,H$13:H$798,0)</f>
        <v>629</v>
      </c>
      <c r="B641" s="2">
        <v>115047</v>
      </c>
      <c r="C641" t="s">
        <v>1105</v>
      </c>
      <c r="D641" t="s">
        <v>1106</v>
      </c>
      <c r="E641" t="s">
        <v>12</v>
      </c>
      <c r="F641" t="s">
        <v>3</v>
      </c>
      <c r="G641" s="4">
        <v>226</v>
      </c>
      <c r="H641" s="4">
        <v>50974.576999999997</v>
      </c>
      <c r="I641" s="4">
        <v>51745.387000000002</v>
      </c>
      <c r="J641" s="1">
        <v>-1.4896207076391272</v>
      </c>
      <c r="K641" s="2">
        <v>3</v>
      </c>
      <c r="L641" s="1">
        <v>6</v>
      </c>
      <c r="M641" s="4">
        <v>225551.23</v>
      </c>
    </row>
    <row r="642" spans="1:13" x14ac:dyDescent="0.25">
      <c r="A642">
        <f>RANK(H642,H$13:H$798,0)</f>
        <v>630</v>
      </c>
      <c r="B642" s="2">
        <v>173045</v>
      </c>
      <c r="C642" t="s">
        <v>1107</v>
      </c>
      <c r="D642" t="s">
        <v>94</v>
      </c>
      <c r="E642" t="s">
        <v>95</v>
      </c>
      <c r="F642" t="s">
        <v>3</v>
      </c>
      <c r="G642" s="4">
        <v>3056</v>
      </c>
      <c r="H642" s="4">
        <v>50785.63</v>
      </c>
      <c r="I642" s="4">
        <v>48219.731</v>
      </c>
      <c r="J642" s="1">
        <v>5.3212636130218094</v>
      </c>
      <c r="K642" s="2">
        <v>2</v>
      </c>
      <c r="L642" s="1">
        <v>3</v>
      </c>
      <c r="M642" s="4">
        <v>16618.330000000002</v>
      </c>
    </row>
    <row r="643" spans="1:13" x14ac:dyDescent="0.25">
      <c r="A643">
        <f>RANK(H643,H$13:H$798,0)</f>
        <v>631</v>
      </c>
      <c r="B643" s="2">
        <v>199272</v>
      </c>
      <c r="C643" t="s">
        <v>1108</v>
      </c>
      <c r="D643" t="s">
        <v>172</v>
      </c>
      <c r="E643" t="s">
        <v>36</v>
      </c>
      <c r="F643" t="s">
        <v>3</v>
      </c>
      <c r="G643" s="4">
        <v>858</v>
      </c>
      <c r="H643" s="4">
        <v>50222.008000000002</v>
      </c>
      <c r="I643" s="4">
        <v>35635.167999999998</v>
      </c>
      <c r="J643" s="1">
        <v>40.933832555524937</v>
      </c>
      <c r="K643" s="2">
        <v>2</v>
      </c>
      <c r="L643" s="1">
        <v>2</v>
      </c>
      <c r="M643" s="4">
        <v>58533.81</v>
      </c>
    </row>
    <row r="644" spans="1:13" x14ac:dyDescent="0.25">
      <c r="A644">
        <f>RANK(H644,H$13:H$798,0)</f>
        <v>632</v>
      </c>
      <c r="B644" s="2">
        <v>161873</v>
      </c>
      <c r="C644" t="s">
        <v>1109</v>
      </c>
      <c r="D644" t="s">
        <v>53</v>
      </c>
      <c r="E644" t="s">
        <v>54</v>
      </c>
      <c r="F644" t="s">
        <v>75</v>
      </c>
      <c r="G644" s="5" t="s">
        <v>1363</v>
      </c>
      <c r="H644" s="4">
        <v>49877.555999999997</v>
      </c>
      <c r="I644" s="4">
        <v>49001.47</v>
      </c>
      <c r="J644" s="1">
        <v>1.7878769759356112</v>
      </c>
      <c r="K644" s="2">
        <v>2</v>
      </c>
      <c r="L644" s="1">
        <v>3</v>
      </c>
      <c r="M644" s="5" t="s">
        <v>1363</v>
      </c>
    </row>
    <row r="645" spans="1:13" x14ac:dyDescent="0.25">
      <c r="A645">
        <f>RANK(H645,H$13:H$798,0)</f>
        <v>633</v>
      </c>
      <c r="B645" s="2">
        <v>199999</v>
      </c>
      <c r="C645" t="s">
        <v>1110</v>
      </c>
      <c r="D645" t="s">
        <v>1111</v>
      </c>
      <c r="E645" t="s">
        <v>36</v>
      </c>
      <c r="F645" t="s">
        <v>87</v>
      </c>
      <c r="G645" s="4">
        <v>4844</v>
      </c>
      <c r="H645" s="4">
        <v>49755.487999999998</v>
      </c>
      <c r="I645" s="4">
        <v>46214.277000000002</v>
      </c>
      <c r="J645" s="1">
        <v>7.6625909348316661</v>
      </c>
      <c r="K645" s="2">
        <v>1</v>
      </c>
      <c r="L645" s="1">
        <v>3</v>
      </c>
      <c r="M645" s="4">
        <v>10271.57</v>
      </c>
    </row>
    <row r="646" spans="1:13" x14ac:dyDescent="0.25">
      <c r="A646">
        <f>RANK(H646,H$13:H$798,0)</f>
        <v>634</v>
      </c>
      <c r="B646" s="2">
        <v>139199</v>
      </c>
      <c r="C646" t="s">
        <v>1112</v>
      </c>
      <c r="D646" t="s">
        <v>126</v>
      </c>
      <c r="E646" t="s">
        <v>44</v>
      </c>
      <c r="F646" t="s">
        <v>3</v>
      </c>
      <c r="G646" s="4">
        <v>1965</v>
      </c>
      <c r="H646" s="4">
        <v>49482.307999999997</v>
      </c>
      <c r="I646" s="4">
        <v>47903.921999999999</v>
      </c>
      <c r="J646" s="1">
        <v>3.2948993195170924</v>
      </c>
      <c r="K646" s="2">
        <v>2</v>
      </c>
      <c r="L646" s="1">
        <v>3</v>
      </c>
      <c r="M646" s="4">
        <v>25181.84</v>
      </c>
    </row>
    <row r="647" spans="1:13" x14ac:dyDescent="0.25">
      <c r="A647">
        <f>RANK(H647,H$13:H$798,0)</f>
        <v>635</v>
      </c>
      <c r="B647" s="2">
        <v>189015</v>
      </c>
      <c r="C647" t="s">
        <v>1113</v>
      </c>
      <c r="D647" t="s">
        <v>46</v>
      </c>
      <c r="E647" t="s">
        <v>33</v>
      </c>
      <c r="F647" t="s">
        <v>3</v>
      </c>
      <c r="G647" s="4">
        <v>1315</v>
      </c>
      <c r="H647" s="4">
        <v>49109.046000000002</v>
      </c>
      <c r="I647" s="4">
        <v>47733.716999999997</v>
      </c>
      <c r="J647" s="1">
        <v>2.8812526793168134</v>
      </c>
      <c r="K647" s="2">
        <v>2</v>
      </c>
      <c r="L647" s="1">
        <v>5</v>
      </c>
      <c r="M647" s="4">
        <v>37345.279999999999</v>
      </c>
    </row>
    <row r="648" spans="1:13" x14ac:dyDescent="0.25">
      <c r="A648">
        <f>RANK(H648,H$13:H$798,0)</f>
        <v>636</v>
      </c>
      <c r="B648" s="2">
        <v>211158</v>
      </c>
      <c r="C648" t="s">
        <v>1114</v>
      </c>
      <c r="D648" t="s">
        <v>1115</v>
      </c>
      <c r="E648" t="s">
        <v>20</v>
      </c>
      <c r="F648" t="s">
        <v>7</v>
      </c>
      <c r="G648" s="4">
        <v>8900</v>
      </c>
      <c r="H648" s="4">
        <v>49000</v>
      </c>
      <c r="I648" s="4">
        <v>44000</v>
      </c>
      <c r="J648" s="1">
        <v>11.363636363636363</v>
      </c>
      <c r="K648" s="2">
        <v>2</v>
      </c>
      <c r="L648" s="1">
        <v>3</v>
      </c>
      <c r="M648" s="4">
        <v>5505.62</v>
      </c>
    </row>
    <row r="649" spans="1:13" x14ac:dyDescent="0.25">
      <c r="A649">
        <f>RANK(H649,H$13:H$798,0)</f>
        <v>637</v>
      </c>
      <c r="B649" s="2">
        <v>214564</v>
      </c>
      <c r="C649" t="s">
        <v>1116</v>
      </c>
      <c r="D649" t="s">
        <v>1117</v>
      </c>
      <c r="E649" t="s">
        <v>20</v>
      </c>
      <c r="F649" t="s">
        <v>3</v>
      </c>
      <c r="G649" s="4">
        <v>1200</v>
      </c>
      <c r="H649" s="4">
        <v>48896.14</v>
      </c>
      <c r="I649" s="4">
        <v>46228.302000000003</v>
      </c>
      <c r="J649" s="1">
        <v>5.7710058223639624</v>
      </c>
      <c r="K649" s="2">
        <v>2</v>
      </c>
      <c r="L649" s="1">
        <v>5</v>
      </c>
      <c r="M649" s="4">
        <v>40746.78</v>
      </c>
    </row>
    <row r="650" spans="1:13" x14ac:dyDescent="0.25">
      <c r="A650">
        <f>RANK(H650,H$13:H$798,0)</f>
        <v>638</v>
      </c>
      <c r="B650" s="2">
        <v>100654</v>
      </c>
      <c r="C650" t="s">
        <v>1118</v>
      </c>
      <c r="D650" t="s">
        <v>724</v>
      </c>
      <c r="E650" t="s">
        <v>150</v>
      </c>
      <c r="F650" t="s">
        <v>75</v>
      </c>
      <c r="G650" s="4">
        <v>6108</v>
      </c>
      <c r="H650" s="4">
        <v>48029.451000000001</v>
      </c>
      <c r="I650" s="4">
        <v>46169.182000000001</v>
      </c>
      <c r="J650" s="1">
        <v>4.0292440095646489</v>
      </c>
      <c r="K650" s="2">
        <v>1</v>
      </c>
      <c r="L650" s="1">
        <v>3</v>
      </c>
      <c r="M650" s="4">
        <v>7863.37</v>
      </c>
    </row>
    <row r="651" spans="1:13" x14ac:dyDescent="0.25">
      <c r="A651">
        <f>RANK(H651,H$13:H$798,0)</f>
        <v>639</v>
      </c>
      <c r="B651" s="2">
        <v>129491</v>
      </c>
      <c r="C651" t="s">
        <v>1119</v>
      </c>
      <c r="D651" t="s">
        <v>1120</v>
      </c>
      <c r="E651" t="s">
        <v>10</v>
      </c>
      <c r="F651" t="s">
        <v>3</v>
      </c>
      <c r="G651" s="4">
        <v>93.67</v>
      </c>
      <c r="H651" s="4">
        <v>47901.052000000003</v>
      </c>
      <c r="I651" s="4">
        <v>46996.086000000003</v>
      </c>
      <c r="J651" s="1">
        <v>1.925619933540849</v>
      </c>
      <c r="K651" s="2">
        <v>2</v>
      </c>
      <c r="L651" s="1">
        <v>5</v>
      </c>
      <c r="M651" s="4">
        <v>511380.93</v>
      </c>
    </row>
    <row r="652" spans="1:13" x14ac:dyDescent="0.25">
      <c r="A652">
        <f>RANK(H652,H$13:H$798,0)</f>
        <v>640</v>
      </c>
      <c r="B652" s="2">
        <v>196149</v>
      </c>
      <c r="C652" t="s">
        <v>1121</v>
      </c>
      <c r="D652" t="s">
        <v>1122</v>
      </c>
      <c r="E652" t="s">
        <v>33</v>
      </c>
      <c r="F652" t="s">
        <v>75</v>
      </c>
      <c r="G652" s="4">
        <v>6547</v>
      </c>
      <c r="H652" s="4">
        <v>47651.722000000002</v>
      </c>
      <c r="I652" s="4">
        <v>45090.546999999999</v>
      </c>
      <c r="J652" s="1">
        <v>5.6800708139557567</v>
      </c>
      <c r="K652" s="2">
        <v>2</v>
      </c>
      <c r="L652" s="1">
        <v>3</v>
      </c>
      <c r="M652" s="4">
        <v>7278.41</v>
      </c>
    </row>
    <row r="653" spans="1:13" x14ac:dyDescent="0.25">
      <c r="A653">
        <f>RANK(H653,H$13:H$798,0)</f>
        <v>641</v>
      </c>
      <c r="B653" s="2">
        <v>155511</v>
      </c>
      <c r="C653" t="s">
        <v>1123</v>
      </c>
      <c r="D653" t="s">
        <v>1124</v>
      </c>
      <c r="E653" t="s">
        <v>133</v>
      </c>
      <c r="F653" t="s">
        <v>3</v>
      </c>
      <c r="G653" s="4">
        <v>826</v>
      </c>
      <c r="H653" s="4">
        <v>47125.339</v>
      </c>
      <c r="I653" s="4">
        <v>47294.586000000003</v>
      </c>
      <c r="J653" s="1">
        <v>-0.3578570282864999</v>
      </c>
      <c r="K653" s="2">
        <v>2</v>
      </c>
      <c r="L653" s="1">
        <v>2</v>
      </c>
      <c r="M653" s="4">
        <v>57052.47</v>
      </c>
    </row>
    <row r="654" spans="1:13" x14ac:dyDescent="0.25">
      <c r="A654">
        <f>RANK(H654,H$13:H$798,0)</f>
        <v>642</v>
      </c>
      <c r="B654" s="2">
        <v>115083</v>
      </c>
      <c r="C654" t="s">
        <v>1125</v>
      </c>
      <c r="D654" t="s">
        <v>110</v>
      </c>
      <c r="E654" t="s">
        <v>12</v>
      </c>
      <c r="F654" t="s">
        <v>3</v>
      </c>
      <c r="G654" s="4">
        <v>1832</v>
      </c>
      <c r="H654" s="4">
        <v>46828.071000000004</v>
      </c>
      <c r="I654" s="4">
        <v>48261.023999999998</v>
      </c>
      <c r="J654" s="1">
        <v>-2.9691723905402303</v>
      </c>
      <c r="K654" s="2">
        <v>2</v>
      </c>
      <c r="L654" s="1">
        <v>3</v>
      </c>
      <c r="M654" s="4">
        <v>25561.17</v>
      </c>
    </row>
    <row r="655" spans="1:13" x14ac:dyDescent="0.25">
      <c r="A655">
        <f>RANK(H655,H$13:H$798,0)</f>
        <v>643</v>
      </c>
      <c r="B655" s="2">
        <v>134945</v>
      </c>
      <c r="C655" t="s">
        <v>1126</v>
      </c>
      <c r="D655" t="s">
        <v>762</v>
      </c>
      <c r="E655" t="s">
        <v>127</v>
      </c>
      <c r="F655" t="s">
        <v>3</v>
      </c>
      <c r="G655" s="4">
        <v>3205</v>
      </c>
      <c r="H655" s="4">
        <v>46742.733</v>
      </c>
      <c r="I655" s="4">
        <v>44737.286999999997</v>
      </c>
      <c r="J655" s="1">
        <v>4.4827170677560391</v>
      </c>
      <c r="K655" s="2">
        <v>2</v>
      </c>
      <c r="L655" s="1">
        <v>3</v>
      </c>
      <c r="M655" s="4">
        <v>14584.32</v>
      </c>
    </row>
    <row r="656" spans="1:13" x14ac:dyDescent="0.25">
      <c r="A656">
        <f>RANK(H656,H$13:H$798,0)</f>
        <v>644</v>
      </c>
      <c r="B656" s="2">
        <v>409254</v>
      </c>
      <c r="C656" t="s">
        <v>1127</v>
      </c>
      <c r="D656" t="s">
        <v>38</v>
      </c>
      <c r="E656" t="s">
        <v>30</v>
      </c>
      <c r="F656" t="s">
        <v>3</v>
      </c>
      <c r="G656" s="4">
        <v>230</v>
      </c>
      <c r="H656" s="4">
        <v>46654.767999999996</v>
      </c>
      <c r="I656" s="4">
        <v>50469.7</v>
      </c>
      <c r="J656" s="1">
        <v>-7.5588561057426551</v>
      </c>
      <c r="K656" s="2">
        <v>2</v>
      </c>
      <c r="L656" s="1">
        <v>5</v>
      </c>
      <c r="M656" s="4">
        <v>202846.82</v>
      </c>
    </row>
    <row r="657" spans="1:13" x14ac:dyDescent="0.25">
      <c r="A657">
        <f>RANK(H657,H$13:H$798,0)</f>
        <v>645</v>
      </c>
      <c r="B657" s="2">
        <v>221661</v>
      </c>
      <c r="C657" t="s">
        <v>1128</v>
      </c>
      <c r="D657" t="s">
        <v>1129</v>
      </c>
      <c r="E657" t="s">
        <v>57</v>
      </c>
      <c r="F657" t="s">
        <v>3</v>
      </c>
      <c r="G657" s="4">
        <v>2705</v>
      </c>
      <c r="H657" s="4">
        <v>46401.504000000001</v>
      </c>
      <c r="I657" s="4">
        <v>43219.682999999997</v>
      </c>
      <c r="J657" s="1">
        <v>7.3619720903552288</v>
      </c>
      <c r="K657" s="2">
        <v>2</v>
      </c>
      <c r="L657" s="1">
        <v>3</v>
      </c>
      <c r="M657" s="4">
        <v>17153.98</v>
      </c>
    </row>
    <row r="658" spans="1:13" x14ac:dyDescent="0.25">
      <c r="A658">
        <f>RANK(H658,H$13:H$798,0)</f>
        <v>646</v>
      </c>
      <c r="B658" s="2">
        <v>154004</v>
      </c>
      <c r="C658" t="s">
        <v>1130</v>
      </c>
      <c r="D658" t="s">
        <v>1131</v>
      </c>
      <c r="E658" t="s">
        <v>113</v>
      </c>
      <c r="F658" t="s">
        <v>3</v>
      </c>
      <c r="G658" s="4">
        <v>1726</v>
      </c>
      <c r="H658" s="4">
        <v>46271.377999999997</v>
      </c>
      <c r="I658" s="4">
        <v>46622.196000000004</v>
      </c>
      <c r="J658" s="1">
        <v>-0.75246991797642171</v>
      </c>
      <c r="K658" s="2">
        <v>2</v>
      </c>
      <c r="L658" s="1">
        <v>3</v>
      </c>
      <c r="M658" s="4">
        <v>26808.45</v>
      </c>
    </row>
    <row r="659" spans="1:13" x14ac:dyDescent="0.25">
      <c r="A659">
        <f>RANK(H659,H$13:H$798,0)</f>
        <v>647</v>
      </c>
      <c r="B659" s="2">
        <v>166391</v>
      </c>
      <c r="C659" t="s">
        <v>1132</v>
      </c>
      <c r="D659" t="s">
        <v>1133</v>
      </c>
      <c r="E659" t="s">
        <v>2</v>
      </c>
      <c r="F659" t="s">
        <v>3</v>
      </c>
      <c r="G659" s="4">
        <v>1794.67</v>
      </c>
      <c r="H659" s="4">
        <v>45910.059000000001</v>
      </c>
      <c r="I659" s="4">
        <v>42506.745999999999</v>
      </c>
      <c r="J659" s="1">
        <v>8.0065244232056774</v>
      </c>
      <c r="K659" s="2">
        <v>2</v>
      </c>
      <c r="L659" s="1">
        <v>3</v>
      </c>
      <c r="M659" s="4">
        <v>25581.34</v>
      </c>
    </row>
    <row r="660" spans="1:13" x14ac:dyDescent="0.25">
      <c r="A660">
        <f>RANK(H660,H$13:H$798,0)</f>
        <v>648</v>
      </c>
      <c r="B660" s="2">
        <v>217907</v>
      </c>
      <c r="C660" t="s">
        <v>1134</v>
      </c>
      <c r="D660" t="s">
        <v>1135</v>
      </c>
      <c r="E660" t="s">
        <v>285</v>
      </c>
      <c r="F660" t="s">
        <v>3</v>
      </c>
      <c r="G660" s="4">
        <v>1190</v>
      </c>
      <c r="H660" s="4">
        <v>45679.900999999998</v>
      </c>
      <c r="I660" s="4">
        <v>45713.42</v>
      </c>
      <c r="J660" s="1">
        <v>-7.3324201077058407E-2</v>
      </c>
      <c r="K660" s="2">
        <v>2</v>
      </c>
      <c r="L660" s="1">
        <v>3</v>
      </c>
      <c r="M660" s="4">
        <v>38386.47</v>
      </c>
    </row>
    <row r="661" spans="1:13" x14ac:dyDescent="0.25">
      <c r="A661">
        <f>RANK(H661,H$13:H$798,0)</f>
        <v>649</v>
      </c>
      <c r="B661" s="2">
        <v>202073</v>
      </c>
      <c r="C661" t="s">
        <v>1136</v>
      </c>
      <c r="D661" t="s">
        <v>123</v>
      </c>
      <c r="E661" t="s">
        <v>63</v>
      </c>
      <c r="F661" t="s">
        <v>3</v>
      </c>
      <c r="G661" s="4">
        <v>402</v>
      </c>
      <c r="H661" s="4">
        <v>45622</v>
      </c>
      <c r="I661" s="4">
        <v>46352</v>
      </c>
      <c r="J661" s="1">
        <v>-1.5749050742147048</v>
      </c>
      <c r="K661" s="2">
        <v>2</v>
      </c>
      <c r="L661" s="1">
        <v>5</v>
      </c>
      <c r="M661" s="4">
        <v>113487.56</v>
      </c>
    </row>
    <row r="662" spans="1:13" x14ac:dyDescent="0.25">
      <c r="A662">
        <f>RANK(H662,H$13:H$798,0)</f>
        <v>650</v>
      </c>
      <c r="B662" s="2">
        <v>132471</v>
      </c>
      <c r="C662" t="s">
        <v>1137</v>
      </c>
      <c r="D662" t="s">
        <v>1138</v>
      </c>
      <c r="E662" t="s">
        <v>127</v>
      </c>
      <c r="F662" t="s">
        <v>3</v>
      </c>
      <c r="G662" s="4">
        <v>6299</v>
      </c>
      <c r="H662" s="4">
        <v>45448.212</v>
      </c>
      <c r="I662" s="4">
        <v>43980.904000000002</v>
      </c>
      <c r="J662" s="1">
        <v>3.3362388367460505</v>
      </c>
      <c r="K662" s="2">
        <v>2</v>
      </c>
      <c r="L662" s="1">
        <v>4</v>
      </c>
      <c r="M662" s="4">
        <v>7215.15</v>
      </c>
    </row>
    <row r="663" spans="1:13" x14ac:dyDescent="0.25">
      <c r="A663">
        <f>RANK(H663,H$13:H$798,0)</f>
        <v>651</v>
      </c>
      <c r="B663" s="2">
        <v>180106</v>
      </c>
      <c r="C663" t="s">
        <v>1139</v>
      </c>
      <c r="D663" t="s">
        <v>1140</v>
      </c>
      <c r="E663" t="s">
        <v>607</v>
      </c>
      <c r="F663" t="s">
        <v>3</v>
      </c>
      <c r="G663" s="4">
        <v>1259</v>
      </c>
      <c r="H663" s="4">
        <v>44828.353999999999</v>
      </c>
      <c r="I663" s="4">
        <v>41411.593999999997</v>
      </c>
      <c r="J663" s="1">
        <v>8.2507328744698949</v>
      </c>
      <c r="K663" s="2">
        <v>2</v>
      </c>
      <c r="L663" s="1">
        <v>2</v>
      </c>
      <c r="M663" s="4">
        <v>35606.32</v>
      </c>
    </row>
    <row r="664" spans="1:13" x14ac:dyDescent="0.25">
      <c r="A664">
        <f>RANK(H664,H$13:H$798,0)</f>
        <v>652</v>
      </c>
      <c r="B664" s="2">
        <v>173142</v>
      </c>
      <c r="C664" t="s">
        <v>1141</v>
      </c>
      <c r="D664" t="s">
        <v>1056</v>
      </c>
      <c r="E664" t="s">
        <v>95</v>
      </c>
      <c r="F664" t="s">
        <v>3</v>
      </c>
      <c r="G664" s="4">
        <v>641</v>
      </c>
      <c r="H664" s="4">
        <v>44116.58</v>
      </c>
      <c r="I664" s="4">
        <v>44260.29</v>
      </c>
      <c r="J664" s="1">
        <v>-0.32469285673455628</v>
      </c>
      <c r="K664" s="2">
        <v>2</v>
      </c>
      <c r="L664" s="1">
        <v>2</v>
      </c>
      <c r="M664" s="4">
        <v>68824.62</v>
      </c>
    </row>
    <row r="665" spans="1:13" x14ac:dyDescent="0.25">
      <c r="A665">
        <f>RANK(H665,H$13:H$798,0)</f>
        <v>653</v>
      </c>
      <c r="B665" s="2">
        <v>214166</v>
      </c>
      <c r="C665" t="s">
        <v>1142</v>
      </c>
      <c r="D665" t="s">
        <v>1143</v>
      </c>
      <c r="E665" t="s">
        <v>20</v>
      </c>
      <c r="F665" t="s">
        <v>3</v>
      </c>
      <c r="G665" s="4">
        <v>1280</v>
      </c>
      <c r="H665" s="4">
        <v>43986.493000000002</v>
      </c>
      <c r="I665" s="4">
        <v>43616.112000000001</v>
      </c>
      <c r="J665" s="1">
        <v>0.8491838979136912</v>
      </c>
      <c r="K665" s="2">
        <v>2</v>
      </c>
      <c r="L665" s="1">
        <v>2</v>
      </c>
      <c r="M665" s="4">
        <v>34364.449999999997</v>
      </c>
    </row>
    <row r="666" spans="1:13" x14ac:dyDescent="0.25">
      <c r="A666">
        <f>RANK(H666,H$13:H$798,0)</f>
        <v>654</v>
      </c>
      <c r="B666" s="2">
        <v>176318</v>
      </c>
      <c r="C666" t="s">
        <v>1144</v>
      </c>
      <c r="D666" t="s">
        <v>1145</v>
      </c>
      <c r="E666" t="s">
        <v>305</v>
      </c>
      <c r="F666" t="s">
        <v>3</v>
      </c>
      <c r="G666" s="4">
        <v>774</v>
      </c>
      <c r="H666" s="4">
        <v>43445.059000000001</v>
      </c>
      <c r="I666" s="4">
        <v>40399.052000000003</v>
      </c>
      <c r="J666" s="1">
        <v>7.5397982111065316</v>
      </c>
      <c r="K666" s="2">
        <v>1</v>
      </c>
      <c r="L666" s="1">
        <v>2</v>
      </c>
      <c r="M666" s="4">
        <v>56130.57</v>
      </c>
    </row>
    <row r="667" spans="1:13" x14ac:dyDescent="0.25">
      <c r="A667">
        <f>RANK(H667,H$13:H$798,0)</f>
        <v>655</v>
      </c>
      <c r="B667" s="2">
        <v>173328</v>
      </c>
      <c r="C667" t="s">
        <v>1146</v>
      </c>
      <c r="D667" t="s">
        <v>1147</v>
      </c>
      <c r="E667" t="s">
        <v>95</v>
      </c>
      <c r="F667" t="s">
        <v>3</v>
      </c>
      <c r="G667" s="4">
        <v>4257</v>
      </c>
      <c r="H667" s="4">
        <v>43414.517999999996</v>
      </c>
      <c r="I667" s="4">
        <v>41575.315000000002</v>
      </c>
      <c r="J667" s="1">
        <v>4.4237860855654221</v>
      </c>
      <c r="K667" s="2">
        <v>2</v>
      </c>
      <c r="L667" s="1">
        <v>3</v>
      </c>
      <c r="M667" s="4">
        <v>10198.379999999999</v>
      </c>
    </row>
    <row r="668" spans="1:13" x14ac:dyDescent="0.25">
      <c r="A668">
        <f>RANK(H668,H$13:H$798,0)</f>
        <v>656</v>
      </c>
      <c r="B668" s="2">
        <v>122506</v>
      </c>
      <c r="C668" t="s">
        <v>1148</v>
      </c>
      <c r="D668" t="s">
        <v>110</v>
      </c>
      <c r="E668" t="s">
        <v>12</v>
      </c>
      <c r="F668" t="s">
        <v>3</v>
      </c>
      <c r="G668" s="4">
        <v>443</v>
      </c>
      <c r="H668" s="4">
        <v>43146</v>
      </c>
      <c r="I668" s="4">
        <v>42871</v>
      </c>
      <c r="J668" s="1">
        <v>0.64145926150544663</v>
      </c>
      <c r="K668" s="2">
        <v>2</v>
      </c>
      <c r="L668" s="1">
        <v>5</v>
      </c>
      <c r="M668" s="4">
        <v>97395.03</v>
      </c>
    </row>
    <row r="669" spans="1:13" x14ac:dyDescent="0.25">
      <c r="A669">
        <f>RANK(H669,H$13:H$798,0)</f>
        <v>657</v>
      </c>
      <c r="B669" s="2">
        <v>139393</v>
      </c>
      <c r="C669" t="s">
        <v>1149</v>
      </c>
      <c r="D669" t="s">
        <v>1150</v>
      </c>
      <c r="E669" t="s">
        <v>44</v>
      </c>
      <c r="F669" t="s">
        <v>3</v>
      </c>
      <c r="G669" s="4">
        <v>944</v>
      </c>
      <c r="H669" s="4">
        <v>42680.82</v>
      </c>
      <c r="I669" s="4">
        <v>42048.006000000001</v>
      </c>
      <c r="J669" s="1">
        <v>1.5049798080793617</v>
      </c>
      <c r="K669" s="2">
        <v>2</v>
      </c>
      <c r="L669" s="1">
        <v>2</v>
      </c>
      <c r="M669" s="4">
        <v>45212.73</v>
      </c>
    </row>
    <row r="670" spans="1:13" x14ac:dyDescent="0.25">
      <c r="A670">
        <f>RANK(H670,H$13:H$798,0)</f>
        <v>658</v>
      </c>
      <c r="B670" s="2">
        <v>110592</v>
      </c>
      <c r="C670" t="s">
        <v>1151</v>
      </c>
      <c r="D670" t="s">
        <v>59</v>
      </c>
      <c r="E670" t="s">
        <v>12</v>
      </c>
      <c r="F670" t="s">
        <v>87</v>
      </c>
      <c r="G670" s="4">
        <v>24743</v>
      </c>
      <c r="H670" s="4">
        <v>42527.93</v>
      </c>
      <c r="I670" s="4">
        <v>40070.947</v>
      </c>
      <c r="J670" s="1">
        <v>6.1315820661787708</v>
      </c>
      <c r="K670" s="2">
        <v>2</v>
      </c>
      <c r="L670" s="1">
        <v>3</v>
      </c>
      <c r="M670" s="4">
        <v>1718.79</v>
      </c>
    </row>
    <row r="671" spans="1:13" x14ac:dyDescent="0.25">
      <c r="A671">
        <f>RANK(H671,H$13:H$798,0)</f>
        <v>659</v>
      </c>
      <c r="B671" s="2">
        <v>200217</v>
      </c>
      <c r="C671" t="s">
        <v>1152</v>
      </c>
      <c r="D671" t="s">
        <v>1153</v>
      </c>
      <c r="E671" t="s">
        <v>507</v>
      </c>
      <c r="F671" t="s">
        <v>3</v>
      </c>
      <c r="G671" s="4">
        <v>3520</v>
      </c>
      <c r="H671" s="4">
        <v>42495.521000000001</v>
      </c>
      <c r="I671" s="4">
        <v>41158.025999999998</v>
      </c>
      <c r="J671" s="1">
        <v>3.2496577945696492</v>
      </c>
      <c r="K671" s="2">
        <v>2</v>
      </c>
      <c r="L671" s="1">
        <v>4</v>
      </c>
      <c r="M671" s="4">
        <v>12072.59</v>
      </c>
    </row>
    <row r="672" spans="1:13" x14ac:dyDescent="0.25">
      <c r="A672">
        <f>RANK(H672,H$13:H$798,0)</f>
        <v>660</v>
      </c>
      <c r="B672" s="2">
        <v>147828</v>
      </c>
      <c r="C672" t="s">
        <v>1154</v>
      </c>
      <c r="D672" t="s">
        <v>1155</v>
      </c>
      <c r="E672" t="s">
        <v>30</v>
      </c>
      <c r="F672" t="s">
        <v>3</v>
      </c>
      <c r="G672" s="4">
        <v>3887</v>
      </c>
      <c r="H672" s="4">
        <v>42291.728000000003</v>
      </c>
      <c r="I672" s="4">
        <v>37517.175999999999</v>
      </c>
      <c r="J672" s="1">
        <v>12.726309677466139</v>
      </c>
      <c r="K672" s="2">
        <v>2</v>
      </c>
      <c r="L672" s="1">
        <v>3</v>
      </c>
      <c r="M672" s="4">
        <v>10880.3</v>
      </c>
    </row>
    <row r="673" spans="1:13" x14ac:dyDescent="0.25">
      <c r="A673">
        <f>RANK(H673,H$13:H$798,0)</f>
        <v>661</v>
      </c>
      <c r="B673" s="2">
        <v>196194</v>
      </c>
      <c r="C673" t="s">
        <v>1156</v>
      </c>
      <c r="D673" t="s">
        <v>1157</v>
      </c>
      <c r="E673" t="s">
        <v>33</v>
      </c>
      <c r="F673" t="s">
        <v>75</v>
      </c>
      <c r="G673" s="4">
        <v>7300</v>
      </c>
      <c r="H673" s="4">
        <v>41849.758999999998</v>
      </c>
      <c r="I673" s="4">
        <v>37417.887999999999</v>
      </c>
      <c r="J673" s="1">
        <v>11.844257484548566</v>
      </c>
      <c r="K673" s="2">
        <v>2</v>
      </c>
      <c r="L673" s="1">
        <v>3</v>
      </c>
      <c r="M673" s="4">
        <v>5732.84</v>
      </c>
    </row>
    <row r="674" spans="1:13" x14ac:dyDescent="0.25">
      <c r="A674">
        <f>RANK(H674,H$13:H$798,0)</f>
        <v>662</v>
      </c>
      <c r="B674" s="2">
        <v>153825</v>
      </c>
      <c r="C674" t="s">
        <v>1158</v>
      </c>
      <c r="D674" t="s">
        <v>692</v>
      </c>
      <c r="E674" t="s">
        <v>113</v>
      </c>
      <c r="F674" t="s">
        <v>3</v>
      </c>
      <c r="G674" s="4">
        <v>1414</v>
      </c>
      <c r="H674" s="4">
        <v>41583.966999999997</v>
      </c>
      <c r="I674" s="4">
        <v>36104.175000000003</v>
      </c>
      <c r="J674" s="1">
        <v>15.177723905891751</v>
      </c>
      <c r="K674" s="2">
        <v>2</v>
      </c>
      <c r="L674" s="1">
        <v>2</v>
      </c>
      <c r="M674" s="4">
        <v>29408.75</v>
      </c>
    </row>
    <row r="675" spans="1:13" x14ac:dyDescent="0.25">
      <c r="A675">
        <f>RANK(H675,H$13:H$798,0)</f>
        <v>663</v>
      </c>
      <c r="B675" s="2">
        <v>183211</v>
      </c>
      <c r="C675" t="s">
        <v>1159</v>
      </c>
      <c r="D675" t="s">
        <v>1160</v>
      </c>
      <c r="E675" t="s">
        <v>344</v>
      </c>
      <c r="F675" t="s">
        <v>3</v>
      </c>
      <c r="G675" s="4">
        <v>2367</v>
      </c>
      <c r="H675" s="4">
        <v>41389.108999999997</v>
      </c>
      <c r="I675" s="4">
        <v>39867.885999999999</v>
      </c>
      <c r="J675" s="1">
        <v>3.8156600528054039</v>
      </c>
      <c r="K675" s="2">
        <v>2</v>
      </c>
      <c r="L675" s="1">
        <v>3</v>
      </c>
      <c r="M675" s="4">
        <v>17485.89</v>
      </c>
    </row>
    <row r="676" spans="1:13" x14ac:dyDescent="0.25">
      <c r="A676">
        <f>RANK(H676,H$13:H$798,0)</f>
        <v>664</v>
      </c>
      <c r="B676" s="2">
        <v>110510</v>
      </c>
      <c r="C676" t="s">
        <v>1161</v>
      </c>
      <c r="D676" t="s">
        <v>1162</v>
      </c>
      <c r="E676" t="s">
        <v>12</v>
      </c>
      <c r="F676" t="s">
        <v>75</v>
      </c>
      <c r="G676" s="4">
        <v>17749</v>
      </c>
      <c r="H676" s="4">
        <v>41117.663999999997</v>
      </c>
      <c r="I676" s="4">
        <v>39641.519999999997</v>
      </c>
      <c r="J676" s="1">
        <v>3.7237320869633668</v>
      </c>
      <c r="K676" s="2">
        <v>2</v>
      </c>
      <c r="L676" s="1">
        <v>3</v>
      </c>
      <c r="M676" s="4">
        <v>2316.62</v>
      </c>
    </row>
    <row r="677" spans="1:13" x14ac:dyDescent="0.25">
      <c r="A677">
        <f>RANK(H677,H$13:H$798,0)</f>
        <v>665</v>
      </c>
      <c r="B677" s="2">
        <v>202763</v>
      </c>
      <c r="C677" t="s">
        <v>1163</v>
      </c>
      <c r="D677" t="s">
        <v>1164</v>
      </c>
      <c r="E677" t="s">
        <v>63</v>
      </c>
      <c r="F677" t="s">
        <v>3</v>
      </c>
      <c r="G677" s="4">
        <v>3880</v>
      </c>
      <c r="H677" s="4">
        <v>41099.928999999996</v>
      </c>
      <c r="I677" s="4">
        <v>39459.133999999998</v>
      </c>
      <c r="J677" s="1">
        <v>4.1582134063053644</v>
      </c>
      <c r="K677" s="2">
        <v>2</v>
      </c>
      <c r="L677" s="1">
        <v>4</v>
      </c>
      <c r="M677" s="4">
        <v>10592.77</v>
      </c>
    </row>
    <row r="678" spans="1:13" x14ac:dyDescent="0.25">
      <c r="A678">
        <f>RANK(H678,H$13:H$798,0)</f>
        <v>666</v>
      </c>
      <c r="B678" s="2">
        <v>193292</v>
      </c>
      <c r="C678" t="s">
        <v>1165</v>
      </c>
      <c r="D678" t="s">
        <v>1166</v>
      </c>
      <c r="E678" t="s">
        <v>33</v>
      </c>
      <c r="F678" t="s">
        <v>3</v>
      </c>
      <c r="G678" s="4">
        <v>3706</v>
      </c>
      <c r="H678" s="4">
        <v>40758.565000000002</v>
      </c>
      <c r="I678" s="4">
        <v>38240.438000000002</v>
      </c>
      <c r="J678" s="1">
        <v>6.5849847221938207</v>
      </c>
      <c r="K678" s="2">
        <v>2</v>
      </c>
      <c r="L678" s="1">
        <v>3</v>
      </c>
      <c r="M678" s="4">
        <v>10997.99</v>
      </c>
    </row>
    <row r="679" spans="1:13" x14ac:dyDescent="0.25">
      <c r="A679">
        <f>RANK(H679,H$13:H$798,0)</f>
        <v>667</v>
      </c>
      <c r="B679" s="2">
        <v>180416</v>
      </c>
      <c r="C679" t="s">
        <v>1167</v>
      </c>
      <c r="D679" t="s">
        <v>1168</v>
      </c>
      <c r="E679" t="s">
        <v>607</v>
      </c>
      <c r="F679" t="s">
        <v>75</v>
      </c>
      <c r="G679" s="4">
        <v>2196</v>
      </c>
      <c r="H679" s="4">
        <v>40730.648959999999</v>
      </c>
      <c r="I679" s="4">
        <v>39157.542240000002</v>
      </c>
      <c r="J679" s="1">
        <v>4.0173785942904372</v>
      </c>
      <c r="K679" s="2">
        <v>2</v>
      </c>
      <c r="L679" s="1">
        <v>3</v>
      </c>
      <c r="M679" s="4">
        <v>18547.650000000001</v>
      </c>
    </row>
    <row r="680" spans="1:13" x14ac:dyDescent="0.25">
      <c r="A680">
        <f>RANK(H680,H$13:H$798,0)</f>
        <v>668</v>
      </c>
      <c r="B680" s="2">
        <v>213826</v>
      </c>
      <c r="C680" t="s">
        <v>1169</v>
      </c>
      <c r="D680" t="s">
        <v>600</v>
      </c>
      <c r="E680" t="s">
        <v>20</v>
      </c>
      <c r="F680" t="s">
        <v>3</v>
      </c>
      <c r="G680" s="4">
        <v>2660.3</v>
      </c>
      <c r="H680" s="4">
        <v>40574.499000000003</v>
      </c>
      <c r="I680" s="4">
        <v>37962.249000000003</v>
      </c>
      <c r="J680" s="1">
        <v>6.881178193631257</v>
      </c>
      <c r="K680" s="2">
        <v>2</v>
      </c>
      <c r="L680" s="1">
        <v>3</v>
      </c>
      <c r="M680" s="4">
        <v>15251.85</v>
      </c>
    </row>
    <row r="681" spans="1:13" x14ac:dyDescent="0.25">
      <c r="A681">
        <f>RANK(H681,H$13:H$798,0)</f>
        <v>669</v>
      </c>
      <c r="B681" s="2">
        <v>203748</v>
      </c>
      <c r="C681" t="s">
        <v>1170</v>
      </c>
      <c r="D681" t="s">
        <v>1171</v>
      </c>
      <c r="E681" t="s">
        <v>63</v>
      </c>
      <c r="F681" t="s">
        <v>75</v>
      </c>
      <c r="G681" s="4">
        <v>14831</v>
      </c>
      <c r="H681" s="4">
        <v>40485.370000000003</v>
      </c>
      <c r="I681" s="4">
        <v>39356.201999999997</v>
      </c>
      <c r="J681" s="1">
        <v>2.8690979886728023</v>
      </c>
      <c r="K681" s="2">
        <v>2</v>
      </c>
      <c r="L681" s="1">
        <v>1</v>
      </c>
      <c r="M681" s="4">
        <v>2729.78</v>
      </c>
    </row>
    <row r="682" spans="1:13" x14ac:dyDescent="0.25">
      <c r="A682">
        <f>RANK(H682,H$13:H$798,0)</f>
        <v>670</v>
      </c>
      <c r="B682" s="2">
        <v>148496</v>
      </c>
      <c r="C682" t="s">
        <v>1172</v>
      </c>
      <c r="D682" t="s">
        <v>1173</v>
      </c>
      <c r="E682" t="s">
        <v>30</v>
      </c>
      <c r="F682" t="s">
        <v>3</v>
      </c>
      <c r="G682" s="4">
        <v>2661</v>
      </c>
      <c r="H682" s="4">
        <v>40444.991000000002</v>
      </c>
      <c r="I682" s="4">
        <v>35577.237999999998</v>
      </c>
      <c r="J682" s="1">
        <v>13.682211643298462</v>
      </c>
      <c r="K682" s="2">
        <v>2</v>
      </c>
      <c r="L682" s="1">
        <v>3</v>
      </c>
      <c r="M682" s="4">
        <v>15200</v>
      </c>
    </row>
    <row r="683" spans="1:13" x14ac:dyDescent="0.25">
      <c r="A683">
        <f>RANK(H683,H$13:H$798,0)</f>
        <v>671</v>
      </c>
      <c r="B683" s="2">
        <v>182634</v>
      </c>
      <c r="C683" t="s">
        <v>1174</v>
      </c>
      <c r="D683" t="s">
        <v>486</v>
      </c>
      <c r="E683" t="s">
        <v>344</v>
      </c>
      <c r="F683" t="s">
        <v>3</v>
      </c>
      <c r="G683" s="4">
        <v>841</v>
      </c>
      <c r="H683" s="4">
        <v>39449.442999999999</v>
      </c>
      <c r="I683" s="4">
        <v>37515.345999999998</v>
      </c>
      <c r="J683" s="1">
        <v>5.1554822391882018</v>
      </c>
      <c r="K683" s="2">
        <v>2</v>
      </c>
      <c r="L683" s="1">
        <v>2</v>
      </c>
      <c r="M683" s="4">
        <v>46907.78</v>
      </c>
    </row>
    <row r="684" spans="1:13" x14ac:dyDescent="0.25">
      <c r="A684">
        <f>RANK(H684,H$13:H$798,0)</f>
        <v>672</v>
      </c>
      <c r="B684" s="2">
        <v>161457</v>
      </c>
      <c r="C684" t="s">
        <v>1175</v>
      </c>
      <c r="D684" t="s">
        <v>1176</v>
      </c>
      <c r="E684" t="s">
        <v>137</v>
      </c>
      <c r="F684" t="s">
        <v>3</v>
      </c>
      <c r="G684" s="4">
        <v>6372</v>
      </c>
      <c r="H684" s="4">
        <v>39304.470999999998</v>
      </c>
      <c r="I684" s="4">
        <v>37613.784</v>
      </c>
      <c r="J684" s="1">
        <v>4.4948601821077032</v>
      </c>
      <c r="K684" s="2">
        <v>2</v>
      </c>
      <c r="L684" s="1">
        <v>4</v>
      </c>
      <c r="M684" s="4">
        <v>6168.31</v>
      </c>
    </row>
    <row r="685" spans="1:13" x14ac:dyDescent="0.25">
      <c r="A685">
        <f>RANK(H685,H$13:H$798,0)</f>
        <v>673</v>
      </c>
      <c r="B685" s="2">
        <v>196158</v>
      </c>
      <c r="C685" t="s">
        <v>1177</v>
      </c>
      <c r="D685" t="s">
        <v>1178</v>
      </c>
      <c r="E685" t="s">
        <v>33</v>
      </c>
      <c r="F685" t="s">
        <v>75</v>
      </c>
      <c r="G685" s="4">
        <v>4537</v>
      </c>
      <c r="H685" s="4">
        <v>38955.205999999998</v>
      </c>
      <c r="I685" s="4">
        <v>35354.023000000001</v>
      </c>
      <c r="J685" s="1">
        <v>10.186062842126898</v>
      </c>
      <c r="K685" s="2">
        <v>2</v>
      </c>
      <c r="L685" s="1">
        <v>3</v>
      </c>
      <c r="M685" s="4">
        <v>8586.1200000000008</v>
      </c>
    </row>
    <row r="686" spans="1:13" x14ac:dyDescent="0.25">
      <c r="A686">
        <f>RANK(H686,H$13:H$798,0)</f>
        <v>674</v>
      </c>
      <c r="B686" s="34">
        <v>240657</v>
      </c>
      <c r="C686" s="21" t="s">
        <v>1179</v>
      </c>
      <c r="D686" s="21" t="s">
        <v>1180</v>
      </c>
      <c r="E686" s="21" t="s">
        <v>368</v>
      </c>
      <c r="F686" s="21" t="s">
        <v>75</v>
      </c>
      <c r="G686" s="35">
        <v>1524</v>
      </c>
      <c r="H686" s="35">
        <v>38942.173999999999</v>
      </c>
      <c r="I686" s="35">
        <v>38713.928999999996</v>
      </c>
      <c r="J686" s="36">
        <v>0.58956816292141945</v>
      </c>
      <c r="K686" s="34">
        <v>2</v>
      </c>
      <c r="L686" s="36">
        <v>1</v>
      </c>
      <c r="M686" s="35">
        <v>25552.61</v>
      </c>
    </row>
    <row r="687" spans="1:13" x14ac:dyDescent="0.25">
      <c r="A687">
        <f>RANK(H687,H$13:H$798,0)</f>
        <v>675</v>
      </c>
      <c r="B687" s="2">
        <v>195128</v>
      </c>
      <c r="C687" t="s">
        <v>1181</v>
      </c>
      <c r="D687" t="s">
        <v>302</v>
      </c>
      <c r="E687" t="s">
        <v>33</v>
      </c>
      <c r="F687" t="s">
        <v>3</v>
      </c>
      <c r="G687" s="4">
        <v>2068</v>
      </c>
      <c r="H687" s="4">
        <v>38937.281999999999</v>
      </c>
      <c r="I687" s="4">
        <v>36976.981</v>
      </c>
      <c r="J687" s="1">
        <v>5.3014090036176817</v>
      </c>
      <c r="K687" s="2">
        <v>2</v>
      </c>
      <c r="L687" s="1">
        <v>4</v>
      </c>
      <c r="M687" s="4">
        <v>18828.47</v>
      </c>
    </row>
    <row r="688" spans="1:13" x14ac:dyDescent="0.25">
      <c r="A688">
        <f>RANK(H688,H$13:H$798,0)</f>
        <v>676</v>
      </c>
      <c r="B688" s="2">
        <v>211644</v>
      </c>
      <c r="C688" t="s">
        <v>1182</v>
      </c>
      <c r="D688" t="s">
        <v>1183</v>
      </c>
      <c r="E688" t="s">
        <v>20</v>
      </c>
      <c r="F688" t="s">
        <v>75</v>
      </c>
      <c r="G688" s="4">
        <v>3913</v>
      </c>
      <c r="H688" s="4">
        <v>38740.868000000002</v>
      </c>
      <c r="I688" s="4">
        <v>36580.01</v>
      </c>
      <c r="J688" s="1">
        <v>5.9072099761591099</v>
      </c>
      <c r="K688" s="2">
        <v>2</v>
      </c>
      <c r="L688" s="1">
        <v>3</v>
      </c>
      <c r="M688" s="4">
        <v>9900.5499999999993</v>
      </c>
    </row>
    <row r="689" spans="1:13" x14ac:dyDescent="0.25">
      <c r="A689">
        <f>RANK(H689,H$13:H$798,0)</f>
        <v>677</v>
      </c>
      <c r="B689" s="2">
        <v>215655</v>
      </c>
      <c r="C689" t="s">
        <v>1184</v>
      </c>
      <c r="D689" t="s">
        <v>1185</v>
      </c>
      <c r="E689" t="s">
        <v>20</v>
      </c>
      <c r="F689" t="s">
        <v>3</v>
      </c>
      <c r="G689" s="4">
        <v>4088</v>
      </c>
      <c r="H689" s="4">
        <v>37012.735999999997</v>
      </c>
      <c r="I689" s="4">
        <v>36296.163999999997</v>
      </c>
      <c r="J689" s="1">
        <v>1.9742361754812441</v>
      </c>
      <c r="K689" s="2">
        <v>2</v>
      </c>
      <c r="L689" s="1">
        <v>4</v>
      </c>
      <c r="M689" s="4">
        <v>9054</v>
      </c>
    </row>
    <row r="690" spans="1:13" x14ac:dyDescent="0.25">
      <c r="A690">
        <f>RANK(H690,H$13:H$798,0)</f>
        <v>678</v>
      </c>
      <c r="B690" s="2">
        <v>216010</v>
      </c>
      <c r="C690" t="s">
        <v>1186</v>
      </c>
      <c r="D690" t="s">
        <v>1187</v>
      </c>
      <c r="E690" t="s">
        <v>20</v>
      </c>
      <c r="F690" t="s">
        <v>75</v>
      </c>
      <c r="G690" s="4">
        <v>5536.9</v>
      </c>
      <c r="H690" s="4">
        <v>36906.574000000001</v>
      </c>
      <c r="I690" s="4">
        <v>35092.175000000003</v>
      </c>
      <c r="J690" s="1">
        <v>5.1703805762965604</v>
      </c>
      <c r="K690" s="2">
        <v>2</v>
      </c>
      <c r="L690" s="1">
        <v>3</v>
      </c>
      <c r="M690" s="4">
        <v>6665.57</v>
      </c>
    </row>
    <row r="691" spans="1:13" x14ac:dyDescent="0.25">
      <c r="A691">
        <f>RANK(H691,H$13:H$798,0)</f>
        <v>679</v>
      </c>
      <c r="B691" s="2">
        <v>211468</v>
      </c>
      <c r="C691" t="s">
        <v>1188</v>
      </c>
      <c r="D691" t="s">
        <v>504</v>
      </c>
      <c r="E691" t="s">
        <v>20</v>
      </c>
      <c r="F691" t="s">
        <v>3</v>
      </c>
      <c r="G691" s="4">
        <v>1589</v>
      </c>
      <c r="H691" s="4">
        <v>36651.307999999997</v>
      </c>
      <c r="I691" s="4">
        <v>34688.99</v>
      </c>
      <c r="J691" s="1">
        <v>5.6568899815186295</v>
      </c>
      <c r="K691" s="2">
        <v>2</v>
      </c>
      <c r="L691" s="1">
        <v>3</v>
      </c>
      <c r="M691" s="4">
        <v>23065.64</v>
      </c>
    </row>
    <row r="692" spans="1:13" x14ac:dyDescent="0.25">
      <c r="A692">
        <f>RANK(H692,H$13:H$798,0)</f>
        <v>680</v>
      </c>
      <c r="B692" s="2">
        <v>240338</v>
      </c>
      <c r="C692" t="s">
        <v>1189</v>
      </c>
      <c r="D692" t="s">
        <v>249</v>
      </c>
      <c r="E692" t="s">
        <v>74</v>
      </c>
      <c r="F692" t="s">
        <v>3</v>
      </c>
      <c r="G692" s="4">
        <v>1113</v>
      </c>
      <c r="H692" s="4">
        <v>36629.228999999999</v>
      </c>
      <c r="I692" s="4">
        <v>34597.357000000004</v>
      </c>
      <c r="J692" s="1">
        <v>5.8729110434649545</v>
      </c>
      <c r="K692" s="2">
        <v>2</v>
      </c>
      <c r="L692" s="1">
        <v>2</v>
      </c>
      <c r="M692" s="4">
        <v>32910.36</v>
      </c>
    </row>
    <row r="693" spans="1:13" x14ac:dyDescent="0.25">
      <c r="A693">
        <f>RANK(H693,H$13:H$798,0)</f>
        <v>681</v>
      </c>
      <c r="B693" s="2">
        <v>201654</v>
      </c>
      <c r="C693" t="s">
        <v>1190</v>
      </c>
      <c r="D693" t="s">
        <v>1191</v>
      </c>
      <c r="E693" t="s">
        <v>63</v>
      </c>
      <c r="F693" t="s">
        <v>3</v>
      </c>
      <c r="G693" s="4">
        <v>3796</v>
      </c>
      <c r="H693" s="4">
        <v>36485.21</v>
      </c>
      <c r="I693" s="4">
        <v>30201.789000000001</v>
      </c>
      <c r="J693" s="1">
        <v>20.804797358196225</v>
      </c>
      <c r="K693" s="2">
        <v>2</v>
      </c>
      <c r="L693" s="1">
        <v>3</v>
      </c>
      <c r="M693" s="4">
        <v>9611.49</v>
      </c>
    </row>
    <row r="694" spans="1:13" x14ac:dyDescent="0.25">
      <c r="A694">
        <f>RANK(H694,H$13:H$798,0)</f>
        <v>682</v>
      </c>
      <c r="B694" s="2">
        <v>179043</v>
      </c>
      <c r="C694" t="s">
        <v>1192</v>
      </c>
      <c r="D694" t="s">
        <v>1193</v>
      </c>
      <c r="E694" t="s">
        <v>41</v>
      </c>
      <c r="F694" t="s">
        <v>3</v>
      </c>
      <c r="G694" s="4">
        <v>2245</v>
      </c>
      <c r="H694" s="4">
        <v>36470.97</v>
      </c>
      <c r="I694" s="4">
        <v>33198.813999999998</v>
      </c>
      <c r="J694" s="1">
        <v>9.8562436597885785</v>
      </c>
      <c r="K694" s="2">
        <v>2</v>
      </c>
      <c r="L694" s="1">
        <v>3</v>
      </c>
      <c r="M694" s="4">
        <v>16245.42</v>
      </c>
    </row>
    <row r="695" spans="1:13" x14ac:dyDescent="0.25">
      <c r="A695">
        <f>RANK(H695,H$13:H$798,0)</f>
        <v>683</v>
      </c>
      <c r="B695" s="2">
        <v>189547</v>
      </c>
      <c r="C695" t="s">
        <v>1194</v>
      </c>
      <c r="D695" t="s">
        <v>779</v>
      </c>
      <c r="E695" t="s">
        <v>33</v>
      </c>
      <c r="F695" t="s">
        <v>75</v>
      </c>
      <c r="G695" s="4">
        <v>4853</v>
      </c>
      <c r="H695" s="4">
        <v>36240.633000000002</v>
      </c>
      <c r="I695" s="4">
        <v>33095.614000000001</v>
      </c>
      <c r="J695" s="1">
        <v>9.5028271722047517</v>
      </c>
      <c r="K695" s="2">
        <v>2</v>
      </c>
      <c r="L695" s="1">
        <v>1</v>
      </c>
      <c r="M695" s="4">
        <v>7467.68</v>
      </c>
    </row>
    <row r="696" spans="1:13" x14ac:dyDescent="0.25">
      <c r="A696">
        <f>RANK(H696,H$13:H$798,0)</f>
        <v>684</v>
      </c>
      <c r="B696" s="2">
        <v>196200</v>
      </c>
      <c r="C696" t="s">
        <v>1195</v>
      </c>
      <c r="D696" t="s">
        <v>614</v>
      </c>
      <c r="E696" t="s">
        <v>33</v>
      </c>
      <c r="F696" t="s">
        <v>75</v>
      </c>
      <c r="G696" s="4">
        <v>3629</v>
      </c>
      <c r="H696" s="4">
        <v>36187.644999999997</v>
      </c>
      <c r="I696" s="4">
        <v>33111.692000000003</v>
      </c>
      <c r="J696" s="1">
        <v>9.2896279658556686</v>
      </c>
      <c r="K696" s="2">
        <v>2</v>
      </c>
      <c r="L696" s="1">
        <v>3</v>
      </c>
      <c r="M696" s="4">
        <v>9971.7999999999993</v>
      </c>
    </row>
    <row r="697" spans="1:13" x14ac:dyDescent="0.25">
      <c r="A697">
        <f>RANK(H697,H$13:H$798,0)</f>
        <v>685</v>
      </c>
      <c r="B697" s="2">
        <v>147536</v>
      </c>
      <c r="C697" t="s">
        <v>1196</v>
      </c>
      <c r="D697" t="s">
        <v>1197</v>
      </c>
      <c r="E697" t="s">
        <v>30</v>
      </c>
      <c r="F697" t="s">
        <v>3</v>
      </c>
      <c r="G697" s="4">
        <v>4500</v>
      </c>
      <c r="H697" s="4">
        <v>36103.396999999997</v>
      </c>
      <c r="I697" s="4">
        <v>36458.084999999999</v>
      </c>
      <c r="J697" s="1">
        <v>-0.97286514088713638</v>
      </c>
      <c r="K697" s="2">
        <v>2</v>
      </c>
      <c r="L697" s="1">
        <v>4</v>
      </c>
      <c r="M697" s="4">
        <v>8022.98</v>
      </c>
    </row>
    <row r="698" spans="1:13" x14ac:dyDescent="0.25">
      <c r="A698">
        <f>RANK(H698,H$13:H$798,0)</f>
        <v>686</v>
      </c>
      <c r="B698" s="2">
        <v>110370</v>
      </c>
      <c r="C698" t="s">
        <v>1198</v>
      </c>
      <c r="D698" t="s">
        <v>110</v>
      </c>
      <c r="E698" t="s">
        <v>12</v>
      </c>
      <c r="F698" t="s">
        <v>3</v>
      </c>
      <c r="G698" s="4">
        <v>1838.06</v>
      </c>
      <c r="H698" s="4">
        <v>36040</v>
      </c>
      <c r="I698" s="4">
        <v>33722</v>
      </c>
      <c r="J698" s="1">
        <v>6.8738508985232194</v>
      </c>
      <c r="K698" s="2">
        <v>2</v>
      </c>
      <c r="L698" s="1">
        <v>5</v>
      </c>
      <c r="M698" s="4">
        <v>19607.63</v>
      </c>
    </row>
    <row r="699" spans="1:13" x14ac:dyDescent="0.25">
      <c r="A699">
        <f>RANK(H699,H$13:H$798,0)</f>
        <v>687</v>
      </c>
      <c r="B699" s="2">
        <v>163578</v>
      </c>
      <c r="C699" t="s">
        <v>1199</v>
      </c>
      <c r="D699" t="s">
        <v>53</v>
      </c>
      <c r="E699" t="s">
        <v>54</v>
      </c>
      <c r="F699" t="s">
        <v>3</v>
      </c>
      <c r="G699" s="4">
        <v>1687</v>
      </c>
      <c r="H699" s="4">
        <v>35834.970999999998</v>
      </c>
      <c r="I699" s="4">
        <v>36565.779000000002</v>
      </c>
      <c r="J699" s="1">
        <v>-1.9986118714987708</v>
      </c>
      <c r="K699" s="2">
        <v>2</v>
      </c>
      <c r="L699" s="1">
        <v>3</v>
      </c>
      <c r="M699" s="4">
        <v>21241.83</v>
      </c>
    </row>
    <row r="700" spans="1:13" x14ac:dyDescent="0.25">
      <c r="A700">
        <f>RANK(H700,H$13:H$798,0)</f>
        <v>688</v>
      </c>
      <c r="B700" s="2">
        <v>113193</v>
      </c>
      <c r="C700" t="s">
        <v>1200</v>
      </c>
      <c r="D700" t="s">
        <v>567</v>
      </c>
      <c r="E700" t="s">
        <v>12</v>
      </c>
      <c r="F700" t="s">
        <v>75</v>
      </c>
      <c r="G700" s="4">
        <v>3728</v>
      </c>
      <c r="H700" s="4">
        <v>35195.58</v>
      </c>
      <c r="I700" s="4">
        <v>33882.01</v>
      </c>
      <c r="J700" s="1">
        <v>3.8768951428796572</v>
      </c>
      <c r="K700" s="2">
        <v>2</v>
      </c>
      <c r="L700" s="1">
        <v>1</v>
      </c>
      <c r="M700" s="4">
        <v>9440.8700000000008</v>
      </c>
    </row>
    <row r="701" spans="1:13" x14ac:dyDescent="0.25">
      <c r="A701">
        <f>RANK(H701,H$13:H$798,0)</f>
        <v>689</v>
      </c>
      <c r="B701" s="2">
        <v>127556</v>
      </c>
      <c r="C701" t="s">
        <v>1201</v>
      </c>
      <c r="D701" t="s">
        <v>1202</v>
      </c>
      <c r="E701" t="s">
        <v>158</v>
      </c>
      <c r="F701" t="s">
        <v>75</v>
      </c>
      <c r="G701" s="4">
        <v>7875</v>
      </c>
      <c r="H701" s="4">
        <v>34874.565999999999</v>
      </c>
      <c r="I701" s="4">
        <v>30157.885999999999</v>
      </c>
      <c r="J701" s="1">
        <v>15.63995566532747</v>
      </c>
      <c r="K701" s="2">
        <v>2</v>
      </c>
      <c r="L701" s="1">
        <v>3</v>
      </c>
      <c r="M701" s="4">
        <v>4428.5200000000004</v>
      </c>
    </row>
    <row r="702" spans="1:13" x14ac:dyDescent="0.25">
      <c r="A702">
        <f>RANK(H702,H$13:H$798,0)</f>
        <v>690</v>
      </c>
      <c r="B702" s="2">
        <v>130314</v>
      </c>
      <c r="C702" t="s">
        <v>1203</v>
      </c>
      <c r="D702" t="s">
        <v>640</v>
      </c>
      <c r="E702" t="s">
        <v>10</v>
      </c>
      <c r="F702" t="s">
        <v>3</v>
      </c>
      <c r="G702" s="4">
        <v>1946</v>
      </c>
      <c r="H702" s="4">
        <v>34781</v>
      </c>
      <c r="I702" s="4">
        <v>33519</v>
      </c>
      <c r="J702" s="1">
        <v>3.7650287896416961</v>
      </c>
      <c r="K702" s="2">
        <v>2</v>
      </c>
      <c r="L702" s="1">
        <v>4</v>
      </c>
      <c r="M702" s="4">
        <v>17873.07</v>
      </c>
    </row>
    <row r="703" spans="1:13" x14ac:dyDescent="0.25">
      <c r="A703">
        <f>RANK(H703,H$13:H$798,0)</f>
        <v>691</v>
      </c>
      <c r="B703" s="2">
        <v>211981</v>
      </c>
      <c r="C703" t="s">
        <v>1204</v>
      </c>
      <c r="D703" t="s">
        <v>1205</v>
      </c>
      <c r="E703" t="s">
        <v>20</v>
      </c>
      <c r="F703" t="s">
        <v>3</v>
      </c>
      <c r="G703" s="4">
        <v>2117</v>
      </c>
      <c r="H703" s="4">
        <v>33623.103999999999</v>
      </c>
      <c r="I703" s="4">
        <v>32858.944000000003</v>
      </c>
      <c r="J703" s="1">
        <v>2.3255768657690159</v>
      </c>
      <c r="K703" s="2">
        <v>2</v>
      </c>
      <c r="L703" s="1">
        <v>3</v>
      </c>
      <c r="M703" s="4">
        <v>15882.43</v>
      </c>
    </row>
    <row r="704" spans="1:13" x14ac:dyDescent="0.25">
      <c r="A704">
        <f>RANK(H704,H$13:H$798,0)</f>
        <v>692</v>
      </c>
      <c r="B704" s="2">
        <v>163912</v>
      </c>
      <c r="C704" t="s">
        <v>1206</v>
      </c>
      <c r="D704" t="s">
        <v>1207</v>
      </c>
      <c r="E704" t="s">
        <v>54</v>
      </c>
      <c r="F704" t="s">
        <v>75</v>
      </c>
      <c r="G704" s="4">
        <v>1549</v>
      </c>
      <c r="H704" s="4">
        <v>33369.593000000001</v>
      </c>
      <c r="I704" s="4">
        <v>32872.483</v>
      </c>
      <c r="J704" s="1">
        <v>1.5122374540432513</v>
      </c>
      <c r="K704" s="2">
        <v>2</v>
      </c>
      <c r="L704" s="1">
        <v>2</v>
      </c>
      <c r="M704" s="4">
        <v>21542.67</v>
      </c>
    </row>
    <row r="705" spans="1:13" x14ac:dyDescent="0.25">
      <c r="A705">
        <f>RANK(H705,H$13:H$798,0)</f>
        <v>693</v>
      </c>
      <c r="B705" s="2">
        <v>198260</v>
      </c>
      <c r="C705" t="s">
        <v>1208</v>
      </c>
      <c r="D705" t="s">
        <v>561</v>
      </c>
      <c r="E705" t="s">
        <v>36</v>
      </c>
      <c r="F705" t="s">
        <v>75</v>
      </c>
      <c r="G705" s="4">
        <v>6878.5</v>
      </c>
      <c r="H705" s="4">
        <v>33276.487999999998</v>
      </c>
      <c r="I705" s="4">
        <v>30399.328000000001</v>
      </c>
      <c r="J705" s="1">
        <v>9.4645513216607817</v>
      </c>
      <c r="K705" s="2">
        <v>2</v>
      </c>
      <c r="L705" s="1">
        <v>1</v>
      </c>
      <c r="M705" s="4">
        <v>4837.75</v>
      </c>
    </row>
    <row r="706" spans="1:13" x14ac:dyDescent="0.25">
      <c r="A706">
        <f>RANK(H706,H$13:H$798,0)</f>
        <v>694</v>
      </c>
      <c r="B706" s="2">
        <v>154059</v>
      </c>
      <c r="C706" t="s">
        <v>1209</v>
      </c>
      <c r="D706" t="s">
        <v>1210</v>
      </c>
      <c r="E706" t="s">
        <v>113</v>
      </c>
      <c r="F706" t="s">
        <v>7</v>
      </c>
      <c r="G706" s="4">
        <v>1940</v>
      </c>
      <c r="H706" s="4">
        <v>32433.137999999999</v>
      </c>
      <c r="I706" s="4">
        <v>30294.512999999999</v>
      </c>
      <c r="J706" s="1">
        <v>7.0594467057450299</v>
      </c>
      <c r="K706" s="2">
        <v>2</v>
      </c>
      <c r="L706" s="1">
        <v>1</v>
      </c>
      <c r="M706" s="4">
        <v>16718.11</v>
      </c>
    </row>
    <row r="707" spans="1:13" x14ac:dyDescent="0.25">
      <c r="A707">
        <f>RANK(H707,H$13:H$798,0)</f>
        <v>695</v>
      </c>
      <c r="B707" s="2">
        <v>187134</v>
      </c>
      <c r="C707" t="s">
        <v>1211</v>
      </c>
      <c r="D707" t="s">
        <v>1212</v>
      </c>
      <c r="E707" t="s">
        <v>15</v>
      </c>
      <c r="F707" t="s">
        <v>7</v>
      </c>
      <c r="G707" s="4">
        <v>7285</v>
      </c>
      <c r="H707" s="4">
        <v>32189.324860000001</v>
      </c>
      <c r="I707" s="4">
        <v>26788.38536</v>
      </c>
      <c r="J707" s="1">
        <v>20.161496960039251</v>
      </c>
      <c r="K707" s="2">
        <v>2</v>
      </c>
      <c r="L707" s="1">
        <v>3</v>
      </c>
      <c r="M707" s="4">
        <v>4418.58</v>
      </c>
    </row>
    <row r="708" spans="1:13" x14ac:dyDescent="0.25">
      <c r="A708">
        <f>RANK(H708,H$13:H$798,0)</f>
        <v>696</v>
      </c>
      <c r="B708" s="2">
        <v>180595</v>
      </c>
      <c r="C708" t="s">
        <v>1213</v>
      </c>
      <c r="D708" t="s">
        <v>1214</v>
      </c>
      <c r="E708" t="s">
        <v>607</v>
      </c>
      <c r="F708" t="s">
        <v>3</v>
      </c>
      <c r="G708" s="4">
        <v>970</v>
      </c>
      <c r="H708" s="4">
        <v>32055.242999999999</v>
      </c>
      <c r="I708" s="4">
        <v>30891.014999999999</v>
      </c>
      <c r="J708" s="1">
        <v>3.7688240415538274</v>
      </c>
      <c r="K708" s="2">
        <v>2</v>
      </c>
      <c r="L708" s="1">
        <v>3</v>
      </c>
      <c r="M708" s="4">
        <v>33046.639999999999</v>
      </c>
    </row>
    <row r="709" spans="1:13" x14ac:dyDescent="0.25">
      <c r="A709">
        <f>RANK(H709,H$13:H$798,0)</f>
        <v>697</v>
      </c>
      <c r="B709" s="2">
        <v>168430</v>
      </c>
      <c r="C709" t="s">
        <v>1215</v>
      </c>
      <c r="D709" t="s">
        <v>288</v>
      </c>
      <c r="E709" t="s">
        <v>2</v>
      </c>
      <c r="F709" t="s">
        <v>75</v>
      </c>
      <c r="G709" s="4">
        <v>4756.3</v>
      </c>
      <c r="H709" s="4">
        <v>32013.063999999998</v>
      </c>
      <c r="I709" s="4">
        <v>30519.984</v>
      </c>
      <c r="J709" s="1">
        <v>4.8921388687490728</v>
      </c>
      <c r="K709" s="2">
        <v>2</v>
      </c>
      <c r="L709" s="1">
        <v>3</v>
      </c>
      <c r="M709" s="4">
        <v>6730.67</v>
      </c>
    </row>
    <row r="710" spans="1:13" x14ac:dyDescent="0.25">
      <c r="A710">
        <f>RANK(H710,H$13:H$798,0)</f>
        <v>698</v>
      </c>
      <c r="B710" s="2">
        <v>213349</v>
      </c>
      <c r="C710" t="s">
        <v>1216</v>
      </c>
      <c r="D710" t="s">
        <v>1217</v>
      </c>
      <c r="E710" t="s">
        <v>20</v>
      </c>
      <c r="F710" t="s">
        <v>75</v>
      </c>
      <c r="G710" s="4">
        <v>7528</v>
      </c>
      <c r="H710" s="4">
        <v>31867.171999999999</v>
      </c>
      <c r="I710" s="4">
        <v>30624.714</v>
      </c>
      <c r="J710" s="1">
        <v>4.0570436021051455</v>
      </c>
      <c r="K710" s="2">
        <v>2</v>
      </c>
      <c r="L710" s="1">
        <v>3</v>
      </c>
      <c r="M710" s="4">
        <v>4233.1499999999996</v>
      </c>
    </row>
    <row r="711" spans="1:13" x14ac:dyDescent="0.25">
      <c r="A711">
        <f>RANK(H711,H$13:H$798,0)</f>
        <v>699</v>
      </c>
      <c r="B711" s="2">
        <v>139764</v>
      </c>
      <c r="C711" t="s">
        <v>1218</v>
      </c>
      <c r="D711" t="s">
        <v>1219</v>
      </c>
      <c r="E711" t="s">
        <v>44</v>
      </c>
      <c r="F711" t="s">
        <v>75</v>
      </c>
      <c r="G711" s="4">
        <v>2256</v>
      </c>
      <c r="H711" s="4">
        <v>31375.475999999999</v>
      </c>
      <c r="I711" s="4">
        <v>30729.507000000001</v>
      </c>
      <c r="J711" s="1">
        <v>2.1021131253423535</v>
      </c>
      <c r="K711" s="2">
        <v>2</v>
      </c>
      <c r="L711" s="1">
        <v>3</v>
      </c>
      <c r="M711" s="4">
        <v>13907.57</v>
      </c>
    </row>
    <row r="712" spans="1:13" x14ac:dyDescent="0.25">
      <c r="A712">
        <f>RANK(H712,H$13:H$798,0)</f>
        <v>700</v>
      </c>
      <c r="B712" s="2">
        <v>194958</v>
      </c>
      <c r="C712" t="s">
        <v>1220</v>
      </c>
      <c r="D712" t="s">
        <v>245</v>
      </c>
      <c r="E712" t="s">
        <v>33</v>
      </c>
      <c r="F712" t="s">
        <v>3</v>
      </c>
      <c r="G712" s="4">
        <v>1736</v>
      </c>
      <c r="H712" s="4">
        <v>31299.53</v>
      </c>
      <c r="I712" s="4">
        <v>27569.616000000002</v>
      </c>
      <c r="J712" s="1">
        <v>13.529074906230093</v>
      </c>
      <c r="K712" s="2">
        <v>2</v>
      </c>
      <c r="L712" s="1">
        <v>3</v>
      </c>
      <c r="M712" s="4">
        <v>18029.68</v>
      </c>
    </row>
    <row r="713" spans="1:13" x14ac:dyDescent="0.25">
      <c r="A713">
        <f>RANK(H713,H$13:H$798,0)</f>
        <v>701</v>
      </c>
      <c r="B713" s="2">
        <v>192749</v>
      </c>
      <c r="C713" t="s">
        <v>1221</v>
      </c>
      <c r="D713" t="s">
        <v>1222</v>
      </c>
      <c r="E713" t="s">
        <v>33</v>
      </c>
      <c r="F713" t="s">
        <v>3</v>
      </c>
      <c r="G713" s="4">
        <v>2056</v>
      </c>
      <c r="H713" s="4">
        <v>31170.262999999999</v>
      </c>
      <c r="I713" s="4">
        <v>30838.69</v>
      </c>
      <c r="J713" s="1">
        <v>1.0751851002750128</v>
      </c>
      <c r="K713" s="2">
        <v>2</v>
      </c>
      <c r="L713" s="1">
        <v>3</v>
      </c>
      <c r="M713" s="4">
        <v>15160.63</v>
      </c>
    </row>
    <row r="714" spans="1:13" x14ac:dyDescent="0.25">
      <c r="A714">
        <f>RANK(H714,H$13:H$798,0)</f>
        <v>702</v>
      </c>
      <c r="B714" s="2">
        <v>205470</v>
      </c>
      <c r="C714" t="s">
        <v>1223</v>
      </c>
      <c r="D714" t="s">
        <v>332</v>
      </c>
      <c r="E714" t="s">
        <v>63</v>
      </c>
      <c r="F714" t="s">
        <v>7</v>
      </c>
      <c r="G714" s="5" t="s">
        <v>1363</v>
      </c>
      <c r="H714" s="4">
        <v>30717.721000000001</v>
      </c>
      <c r="I714" s="4">
        <v>30913.469000000001</v>
      </c>
      <c r="J714" s="1">
        <v>-0.63321266209237004</v>
      </c>
      <c r="K714" s="2">
        <v>2</v>
      </c>
      <c r="L714" s="1">
        <v>1</v>
      </c>
      <c r="M714" s="5" t="s">
        <v>1363</v>
      </c>
    </row>
    <row r="715" spans="1:13" x14ac:dyDescent="0.25">
      <c r="A715">
        <f>RANK(H715,H$13:H$798,0)</f>
        <v>703</v>
      </c>
      <c r="B715" s="2">
        <v>130493</v>
      </c>
      <c r="C715" t="s">
        <v>1224</v>
      </c>
      <c r="D715" t="s">
        <v>9</v>
      </c>
      <c r="E715" t="s">
        <v>10</v>
      </c>
      <c r="F715" t="s">
        <v>75</v>
      </c>
      <c r="G715" s="4">
        <v>8427</v>
      </c>
      <c r="H715" s="4">
        <v>30519.588</v>
      </c>
      <c r="I715" s="4">
        <v>27957.098000000002</v>
      </c>
      <c r="J715" s="1">
        <v>9.1657939604461021</v>
      </c>
      <c r="K715" s="2">
        <v>2</v>
      </c>
      <c r="L715" s="1">
        <v>3</v>
      </c>
      <c r="M715" s="4">
        <v>3621.64</v>
      </c>
    </row>
    <row r="716" spans="1:13" x14ac:dyDescent="0.25">
      <c r="A716">
        <f>RANK(H716,H$13:H$798,0)</f>
        <v>704</v>
      </c>
      <c r="B716" s="2">
        <v>219383</v>
      </c>
      <c r="C716" t="s">
        <v>1225</v>
      </c>
      <c r="D716" t="s">
        <v>1226</v>
      </c>
      <c r="E716" t="s">
        <v>755</v>
      </c>
      <c r="F716" t="s">
        <v>3</v>
      </c>
      <c r="G716" s="4">
        <v>1310</v>
      </c>
      <c r="H716" s="4">
        <v>30327.080999999998</v>
      </c>
      <c r="I716" s="4">
        <v>30434.936000000002</v>
      </c>
      <c r="J716" s="1">
        <v>-0.35437892821592659</v>
      </c>
      <c r="K716" s="2">
        <v>2</v>
      </c>
      <c r="L716" s="1">
        <v>3</v>
      </c>
      <c r="M716" s="4">
        <v>23150.44</v>
      </c>
    </row>
    <row r="717" spans="1:13" x14ac:dyDescent="0.25">
      <c r="A717">
        <f>RANK(H717,H$13:H$798,0)</f>
        <v>705</v>
      </c>
      <c r="B717" s="2">
        <v>115755</v>
      </c>
      <c r="C717" t="s">
        <v>1227</v>
      </c>
      <c r="D717" t="s">
        <v>1228</v>
      </c>
      <c r="E717" t="s">
        <v>12</v>
      </c>
      <c r="F717" t="s">
        <v>75</v>
      </c>
      <c r="G717" s="4">
        <v>7059.2</v>
      </c>
      <c r="H717" s="4">
        <v>30294.242999999999</v>
      </c>
      <c r="I717" s="4">
        <v>30058.632000000001</v>
      </c>
      <c r="J717" s="1">
        <v>0.78383806688207613</v>
      </c>
      <c r="K717" s="2">
        <v>2</v>
      </c>
      <c r="L717" s="1">
        <v>3</v>
      </c>
      <c r="M717" s="4">
        <v>4291.46</v>
      </c>
    </row>
    <row r="718" spans="1:13" x14ac:dyDescent="0.25">
      <c r="A718">
        <f>RANK(H718,H$13:H$798,0)</f>
        <v>706</v>
      </c>
      <c r="B718" s="2">
        <v>232672</v>
      </c>
      <c r="C718" t="s">
        <v>1229</v>
      </c>
      <c r="D718" t="s">
        <v>1230</v>
      </c>
      <c r="E718" t="s">
        <v>49</v>
      </c>
      <c r="F718" t="s">
        <v>3</v>
      </c>
      <c r="G718" s="4">
        <v>1902</v>
      </c>
      <c r="H718" s="4">
        <v>30179.453000000001</v>
      </c>
      <c r="I718" s="4">
        <v>33352.607000000004</v>
      </c>
      <c r="J718" s="1">
        <v>-9.5139609326491392</v>
      </c>
      <c r="K718" s="2">
        <v>2</v>
      </c>
      <c r="L718" s="1">
        <v>4</v>
      </c>
      <c r="M718" s="4">
        <v>15867.22</v>
      </c>
    </row>
    <row r="719" spans="1:13" x14ac:dyDescent="0.25">
      <c r="A719">
        <f>RANK(H719,H$13:H$798,0)</f>
        <v>707</v>
      </c>
      <c r="B719" s="2">
        <v>137476</v>
      </c>
      <c r="C719" t="s">
        <v>1231</v>
      </c>
      <c r="D719" t="s">
        <v>1232</v>
      </c>
      <c r="E719" t="s">
        <v>127</v>
      </c>
      <c r="F719" t="s">
        <v>3</v>
      </c>
      <c r="G719" s="4">
        <v>2763</v>
      </c>
      <c r="H719" s="4">
        <v>29604.893</v>
      </c>
      <c r="I719" s="4">
        <v>29003.125</v>
      </c>
      <c r="J719" s="1">
        <v>2.0748384872319794</v>
      </c>
      <c r="K719" s="2">
        <v>2</v>
      </c>
      <c r="L719" s="1">
        <v>3</v>
      </c>
      <c r="M719" s="4">
        <v>10714.76</v>
      </c>
    </row>
    <row r="720" spans="1:13" x14ac:dyDescent="0.25">
      <c r="A720">
        <f>RANK(H720,H$13:H$798,0)</f>
        <v>708</v>
      </c>
      <c r="B720" s="2">
        <v>177144</v>
      </c>
      <c r="C720" t="s">
        <v>1233</v>
      </c>
      <c r="D720" t="s">
        <v>483</v>
      </c>
      <c r="E720" t="s">
        <v>41</v>
      </c>
      <c r="F720" t="s">
        <v>3</v>
      </c>
      <c r="G720" s="4">
        <v>1035</v>
      </c>
      <c r="H720" s="4">
        <v>29466.766</v>
      </c>
      <c r="I720" s="4">
        <v>28351.202000000001</v>
      </c>
      <c r="J720" s="1">
        <v>3.9348031875332778</v>
      </c>
      <c r="K720" s="2">
        <v>2</v>
      </c>
      <c r="L720" s="1">
        <v>2</v>
      </c>
      <c r="M720" s="4">
        <v>28470.31</v>
      </c>
    </row>
    <row r="721" spans="1:13" x14ac:dyDescent="0.25">
      <c r="A721">
        <f>RANK(H721,H$13:H$798,0)</f>
        <v>709</v>
      </c>
      <c r="B721" s="2">
        <v>153126</v>
      </c>
      <c r="C721" t="s">
        <v>1234</v>
      </c>
      <c r="D721" t="s">
        <v>692</v>
      </c>
      <c r="E721" t="s">
        <v>113</v>
      </c>
      <c r="F721" t="s">
        <v>3</v>
      </c>
      <c r="G721" s="4">
        <v>1004</v>
      </c>
      <c r="H721" s="4">
        <v>29340.142</v>
      </c>
      <c r="I721" s="4">
        <v>29216.814999999999</v>
      </c>
      <c r="J721" s="1">
        <v>0.42210966527323784</v>
      </c>
      <c r="K721" s="2">
        <v>2</v>
      </c>
      <c r="L721" s="1">
        <v>4</v>
      </c>
      <c r="M721" s="4">
        <v>29223.25</v>
      </c>
    </row>
    <row r="722" spans="1:13" x14ac:dyDescent="0.25">
      <c r="A722">
        <f>RANK(H722,H$13:H$798,0)</f>
        <v>710</v>
      </c>
      <c r="B722" s="2">
        <v>236896</v>
      </c>
      <c r="C722" t="s">
        <v>1235</v>
      </c>
      <c r="D722" t="s">
        <v>1236</v>
      </c>
      <c r="E722" t="s">
        <v>82</v>
      </c>
      <c r="F722" t="s">
        <v>3</v>
      </c>
      <c r="G722" s="4">
        <v>1701</v>
      </c>
      <c r="H722" s="4">
        <v>28835.887999999999</v>
      </c>
      <c r="I722" s="4">
        <v>27432.758999999998</v>
      </c>
      <c r="J722" s="1">
        <v>5.1147935940384306</v>
      </c>
      <c r="K722" s="2">
        <v>2</v>
      </c>
      <c r="L722" s="1">
        <v>3</v>
      </c>
      <c r="M722" s="4">
        <v>16952.32</v>
      </c>
    </row>
    <row r="723" spans="1:13" x14ac:dyDescent="0.25">
      <c r="A723">
        <f>RANK(H723,H$13:H$798,0)</f>
        <v>711</v>
      </c>
      <c r="B723" s="3" t="s">
        <v>1363</v>
      </c>
      <c r="C723" t="s">
        <v>1237</v>
      </c>
      <c r="D723" t="s">
        <v>129</v>
      </c>
      <c r="E723" t="s">
        <v>130</v>
      </c>
      <c r="F723" t="s">
        <v>3</v>
      </c>
      <c r="G723" s="4">
        <v>922</v>
      </c>
      <c r="H723" s="4">
        <v>28300.406999999999</v>
      </c>
      <c r="I723" s="4">
        <v>27408.523000000001</v>
      </c>
      <c r="J723" s="1">
        <v>3.2540388987761149</v>
      </c>
      <c r="K723" s="2">
        <v>3</v>
      </c>
      <c r="L723" s="1">
        <v>6</v>
      </c>
      <c r="M723" s="4">
        <v>30694.58</v>
      </c>
    </row>
    <row r="724" spans="1:13" x14ac:dyDescent="0.25">
      <c r="A724">
        <f>RANK(H724,H$13:H$798,0)</f>
        <v>712</v>
      </c>
      <c r="B724" s="2">
        <v>198066</v>
      </c>
      <c r="C724" t="s">
        <v>1238</v>
      </c>
      <c r="D724" t="s">
        <v>1239</v>
      </c>
      <c r="E724" t="s">
        <v>36</v>
      </c>
      <c r="F724" t="s">
        <v>3</v>
      </c>
      <c r="G724" s="4">
        <v>734</v>
      </c>
      <c r="H724" s="4">
        <v>28160.258999999998</v>
      </c>
      <c r="I724" s="4">
        <v>28719.371999999999</v>
      </c>
      <c r="J724" s="1">
        <v>-1.9468148537509846</v>
      </c>
      <c r="K724" s="2">
        <v>2</v>
      </c>
      <c r="L724" s="1">
        <v>2</v>
      </c>
      <c r="M724" s="4">
        <v>38365.480000000003</v>
      </c>
    </row>
    <row r="725" spans="1:13" x14ac:dyDescent="0.25">
      <c r="A725">
        <f>RANK(H725,H$13:H$798,0)</f>
        <v>713</v>
      </c>
      <c r="B725" s="2">
        <v>218885</v>
      </c>
      <c r="C725" t="s">
        <v>1240</v>
      </c>
      <c r="D725" t="s">
        <v>1241</v>
      </c>
      <c r="E725" t="s">
        <v>285</v>
      </c>
      <c r="F725" t="s">
        <v>75</v>
      </c>
      <c r="G725" s="4">
        <v>4417</v>
      </c>
      <c r="H725" s="4">
        <v>27343.052</v>
      </c>
      <c r="I725" s="4">
        <v>25599.33</v>
      </c>
      <c r="J725" s="1">
        <v>6.8115923346431257</v>
      </c>
      <c r="K725" s="2">
        <v>2</v>
      </c>
      <c r="L725" s="1">
        <v>1</v>
      </c>
      <c r="M725" s="4">
        <v>6190.41</v>
      </c>
    </row>
    <row r="726" spans="1:13" x14ac:dyDescent="0.25">
      <c r="A726">
        <f>RANK(H726,H$13:H$798,0)</f>
        <v>714</v>
      </c>
      <c r="B726" s="2">
        <v>409698</v>
      </c>
      <c r="C726" t="s">
        <v>1242</v>
      </c>
      <c r="D726" t="s">
        <v>1243</v>
      </c>
      <c r="E726" t="s">
        <v>12</v>
      </c>
      <c r="F726" t="s">
        <v>7</v>
      </c>
      <c r="G726" s="4">
        <v>6818</v>
      </c>
      <c r="H726" s="4">
        <v>27083.828000000001</v>
      </c>
      <c r="I726" s="4">
        <v>23915.332999999999</v>
      </c>
      <c r="J726" s="1">
        <v>13.248801511565834</v>
      </c>
      <c r="K726" s="2">
        <v>2</v>
      </c>
      <c r="L726" s="1">
        <v>3</v>
      </c>
      <c r="M726" s="4">
        <v>3972.4</v>
      </c>
    </row>
    <row r="727" spans="1:13" x14ac:dyDescent="0.25">
      <c r="A727">
        <f>RANK(H727,H$13:H$798,0)</f>
        <v>715</v>
      </c>
      <c r="B727" s="2">
        <v>149231</v>
      </c>
      <c r="C727" t="s">
        <v>1244</v>
      </c>
      <c r="D727" t="s">
        <v>1245</v>
      </c>
      <c r="E727" t="s">
        <v>30</v>
      </c>
      <c r="F727" t="s">
        <v>7</v>
      </c>
      <c r="G727" s="4">
        <v>11262</v>
      </c>
      <c r="H727" s="4">
        <v>26568</v>
      </c>
      <c r="I727" s="4">
        <v>23680</v>
      </c>
      <c r="J727" s="1">
        <v>12.195945945945946</v>
      </c>
      <c r="K727" s="2">
        <v>2</v>
      </c>
      <c r="L727" s="1">
        <v>4</v>
      </c>
      <c r="M727" s="4">
        <v>2359.08</v>
      </c>
    </row>
    <row r="728" spans="1:13" x14ac:dyDescent="0.25">
      <c r="A728">
        <f>RANK(H728,H$13:H$798,0)</f>
        <v>716</v>
      </c>
      <c r="B728" s="2">
        <v>366711</v>
      </c>
      <c r="C728" t="s">
        <v>1246</v>
      </c>
      <c r="D728" t="s">
        <v>603</v>
      </c>
      <c r="E728" t="s">
        <v>12</v>
      </c>
      <c r="F728" t="s">
        <v>7</v>
      </c>
      <c r="G728" s="4">
        <v>12288</v>
      </c>
      <c r="H728" s="4">
        <v>26288.717000000001</v>
      </c>
      <c r="I728" s="4">
        <v>25007.293000000001</v>
      </c>
      <c r="J728" s="1">
        <v>5.124201168035257</v>
      </c>
      <c r="K728" s="2">
        <v>2</v>
      </c>
      <c r="L728" s="1">
        <v>3</v>
      </c>
      <c r="M728" s="4">
        <v>2139.38</v>
      </c>
    </row>
    <row r="729" spans="1:13" x14ac:dyDescent="0.25">
      <c r="A729">
        <f>RANK(H729,H$13:H$798,0)</f>
        <v>717</v>
      </c>
      <c r="B729" s="2">
        <v>226091</v>
      </c>
      <c r="C729" t="s">
        <v>1247</v>
      </c>
      <c r="D729" t="s">
        <v>1248</v>
      </c>
      <c r="E729" t="s">
        <v>6</v>
      </c>
      <c r="F729" t="s">
        <v>7</v>
      </c>
      <c r="G729" s="4">
        <v>9232</v>
      </c>
      <c r="H729" s="4">
        <v>26221.502</v>
      </c>
      <c r="I729" s="4">
        <v>25054.663</v>
      </c>
      <c r="J729" s="1">
        <v>4.6571729980962022</v>
      </c>
      <c r="K729" s="2">
        <v>2</v>
      </c>
      <c r="L729" s="1">
        <v>4</v>
      </c>
      <c r="M729" s="4">
        <v>2840.28</v>
      </c>
    </row>
    <row r="730" spans="1:13" x14ac:dyDescent="0.25">
      <c r="A730">
        <f>RANK(H730,H$13:H$798,0)</f>
        <v>718</v>
      </c>
      <c r="B730" s="2">
        <v>153375</v>
      </c>
      <c r="C730" t="s">
        <v>1249</v>
      </c>
      <c r="D730" t="s">
        <v>575</v>
      </c>
      <c r="E730" t="s">
        <v>113</v>
      </c>
      <c r="F730" t="s">
        <v>3</v>
      </c>
      <c r="G730" s="4">
        <v>1708</v>
      </c>
      <c r="H730" s="4">
        <v>25734.103999999999</v>
      </c>
      <c r="I730" s="4">
        <v>25022.116000000002</v>
      </c>
      <c r="J730" s="1">
        <v>2.8454348145456501</v>
      </c>
      <c r="K730" s="2">
        <v>2</v>
      </c>
      <c r="L730" s="1">
        <v>2</v>
      </c>
      <c r="M730" s="4">
        <v>15066.81</v>
      </c>
    </row>
    <row r="731" spans="1:13" x14ac:dyDescent="0.25">
      <c r="A731">
        <f>RANK(H731,H$13:H$798,0)</f>
        <v>719</v>
      </c>
      <c r="B731" s="2">
        <v>169521</v>
      </c>
      <c r="C731" t="s">
        <v>1250</v>
      </c>
      <c r="D731" t="s">
        <v>911</v>
      </c>
      <c r="E731" t="s">
        <v>24</v>
      </c>
      <c r="F731" t="s">
        <v>7</v>
      </c>
      <c r="G731" s="4">
        <v>4592</v>
      </c>
      <c r="H731" s="4">
        <v>25581.362000000001</v>
      </c>
      <c r="I731" s="4">
        <v>24144.585999999999</v>
      </c>
      <c r="J731" s="1">
        <v>5.9507170675860896</v>
      </c>
      <c r="K731" s="2">
        <v>2</v>
      </c>
      <c r="L731" s="1">
        <v>1</v>
      </c>
      <c r="M731" s="4">
        <v>5570.85</v>
      </c>
    </row>
    <row r="732" spans="1:13" x14ac:dyDescent="0.25">
      <c r="A732">
        <f>RANK(H732,H$13:H$798,0)</f>
        <v>720</v>
      </c>
      <c r="B732" s="2">
        <v>110486</v>
      </c>
      <c r="C732" t="s">
        <v>1251</v>
      </c>
      <c r="D732" t="s">
        <v>1252</v>
      </c>
      <c r="E732" t="s">
        <v>12</v>
      </c>
      <c r="F732" t="s">
        <v>7</v>
      </c>
      <c r="G732" s="4">
        <v>9553.5</v>
      </c>
      <c r="H732" s="4">
        <v>25474.074000000001</v>
      </c>
      <c r="I732" s="4">
        <v>25729.752</v>
      </c>
      <c r="J732" s="1">
        <v>-0.99370565250687171</v>
      </c>
      <c r="K732" s="2">
        <v>2</v>
      </c>
      <c r="L732" s="1">
        <v>3</v>
      </c>
      <c r="M732" s="4">
        <v>2666.47</v>
      </c>
    </row>
    <row r="733" spans="1:13" x14ac:dyDescent="0.25">
      <c r="A733">
        <f>RANK(H733,H$13:H$798,0)</f>
        <v>721</v>
      </c>
      <c r="B733" s="2">
        <v>199184</v>
      </c>
      <c r="C733" t="s">
        <v>1253</v>
      </c>
      <c r="D733" t="s">
        <v>1111</v>
      </c>
      <c r="E733" t="s">
        <v>36</v>
      </c>
      <c r="F733" t="s">
        <v>7</v>
      </c>
      <c r="G733" s="4">
        <v>1326</v>
      </c>
      <c r="H733" s="4">
        <v>25457.595880000001</v>
      </c>
      <c r="I733" s="4">
        <v>22897.918460000001</v>
      </c>
      <c r="J733" s="1">
        <v>11.178646759841767</v>
      </c>
      <c r="K733" s="2">
        <v>2</v>
      </c>
      <c r="L733" s="1">
        <v>5</v>
      </c>
      <c r="M733" s="4">
        <v>19198.79</v>
      </c>
    </row>
    <row r="734" spans="1:13" x14ac:dyDescent="0.25">
      <c r="A734">
        <f>RANK(H734,H$13:H$798,0)</f>
        <v>722</v>
      </c>
      <c r="B734" s="2">
        <v>147031</v>
      </c>
      <c r="C734" t="s">
        <v>1254</v>
      </c>
      <c r="D734" t="s">
        <v>38</v>
      </c>
      <c r="E734" t="s">
        <v>30</v>
      </c>
      <c r="F734" t="s">
        <v>3</v>
      </c>
      <c r="G734" s="4">
        <v>66</v>
      </c>
      <c r="H734" s="4">
        <v>25442.175999999999</v>
      </c>
      <c r="I734" s="4">
        <v>25181.65</v>
      </c>
      <c r="J734" s="1">
        <v>1.0345866930880143</v>
      </c>
      <c r="K734" s="2">
        <v>2</v>
      </c>
      <c r="L734" s="1">
        <v>5</v>
      </c>
      <c r="M734" s="4">
        <v>385487.52</v>
      </c>
    </row>
    <row r="735" spans="1:13" x14ac:dyDescent="0.25">
      <c r="A735">
        <f>RANK(H735,H$13:H$798,0)</f>
        <v>723</v>
      </c>
      <c r="B735" s="2">
        <v>149842</v>
      </c>
      <c r="C735" t="s">
        <v>1255</v>
      </c>
      <c r="D735" t="s">
        <v>1256</v>
      </c>
      <c r="E735" t="s">
        <v>30</v>
      </c>
      <c r="F735" t="s">
        <v>75</v>
      </c>
      <c r="G735" s="4">
        <v>7958</v>
      </c>
      <c r="H735" s="4">
        <v>25382.277999999998</v>
      </c>
      <c r="I735" s="4">
        <v>17459.332999999999</v>
      </c>
      <c r="J735" s="1">
        <v>45.379425433949855</v>
      </c>
      <c r="K735" s="2">
        <v>2</v>
      </c>
      <c r="L735" s="1">
        <v>1</v>
      </c>
      <c r="M735" s="4">
        <v>3189.53</v>
      </c>
    </row>
    <row r="736" spans="1:13" x14ac:dyDescent="0.25">
      <c r="A736">
        <f>RANK(H736,H$13:H$798,0)</f>
        <v>724</v>
      </c>
      <c r="B736" s="2">
        <v>110501</v>
      </c>
      <c r="C736" t="s">
        <v>1257</v>
      </c>
      <c r="D736" t="s">
        <v>951</v>
      </c>
      <c r="E736" t="s">
        <v>12</v>
      </c>
      <c r="F736" t="s">
        <v>7</v>
      </c>
      <c r="G736" s="4">
        <v>1310.5999999999999</v>
      </c>
      <c r="H736" s="4">
        <v>25106.296999999999</v>
      </c>
      <c r="I736" s="4">
        <v>25070.216</v>
      </c>
      <c r="J736" s="1">
        <v>0.1439197811458757</v>
      </c>
      <c r="K736" s="2">
        <v>3</v>
      </c>
      <c r="L736" s="1">
        <v>6</v>
      </c>
      <c r="M736" s="4">
        <v>19156.34</v>
      </c>
    </row>
    <row r="737" spans="1:13" x14ac:dyDescent="0.25">
      <c r="A737">
        <f>RANK(H737,H$13:H$798,0)</f>
        <v>725</v>
      </c>
      <c r="B737" s="2">
        <v>199281</v>
      </c>
      <c r="C737" t="s">
        <v>1258</v>
      </c>
      <c r="D737" t="s">
        <v>1259</v>
      </c>
      <c r="E737" t="s">
        <v>36</v>
      </c>
      <c r="F737" t="s">
        <v>7</v>
      </c>
      <c r="G737" s="4">
        <v>5879</v>
      </c>
      <c r="H737" s="4">
        <v>24886.205000000002</v>
      </c>
      <c r="I737" s="4">
        <v>24028.445</v>
      </c>
      <c r="J737" s="1">
        <v>3.5697690799383897</v>
      </c>
      <c r="K737" s="2">
        <v>2</v>
      </c>
      <c r="L737" s="1">
        <v>3</v>
      </c>
      <c r="M737" s="4">
        <v>4233.07</v>
      </c>
    </row>
    <row r="738" spans="1:13" x14ac:dyDescent="0.25">
      <c r="A738">
        <f>RANK(H738,H$13:H$798,0)</f>
        <v>726</v>
      </c>
      <c r="B738" s="2">
        <v>197045</v>
      </c>
      <c r="C738" t="s">
        <v>1260</v>
      </c>
      <c r="D738" t="s">
        <v>1261</v>
      </c>
      <c r="E738" t="s">
        <v>33</v>
      </c>
      <c r="F738" t="s">
        <v>3</v>
      </c>
      <c r="G738" s="4">
        <v>4609</v>
      </c>
      <c r="H738" s="4">
        <v>24795.972000000002</v>
      </c>
      <c r="I738" s="4">
        <v>24456.100999999999</v>
      </c>
      <c r="J738" s="1">
        <v>1.3897186636578038</v>
      </c>
      <c r="K738" s="2">
        <v>2</v>
      </c>
      <c r="L738" s="1">
        <v>3</v>
      </c>
      <c r="M738" s="4">
        <v>5379.9</v>
      </c>
    </row>
    <row r="739" spans="1:13" x14ac:dyDescent="0.25">
      <c r="A739">
        <f>RANK(H739,H$13:H$798,0)</f>
        <v>727</v>
      </c>
      <c r="B739" s="2">
        <v>102234</v>
      </c>
      <c r="C739" t="s">
        <v>1262</v>
      </c>
      <c r="D739" t="s">
        <v>428</v>
      </c>
      <c r="E739" t="s">
        <v>150</v>
      </c>
      <c r="F739" t="s">
        <v>3</v>
      </c>
      <c r="G739" s="4">
        <v>1317</v>
      </c>
      <c r="H739" s="4">
        <v>24767.780999999999</v>
      </c>
      <c r="I739" s="4">
        <v>23347.138999999999</v>
      </c>
      <c r="J739" s="1">
        <v>6.084865473238497</v>
      </c>
      <c r="K739" s="2">
        <v>2</v>
      </c>
      <c r="L739" s="1">
        <v>2</v>
      </c>
      <c r="M739" s="4">
        <v>18806.21</v>
      </c>
    </row>
    <row r="740" spans="1:13" x14ac:dyDescent="0.25">
      <c r="A740">
        <f>RANK(H740,H$13:H$798,0)</f>
        <v>728</v>
      </c>
      <c r="B740" s="2">
        <v>188340</v>
      </c>
      <c r="C740" t="s">
        <v>1263</v>
      </c>
      <c r="D740" t="s">
        <v>1264</v>
      </c>
      <c r="E740" t="s">
        <v>33</v>
      </c>
      <c r="F740" t="s">
        <v>3</v>
      </c>
      <c r="G740" s="4">
        <v>1388</v>
      </c>
      <c r="H740" s="4">
        <v>24465.329000000002</v>
      </c>
      <c r="I740" s="4">
        <v>24009.151000000002</v>
      </c>
      <c r="J740" s="1">
        <v>1.900017205939518</v>
      </c>
      <c r="K740" s="2">
        <v>2</v>
      </c>
      <c r="L740" s="1">
        <v>2</v>
      </c>
      <c r="M740" s="4">
        <v>17626.32</v>
      </c>
    </row>
    <row r="741" spans="1:13" x14ac:dyDescent="0.25">
      <c r="A741">
        <f>RANK(H741,H$13:H$798,0)</f>
        <v>729</v>
      </c>
      <c r="B741" s="2">
        <v>232937</v>
      </c>
      <c r="C741" t="s">
        <v>1265</v>
      </c>
      <c r="D741" t="s">
        <v>524</v>
      </c>
      <c r="E741" t="s">
        <v>49</v>
      </c>
      <c r="F741" t="s">
        <v>75</v>
      </c>
      <c r="G741" s="4">
        <v>4739</v>
      </c>
      <c r="H741" s="4">
        <v>24434.726999999999</v>
      </c>
      <c r="I741" s="4">
        <v>24754.748</v>
      </c>
      <c r="J741" s="1">
        <v>-1.29276613924731</v>
      </c>
      <c r="K741" s="2">
        <v>1</v>
      </c>
      <c r="L741" s="1">
        <v>3</v>
      </c>
      <c r="M741" s="4">
        <v>5156.09</v>
      </c>
    </row>
    <row r="742" spans="1:13" x14ac:dyDescent="0.25">
      <c r="A742">
        <f>RANK(H742,H$13:H$798,0)</f>
        <v>730</v>
      </c>
      <c r="B742" s="2">
        <v>198543</v>
      </c>
      <c r="C742" t="s">
        <v>1266</v>
      </c>
      <c r="D742" t="s">
        <v>203</v>
      </c>
      <c r="E742" t="s">
        <v>36</v>
      </c>
      <c r="F742" t="s">
        <v>7</v>
      </c>
      <c r="G742" s="4">
        <v>5438</v>
      </c>
      <c r="H742" s="4">
        <v>24340.86</v>
      </c>
      <c r="I742" s="4">
        <v>22687.847000000002</v>
      </c>
      <c r="J742" s="1">
        <v>7.2858962774211182</v>
      </c>
      <c r="K742" s="2">
        <v>1</v>
      </c>
      <c r="L742" s="1">
        <v>3</v>
      </c>
      <c r="M742" s="4">
        <v>4476.07</v>
      </c>
    </row>
    <row r="743" spans="1:13" x14ac:dyDescent="0.25">
      <c r="A743">
        <f>RANK(H743,H$13:H$798,0)</f>
        <v>731</v>
      </c>
      <c r="B743" s="2">
        <v>235097</v>
      </c>
      <c r="C743" t="s">
        <v>1267</v>
      </c>
      <c r="D743" t="s">
        <v>1268</v>
      </c>
      <c r="E743" t="s">
        <v>82</v>
      </c>
      <c r="F743" t="s">
        <v>75</v>
      </c>
      <c r="G743" s="4">
        <v>11470</v>
      </c>
      <c r="H743" s="4">
        <v>24194.608</v>
      </c>
      <c r="I743" s="4">
        <v>22574.179</v>
      </c>
      <c r="J743" s="1">
        <v>7.1782411223017233</v>
      </c>
      <c r="K743" s="2">
        <v>2</v>
      </c>
      <c r="L743" s="1">
        <v>3</v>
      </c>
      <c r="M743" s="4">
        <v>2109.38</v>
      </c>
    </row>
    <row r="744" spans="1:13" x14ac:dyDescent="0.25">
      <c r="A744">
        <f>RANK(H744,H$13:H$798,0)</f>
        <v>732</v>
      </c>
      <c r="B744" s="2">
        <v>123943</v>
      </c>
      <c r="C744" t="s">
        <v>1269</v>
      </c>
      <c r="D744" t="s">
        <v>1011</v>
      </c>
      <c r="E744" t="s">
        <v>12</v>
      </c>
      <c r="F744" t="s">
        <v>3</v>
      </c>
      <c r="G744" s="4">
        <v>665</v>
      </c>
      <c r="H744" s="4">
        <v>23988.09</v>
      </c>
      <c r="I744" s="4">
        <v>24209.24</v>
      </c>
      <c r="J744" s="1">
        <v>-0.91349418651722003</v>
      </c>
      <c r="K744" s="2">
        <v>2</v>
      </c>
      <c r="L744" s="1">
        <v>5</v>
      </c>
      <c r="M744" s="4">
        <v>36072.32</v>
      </c>
    </row>
    <row r="745" spans="1:13" x14ac:dyDescent="0.25">
      <c r="A745">
        <f>RANK(H745,H$13:H$798,0)</f>
        <v>733</v>
      </c>
      <c r="B745" s="2">
        <v>214883</v>
      </c>
      <c r="C745" t="s">
        <v>1270</v>
      </c>
      <c r="D745" t="s">
        <v>19</v>
      </c>
      <c r="E745" t="s">
        <v>20</v>
      </c>
      <c r="F745" t="s">
        <v>3</v>
      </c>
      <c r="G745" s="4">
        <v>709</v>
      </c>
      <c r="H745" s="4">
        <v>23556.588</v>
      </c>
      <c r="I745" s="4">
        <v>23261.3</v>
      </c>
      <c r="J745" s="1">
        <v>1.2694389393542085</v>
      </c>
      <c r="K745" s="2">
        <v>2</v>
      </c>
      <c r="L745" s="1">
        <v>2</v>
      </c>
      <c r="M745" s="4">
        <v>33225.089999999997</v>
      </c>
    </row>
    <row r="746" spans="1:13" x14ac:dyDescent="0.25">
      <c r="A746">
        <f>RANK(H746,H$13:H$798,0)</f>
        <v>734</v>
      </c>
      <c r="B746" s="2">
        <v>141486</v>
      </c>
      <c r="C746" t="s">
        <v>1271</v>
      </c>
      <c r="D746" t="s">
        <v>476</v>
      </c>
      <c r="E746" t="s">
        <v>477</v>
      </c>
      <c r="F746" t="s">
        <v>3</v>
      </c>
      <c r="G746" s="4">
        <v>1959</v>
      </c>
      <c r="H746" s="4">
        <v>23398.93</v>
      </c>
      <c r="I746" s="4">
        <v>22792.671999999999</v>
      </c>
      <c r="J746" s="1">
        <v>2.659881210943595</v>
      </c>
      <c r="K746" s="2">
        <v>2</v>
      </c>
      <c r="L746" s="1">
        <v>3</v>
      </c>
      <c r="M746" s="4">
        <v>11944.32</v>
      </c>
    </row>
    <row r="747" spans="1:13" x14ac:dyDescent="0.25">
      <c r="A747">
        <f>RANK(H747,H$13:H$798,0)</f>
        <v>735</v>
      </c>
      <c r="B747" s="2">
        <v>208318</v>
      </c>
      <c r="C747" t="s">
        <v>1272</v>
      </c>
      <c r="D747" t="s">
        <v>1273</v>
      </c>
      <c r="E747" t="s">
        <v>263</v>
      </c>
      <c r="F747" t="s">
        <v>75</v>
      </c>
      <c r="G747" s="4">
        <v>3159</v>
      </c>
      <c r="H747" s="4">
        <v>22458.684000000001</v>
      </c>
      <c r="I747" s="4">
        <v>21121.665000000001</v>
      </c>
      <c r="J747" s="1">
        <v>6.3300833528038645</v>
      </c>
      <c r="K747" s="2">
        <v>2</v>
      </c>
      <c r="L747" s="1">
        <v>1</v>
      </c>
      <c r="M747" s="4">
        <v>7109.43</v>
      </c>
    </row>
    <row r="748" spans="1:13" x14ac:dyDescent="0.25">
      <c r="A748">
        <f>RANK(H748,H$13:H$798,0)</f>
        <v>736</v>
      </c>
      <c r="B748" s="2">
        <v>237792</v>
      </c>
      <c r="C748" t="s">
        <v>1274</v>
      </c>
      <c r="D748" t="s">
        <v>1275</v>
      </c>
      <c r="E748" t="s">
        <v>338</v>
      </c>
      <c r="F748" t="s">
        <v>75</v>
      </c>
      <c r="G748" s="4">
        <v>2965</v>
      </c>
      <c r="H748" s="4">
        <v>22145.339769999999</v>
      </c>
      <c r="I748" s="4">
        <v>16017.25318</v>
      </c>
      <c r="J748" s="1">
        <v>38.259285291512128</v>
      </c>
      <c r="K748" s="2">
        <v>2</v>
      </c>
      <c r="L748" s="1">
        <v>2</v>
      </c>
      <c r="M748" s="4">
        <v>7468.92</v>
      </c>
    </row>
    <row r="749" spans="1:13" x14ac:dyDescent="0.25">
      <c r="A749">
        <f>RANK(H749,H$13:H$798,0)</f>
        <v>737</v>
      </c>
      <c r="B749" s="2">
        <v>218821</v>
      </c>
      <c r="C749" t="s">
        <v>1276</v>
      </c>
      <c r="D749" t="s">
        <v>596</v>
      </c>
      <c r="E749" t="s">
        <v>285</v>
      </c>
      <c r="F749" t="s">
        <v>3</v>
      </c>
      <c r="G749" s="4">
        <v>830</v>
      </c>
      <c r="H749" s="4">
        <v>22068.661</v>
      </c>
      <c r="I749" s="4">
        <v>22227.177</v>
      </c>
      <c r="J749" s="1">
        <v>-0.71316298961401903</v>
      </c>
      <c r="K749" s="2">
        <v>2</v>
      </c>
      <c r="L749" s="1">
        <v>1</v>
      </c>
      <c r="M749" s="4">
        <v>26588.75</v>
      </c>
    </row>
    <row r="750" spans="1:13" x14ac:dyDescent="0.25">
      <c r="A750">
        <f>RANK(H750,H$13:H$798,0)</f>
        <v>738</v>
      </c>
      <c r="B750" s="2">
        <v>226231</v>
      </c>
      <c r="C750" t="s">
        <v>1277</v>
      </c>
      <c r="D750" t="s">
        <v>1278</v>
      </c>
      <c r="E750" t="s">
        <v>6</v>
      </c>
      <c r="F750" t="s">
        <v>3</v>
      </c>
      <c r="G750" s="4">
        <v>1977</v>
      </c>
      <c r="H750" s="4">
        <v>22054.828000000001</v>
      </c>
      <c r="I750" s="4">
        <v>21706.52</v>
      </c>
      <c r="J750" s="1">
        <v>1.6046238641661623</v>
      </c>
      <c r="K750" s="2">
        <v>2</v>
      </c>
      <c r="L750" s="1">
        <v>3</v>
      </c>
      <c r="M750" s="4">
        <v>11155.7</v>
      </c>
    </row>
    <row r="751" spans="1:13" x14ac:dyDescent="0.25">
      <c r="A751">
        <f>RANK(H751,H$13:H$798,0)</f>
        <v>739</v>
      </c>
      <c r="B751" s="2">
        <v>226383</v>
      </c>
      <c r="C751" t="s">
        <v>1279</v>
      </c>
      <c r="D751" t="s">
        <v>1280</v>
      </c>
      <c r="E751" t="s">
        <v>6</v>
      </c>
      <c r="F751" t="s">
        <v>3</v>
      </c>
      <c r="G751" s="4">
        <v>1510</v>
      </c>
      <c r="H751" s="4">
        <v>22015.170999999998</v>
      </c>
      <c r="I751" s="4">
        <v>19695.059000000001</v>
      </c>
      <c r="J751" s="1">
        <v>11.780172884986012</v>
      </c>
      <c r="K751" s="2">
        <v>2</v>
      </c>
      <c r="L751" s="1">
        <v>3</v>
      </c>
      <c r="M751" s="4">
        <v>14579.58</v>
      </c>
    </row>
    <row r="752" spans="1:13" x14ac:dyDescent="0.25">
      <c r="A752">
        <f>RANK(H752,H$13:H$798,0)</f>
        <v>740</v>
      </c>
      <c r="B752" s="2">
        <v>196246</v>
      </c>
      <c r="C752" t="s">
        <v>1281</v>
      </c>
      <c r="D752" t="s">
        <v>1282</v>
      </c>
      <c r="E752" t="s">
        <v>33</v>
      </c>
      <c r="F752" t="s">
        <v>75</v>
      </c>
      <c r="G752" s="4">
        <v>5317</v>
      </c>
      <c r="H752" s="4">
        <v>21694.583999999999</v>
      </c>
      <c r="I752" s="4">
        <v>21104.608</v>
      </c>
      <c r="J752" s="1">
        <v>2.7954842847590382</v>
      </c>
      <c r="K752" s="2">
        <v>2</v>
      </c>
      <c r="L752" s="1">
        <v>3</v>
      </c>
      <c r="M752" s="4">
        <v>4080.23</v>
      </c>
    </row>
    <row r="753" spans="1:13" x14ac:dyDescent="0.25">
      <c r="A753">
        <f>RANK(H753,H$13:H$798,0)</f>
        <v>741</v>
      </c>
      <c r="B753" s="2">
        <v>186201</v>
      </c>
      <c r="C753" t="s">
        <v>1283</v>
      </c>
      <c r="D753" t="s">
        <v>1284</v>
      </c>
      <c r="E753" t="s">
        <v>15</v>
      </c>
      <c r="F753" t="s">
        <v>87</v>
      </c>
      <c r="G753" s="4">
        <v>5486</v>
      </c>
      <c r="H753" s="4">
        <v>21363.81</v>
      </c>
      <c r="I753" s="4">
        <v>20656.629000000001</v>
      </c>
      <c r="J753" s="1">
        <v>3.4235063233211989</v>
      </c>
      <c r="K753" s="2">
        <v>2</v>
      </c>
      <c r="L753" s="1">
        <v>3</v>
      </c>
      <c r="M753" s="4">
        <v>3894.24</v>
      </c>
    </row>
    <row r="754" spans="1:13" x14ac:dyDescent="0.25">
      <c r="A754">
        <f>RANK(H754,H$13:H$798,0)</f>
        <v>742</v>
      </c>
      <c r="B754" s="2">
        <v>231420</v>
      </c>
      <c r="C754" t="s">
        <v>1285</v>
      </c>
      <c r="D754" t="s">
        <v>471</v>
      </c>
      <c r="E754" t="s">
        <v>49</v>
      </c>
      <c r="F754" t="s">
        <v>3</v>
      </c>
      <c r="G754" s="4">
        <v>1310</v>
      </c>
      <c r="H754" s="4">
        <v>21268.124</v>
      </c>
      <c r="I754" s="4">
        <v>22368.66</v>
      </c>
      <c r="J754" s="1">
        <v>-4.919990737040127</v>
      </c>
      <c r="K754" s="2">
        <v>2</v>
      </c>
      <c r="L754" s="1">
        <v>2</v>
      </c>
      <c r="M754" s="4">
        <v>16235.21</v>
      </c>
    </row>
    <row r="755" spans="1:13" x14ac:dyDescent="0.25">
      <c r="A755">
        <f>RANK(H755,H$13:H$798,0)</f>
        <v>743</v>
      </c>
      <c r="B755" s="2">
        <v>145372</v>
      </c>
      <c r="C755" t="s">
        <v>1286</v>
      </c>
      <c r="D755" t="s">
        <v>319</v>
      </c>
      <c r="E755" t="s">
        <v>30</v>
      </c>
      <c r="F755" t="s">
        <v>3</v>
      </c>
      <c r="G755" s="4">
        <v>977.3</v>
      </c>
      <c r="H755" s="4">
        <v>21159.995999999999</v>
      </c>
      <c r="I755" s="4">
        <v>20196.34</v>
      </c>
      <c r="J755" s="1">
        <v>4.7714387854432978</v>
      </c>
      <c r="K755" s="2">
        <v>2</v>
      </c>
      <c r="L755" s="1">
        <v>3</v>
      </c>
      <c r="M755" s="4">
        <v>21651.48</v>
      </c>
    </row>
    <row r="756" spans="1:13" x14ac:dyDescent="0.25">
      <c r="A756">
        <f>RANK(H756,H$13:H$798,0)</f>
        <v>744</v>
      </c>
      <c r="B756" s="2">
        <v>148584</v>
      </c>
      <c r="C756" t="s">
        <v>1287</v>
      </c>
      <c r="D756" t="s">
        <v>1288</v>
      </c>
      <c r="E756" t="s">
        <v>30</v>
      </c>
      <c r="F756" t="s">
        <v>3</v>
      </c>
      <c r="G756" s="4">
        <v>1939</v>
      </c>
      <c r="H756" s="4">
        <v>20876.72</v>
      </c>
      <c r="I756" s="4">
        <v>19785.918000000001</v>
      </c>
      <c r="J756" s="1">
        <v>5.5130219381279124</v>
      </c>
      <c r="K756" s="2">
        <v>2</v>
      </c>
      <c r="L756" s="1">
        <v>4</v>
      </c>
      <c r="M756" s="4">
        <v>10766.75</v>
      </c>
    </row>
    <row r="757" spans="1:13" x14ac:dyDescent="0.25">
      <c r="A757">
        <f>RANK(H757,H$13:H$798,0)</f>
        <v>745</v>
      </c>
      <c r="B757" s="2">
        <v>215266</v>
      </c>
      <c r="C757" t="s">
        <v>1289</v>
      </c>
      <c r="D757" t="s">
        <v>1290</v>
      </c>
      <c r="E757" t="s">
        <v>20</v>
      </c>
      <c r="F757" t="s">
        <v>75</v>
      </c>
      <c r="G757" s="4">
        <v>1410</v>
      </c>
      <c r="H757" s="4">
        <v>20797.295999999998</v>
      </c>
      <c r="I757" s="4">
        <v>19174.436000000002</v>
      </c>
      <c r="J757" s="1">
        <v>8.4636648504289607</v>
      </c>
      <c r="K757" s="2">
        <v>2</v>
      </c>
      <c r="L757" s="1">
        <v>2</v>
      </c>
      <c r="M757" s="4">
        <v>14749.86</v>
      </c>
    </row>
    <row r="758" spans="1:13" x14ac:dyDescent="0.25">
      <c r="A758">
        <f>RANK(H758,H$13:H$798,0)</f>
        <v>746</v>
      </c>
      <c r="B758" s="2">
        <v>216764</v>
      </c>
      <c r="C758" t="s">
        <v>1291</v>
      </c>
      <c r="D758" t="s">
        <v>1292</v>
      </c>
      <c r="E758" t="s">
        <v>20</v>
      </c>
      <c r="F758" t="s">
        <v>75</v>
      </c>
      <c r="G758" s="4">
        <v>17527</v>
      </c>
      <c r="H758" s="4">
        <v>20522.287</v>
      </c>
      <c r="I758" s="4">
        <v>15989.983</v>
      </c>
      <c r="J758" s="1">
        <v>28.344645519635637</v>
      </c>
      <c r="K758" s="2">
        <v>2</v>
      </c>
      <c r="L758" s="1">
        <v>3</v>
      </c>
      <c r="M758" s="4">
        <v>1170.9000000000001</v>
      </c>
    </row>
    <row r="759" spans="1:13" x14ac:dyDescent="0.25">
      <c r="A759">
        <f>RANK(H759,H$13:H$798,0)</f>
        <v>747</v>
      </c>
      <c r="B759" s="2">
        <v>204617</v>
      </c>
      <c r="C759" t="s">
        <v>1293</v>
      </c>
      <c r="D759" t="s">
        <v>62</v>
      </c>
      <c r="E759" t="s">
        <v>63</v>
      </c>
      <c r="F759" t="s">
        <v>3</v>
      </c>
      <c r="G759" s="4">
        <v>1493</v>
      </c>
      <c r="H759" s="4">
        <v>20161.258999999998</v>
      </c>
      <c r="I759" s="4">
        <v>22588.113000000001</v>
      </c>
      <c r="J759" s="1">
        <v>-10.743943064212592</v>
      </c>
      <c r="K759" s="2">
        <v>2</v>
      </c>
      <c r="L759" s="1">
        <v>3</v>
      </c>
      <c r="M759" s="4">
        <v>13503.86</v>
      </c>
    </row>
    <row r="760" spans="1:13" x14ac:dyDescent="0.25">
      <c r="A760">
        <f>RANK(H760,H$13:H$798,0)</f>
        <v>748</v>
      </c>
      <c r="B760" s="2">
        <v>161563</v>
      </c>
      <c r="C760" t="s">
        <v>1294</v>
      </c>
      <c r="D760" t="s">
        <v>267</v>
      </c>
      <c r="E760" t="s">
        <v>137</v>
      </c>
      <c r="F760" t="s">
        <v>3</v>
      </c>
      <c r="G760" s="4">
        <v>772.5</v>
      </c>
      <c r="H760" s="4">
        <v>19613.644</v>
      </c>
      <c r="I760" s="4">
        <v>18060.345000000001</v>
      </c>
      <c r="J760" s="1">
        <v>8.600605359421424</v>
      </c>
      <c r="K760" s="2">
        <v>2</v>
      </c>
      <c r="L760" s="1">
        <v>3</v>
      </c>
      <c r="M760" s="4">
        <v>25389.83</v>
      </c>
    </row>
    <row r="761" spans="1:13" x14ac:dyDescent="0.25">
      <c r="A761">
        <f>RANK(H761,H$13:H$798,0)</f>
        <v>749</v>
      </c>
      <c r="B761" s="2">
        <v>205443</v>
      </c>
      <c r="C761" t="s">
        <v>1440</v>
      </c>
      <c r="D761" t="s">
        <v>1295</v>
      </c>
      <c r="E761" t="s">
        <v>63</v>
      </c>
      <c r="F761" t="s">
        <v>7</v>
      </c>
      <c r="G761" s="4">
        <v>3089</v>
      </c>
      <c r="H761" s="4">
        <v>19299.795999999998</v>
      </c>
      <c r="I761" s="4">
        <v>19418.976999999999</v>
      </c>
      <c r="J761" s="1">
        <v>-0.61373469879489784</v>
      </c>
      <c r="K761" s="2">
        <v>2</v>
      </c>
      <c r="L761" s="1">
        <v>3</v>
      </c>
      <c r="M761" s="4">
        <v>6247.91</v>
      </c>
    </row>
    <row r="762" spans="1:13" x14ac:dyDescent="0.25">
      <c r="A762">
        <f>RANK(H762,H$13:H$798,0)</f>
        <v>750</v>
      </c>
      <c r="B762" s="2">
        <v>172334</v>
      </c>
      <c r="C762" t="s">
        <v>1296</v>
      </c>
      <c r="D762" t="s">
        <v>1297</v>
      </c>
      <c r="E762" t="s">
        <v>24</v>
      </c>
      <c r="F762" t="s">
        <v>3</v>
      </c>
      <c r="G762" s="4">
        <v>2869</v>
      </c>
      <c r="H762" s="4">
        <v>19243.758000000002</v>
      </c>
      <c r="I762" s="4">
        <v>17841.666000000001</v>
      </c>
      <c r="J762" s="1">
        <v>7.8585262161056058</v>
      </c>
      <c r="K762" s="2">
        <v>2</v>
      </c>
      <c r="L762" s="1">
        <v>3</v>
      </c>
      <c r="M762" s="4">
        <v>6707.48</v>
      </c>
    </row>
    <row r="763" spans="1:13" x14ac:dyDescent="0.25">
      <c r="A763">
        <f>RANK(H763,H$13:H$798,0)</f>
        <v>751</v>
      </c>
      <c r="B763" s="2">
        <v>202514</v>
      </c>
      <c r="C763" t="s">
        <v>1298</v>
      </c>
      <c r="D763" t="s">
        <v>1299</v>
      </c>
      <c r="E763" t="s">
        <v>63</v>
      </c>
      <c r="F763" t="s">
        <v>3</v>
      </c>
      <c r="G763" s="4">
        <v>550</v>
      </c>
      <c r="H763" s="4">
        <v>19129.396000000001</v>
      </c>
      <c r="I763" s="4">
        <v>19159.094000000001</v>
      </c>
      <c r="J763" s="1">
        <v>-0.15500732967853448</v>
      </c>
      <c r="K763" s="2">
        <v>2</v>
      </c>
      <c r="L763" s="1">
        <v>2</v>
      </c>
      <c r="M763" s="4">
        <v>34780.720000000001</v>
      </c>
    </row>
    <row r="764" spans="1:13" x14ac:dyDescent="0.25">
      <c r="A764">
        <f>RANK(H764,H$13:H$798,0)</f>
        <v>752</v>
      </c>
      <c r="B764" s="2">
        <v>110574</v>
      </c>
      <c r="C764" t="s">
        <v>1300</v>
      </c>
      <c r="D764" t="s">
        <v>1301</v>
      </c>
      <c r="E764" t="s">
        <v>12</v>
      </c>
      <c r="F764" t="s">
        <v>7</v>
      </c>
      <c r="G764" s="4">
        <v>12409</v>
      </c>
      <c r="H764" s="4">
        <v>17838.03</v>
      </c>
      <c r="I764" s="4">
        <v>17090.644</v>
      </c>
      <c r="J764" s="1">
        <v>4.3730710206122048</v>
      </c>
      <c r="K764" s="2">
        <v>2</v>
      </c>
      <c r="L764" s="1">
        <v>3</v>
      </c>
      <c r="M764" s="4">
        <v>1437.51</v>
      </c>
    </row>
    <row r="765" spans="1:13" x14ac:dyDescent="0.25">
      <c r="A765">
        <f>RANK(H765,H$13:H$798,0)</f>
        <v>753</v>
      </c>
      <c r="B765" s="2">
        <v>135160</v>
      </c>
      <c r="C765" t="s">
        <v>1302</v>
      </c>
      <c r="D765" t="s">
        <v>1303</v>
      </c>
      <c r="E765" t="s">
        <v>127</v>
      </c>
      <c r="F765" t="s">
        <v>75</v>
      </c>
      <c r="G765" s="4">
        <v>4500</v>
      </c>
      <c r="H765" s="4">
        <v>17831.419000000002</v>
      </c>
      <c r="I765" s="4">
        <v>16831.258000000002</v>
      </c>
      <c r="J765" s="1">
        <v>5.9422831020711584</v>
      </c>
      <c r="K765" s="2">
        <v>2</v>
      </c>
      <c r="L765" s="1">
        <v>1</v>
      </c>
      <c r="M765" s="4">
        <v>3962.54</v>
      </c>
    </row>
    <row r="766" spans="1:13" x14ac:dyDescent="0.25">
      <c r="A766">
        <f>RANK(H766,H$13:H$798,0)</f>
        <v>754</v>
      </c>
      <c r="B766" s="2">
        <v>170541</v>
      </c>
      <c r="C766" t="s">
        <v>1304</v>
      </c>
      <c r="D766" t="s">
        <v>415</v>
      </c>
      <c r="E766" t="s">
        <v>24</v>
      </c>
      <c r="F766" t="s">
        <v>7</v>
      </c>
      <c r="G766" s="4">
        <v>4393</v>
      </c>
      <c r="H766" s="4">
        <v>17756.152999999998</v>
      </c>
      <c r="I766" s="4">
        <v>17599.16</v>
      </c>
      <c r="J766" s="1">
        <v>0.89204825684861422</v>
      </c>
      <c r="K766" s="2">
        <v>2</v>
      </c>
      <c r="L766" s="1">
        <v>1</v>
      </c>
      <c r="M766" s="4">
        <v>4041.92</v>
      </c>
    </row>
    <row r="767" spans="1:13" x14ac:dyDescent="0.25">
      <c r="A767">
        <f>RANK(H767,H$13:H$798,0)</f>
        <v>755</v>
      </c>
      <c r="B767" s="2">
        <v>238980</v>
      </c>
      <c r="C767" t="s">
        <v>1305</v>
      </c>
      <c r="D767" t="s">
        <v>1306</v>
      </c>
      <c r="E767" t="s">
        <v>74</v>
      </c>
      <c r="F767" t="s">
        <v>3</v>
      </c>
      <c r="G767" s="4">
        <v>1859</v>
      </c>
      <c r="H767" s="4">
        <v>17730.986000000001</v>
      </c>
      <c r="I767" s="4">
        <v>17032.448</v>
      </c>
      <c r="J767" s="1">
        <v>4.1012190379210338</v>
      </c>
      <c r="K767" s="2">
        <v>2</v>
      </c>
      <c r="L767" s="1">
        <v>3</v>
      </c>
      <c r="M767" s="4">
        <v>9537.92</v>
      </c>
    </row>
    <row r="768" spans="1:13" x14ac:dyDescent="0.25">
      <c r="A768">
        <f>RANK(H768,H$13:H$798,0)</f>
        <v>756</v>
      </c>
      <c r="B768" s="2">
        <v>167260</v>
      </c>
      <c r="C768" t="s">
        <v>1307</v>
      </c>
      <c r="D768" t="s">
        <v>1308</v>
      </c>
      <c r="E768" t="s">
        <v>2</v>
      </c>
      <c r="F768" t="s">
        <v>3</v>
      </c>
      <c r="G768" s="4">
        <v>1349</v>
      </c>
      <c r="H768" s="4">
        <v>17344.973999999998</v>
      </c>
      <c r="I768" s="4">
        <v>15417.314</v>
      </c>
      <c r="J768" s="1">
        <v>12.503215540657717</v>
      </c>
      <c r="K768" s="2">
        <v>2</v>
      </c>
      <c r="L768" s="1">
        <v>5</v>
      </c>
      <c r="M768" s="4">
        <v>12857.65</v>
      </c>
    </row>
    <row r="769" spans="1:13" x14ac:dyDescent="0.25">
      <c r="A769" s="30">
        <f>RANK(H769,H$13:H$798,0)</f>
        <v>757</v>
      </c>
      <c r="B769" s="31" t="s">
        <v>1363</v>
      </c>
      <c r="C769" s="30" t="s">
        <v>1309</v>
      </c>
      <c r="D769" s="30" t="s">
        <v>1310</v>
      </c>
      <c r="E769" s="30" t="s">
        <v>189</v>
      </c>
      <c r="F769" s="30" t="s">
        <v>1388</v>
      </c>
      <c r="G769" s="32">
        <v>3238</v>
      </c>
      <c r="H769" s="32">
        <v>16908.13164</v>
      </c>
      <c r="I769" s="32">
        <v>16033.02994</v>
      </c>
      <c r="J769" s="33">
        <v>5.4581180430328526</v>
      </c>
      <c r="K769" s="24">
        <v>3</v>
      </c>
      <c r="L769" s="33">
        <v>6</v>
      </c>
      <c r="M769" s="32">
        <v>5221.78</v>
      </c>
    </row>
    <row r="770" spans="1:13" x14ac:dyDescent="0.25">
      <c r="A770">
        <f>RANK(H770,H$13:H$798,0)</f>
        <v>758</v>
      </c>
      <c r="B770" s="2">
        <v>110495</v>
      </c>
      <c r="C770" t="s">
        <v>1311</v>
      </c>
      <c r="D770" t="s">
        <v>1312</v>
      </c>
      <c r="E770" t="s">
        <v>12</v>
      </c>
      <c r="F770" t="s">
        <v>7</v>
      </c>
      <c r="G770" s="4">
        <v>10003</v>
      </c>
      <c r="H770" s="4">
        <v>16552.260999999999</v>
      </c>
      <c r="I770" s="4">
        <v>16358.618</v>
      </c>
      <c r="J770" s="1">
        <v>1.1837369146953503</v>
      </c>
      <c r="K770" s="2">
        <v>2</v>
      </c>
      <c r="L770" s="1">
        <v>3</v>
      </c>
      <c r="M770" s="4">
        <v>1654.73</v>
      </c>
    </row>
    <row r="771" spans="1:13" x14ac:dyDescent="0.25">
      <c r="A771">
        <f>RANK(H771,H$13:H$798,0)</f>
        <v>759</v>
      </c>
      <c r="B771" s="2">
        <v>112127</v>
      </c>
      <c r="C771" t="s">
        <v>1313</v>
      </c>
      <c r="D771" t="s">
        <v>1101</v>
      </c>
      <c r="E771" t="s">
        <v>12</v>
      </c>
      <c r="F771" t="s">
        <v>3</v>
      </c>
      <c r="G771" s="4">
        <v>61</v>
      </c>
      <c r="H771" s="4">
        <v>16243.200999999999</v>
      </c>
      <c r="I771" s="4">
        <v>23103.398000000001</v>
      </c>
      <c r="J771" s="1">
        <v>-29.693454616502741</v>
      </c>
      <c r="K771" s="2">
        <v>2</v>
      </c>
      <c r="L771" s="1">
        <v>5</v>
      </c>
      <c r="M771" s="4">
        <v>266281.98</v>
      </c>
    </row>
    <row r="772" spans="1:13" x14ac:dyDescent="0.25">
      <c r="A772">
        <f>RANK(H772,H$13:H$798,0)</f>
        <v>760</v>
      </c>
      <c r="B772" s="2">
        <v>441937</v>
      </c>
      <c r="C772" t="s">
        <v>1314</v>
      </c>
      <c r="D772" t="s">
        <v>1315</v>
      </c>
      <c r="E772" t="s">
        <v>12</v>
      </c>
      <c r="F772" t="s">
        <v>75</v>
      </c>
      <c r="G772" s="4">
        <v>6277</v>
      </c>
      <c r="H772" s="4">
        <v>16049.73</v>
      </c>
      <c r="I772" s="4">
        <v>15718.003000000001</v>
      </c>
      <c r="J772" s="1">
        <v>2.1104907538190378</v>
      </c>
      <c r="K772" s="2">
        <v>2</v>
      </c>
      <c r="L772" s="1">
        <v>3</v>
      </c>
      <c r="M772" s="4">
        <v>2556.91</v>
      </c>
    </row>
    <row r="773" spans="1:13" x14ac:dyDescent="0.25">
      <c r="A773">
        <f>RANK(H773,H$13:H$798,0)</f>
        <v>761</v>
      </c>
      <c r="B773" s="2">
        <v>219082</v>
      </c>
      <c r="C773" t="s">
        <v>1316</v>
      </c>
      <c r="D773" t="s">
        <v>73</v>
      </c>
      <c r="E773" t="s">
        <v>755</v>
      </c>
      <c r="F773" t="s">
        <v>75</v>
      </c>
      <c r="G773" s="4">
        <v>1963</v>
      </c>
      <c r="H773" s="4">
        <v>15810.803</v>
      </c>
      <c r="I773" s="4">
        <v>18200.805</v>
      </c>
      <c r="J773" s="1">
        <v>-13.131298313453721</v>
      </c>
      <c r="K773" s="2">
        <v>2</v>
      </c>
      <c r="L773" s="1">
        <v>3</v>
      </c>
      <c r="M773" s="4">
        <v>8054.41</v>
      </c>
    </row>
    <row r="774" spans="1:13" x14ac:dyDescent="0.25">
      <c r="A774">
        <f>RANK(H774,H$13:H$798,0)</f>
        <v>762</v>
      </c>
      <c r="B774" s="3" t="s">
        <v>1363</v>
      </c>
      <c r="C774" t="s">
        <v>1317</v>
      </c>
      <c r="D774" t="s">
        <v>1318</v>
      </c>
      <c r="E774" t="s">
        <v>1319</v>
      </c>
      <c r="F774" t="s">
        <v>3</v>
      </c>
      <c r="G774" s="4">
        <v>3393</v>
      </c>
      <c r="H774" s="4">
        <v>15476.333000000001</v>
      </c>
      <c r="I774" s="4">
        <v>14578.129000000001</v>
      </c>
      <c r="J774" s="1">
        <v>6.1613119214406709</v>
      </c>
      <c r="K774" s="2">
        <v>3</v>
      </c>
      <c r="L774" s="1">
        <v>6</v>
      </c>
      <c r="M774" s="4">
        <v>4561.25</v>
      </c>
    </row>
    <row r="775" spans="1:13" x14ac:dyDescent="0.25">
      <c r="A775">
        <f>RANK(H775,H$13:H$798,0)</f>
        <v>763</v>
      </c>
      <c r="B775" s="2">
        <v>171456</v>
      </c>
      <c r="C775" t="s">
        <v>1320</v>
      </c>
      <c r="D775" t="s">
        <v>1321</v>
      </c>
      <c r="E775" t="s">
        <v>24</v>
      </c>
      <c r="F775" t="s">
        <v>7</v>
      </c>
      <c r="G775" s="4">
        <v>6757</v>
      </c>
      <c r="H775" s="4">
        <v>15400.437</v>
      </c>
      <c r="I775" s="4">
        <v>15435.745999999999</v>
      </c>
      <c r="J775" s="1">
        <v>-0.22874825745383015</v>
      </c>
      <c r="K775" s="2">
        <v>2</v>
      </c>
      <c r="L775" s="1">
        <v>3</v>
      </c>
      <c r="M775" s="4">
        <v>2279.1799999999998</v>
      </c>
    </row>
    <row r="776" spans="1:13" x14ac:dyDescent="0.25">
      <c r="A776">
        <f>RANK(H776,H$13:H$798,0)</f>
        <v>764</v>
      </c>
      <c r="B776" s="2">
        <v>101189</v>
      </c>
      <c r="C776" t="s">
        <v>1322</v>
      </c>
      <c r="D776" t="s">
        <v>1323</v>
      </c>
      <c r="E776" t="s">
        <v>150</v>
      </c>
      <c r="F776" t="s">
        <v>3</v>
      </c>
      <c r="G776" s="4">
        <v>3105</v>
      </c>
      <c r="H776" s="4">
        <v>15240.268</v>
      </c>
      <c r="I776" s="4">
        <v>15590.449000000001</v>
      </c>
      <c r="J776" s="1">
        <v>-2.246125175740612</v>
      </c>
      <c r="K776" s="2">
        <v>2</v>
      </c>
      <c r="L776" s="1">
        <v>3</v>
      </c>
      <c r="M776" s="4">
        <v>4908.3</v>
      </c>
    </row>
    <row r="777" spans="1:13" x14ac:dyDescent="0.25">
      <c r="A777">
        <f>RANK(H777,H$13:H$798,0)</f>
        <v>765</v>
      </c>
      <c r="B777" s="2">
        <v>182980</v>
      </c>
      <c r="C777" t="s">
        <v>1324</v>
      </c>
      <c r="D777" t="s">
        <v>1325</v>
      </c>
      <c r="E777" t="s">
        <v>344</v>
      </c>
      <c r="F777" t="s">
        <v>3</v>
      </c>
      <c r="G777" s="4">
        <v>2681</v>
      </c>
      <c r="H777" s="4">
        <v>14646.499</v>
      </c>
      <c r="I777" s="4">
        <v>14052.775</v>
      </c>
      <c r="J777" s="1">
        <v>4.2249591272898073</v>
      </c>
      <c r="K777" s="2">
        <v>2</v>
      </c>
      <c r="L777" s="1">
        <v>3</v>
      </c>
      <c r="M777" s="4">
        <v>5463.07</v>
      </c>
    </row>
    <row r="778" spans="1:13" x14ac:dyDescent="0.25">
      <c r="A778">
        <f>RANK(H778,H$13:H$798,0)</f>
        <v>766</v>
      </c>
      <c r="B778" s="2">
        <v>167288</v>
      </c>
      <c r="C778" t="s">
        <v>1326</v>
      </c>
      <c r="D778" t="s">
        <v>1327</v>
      </c>
      <c r="E778" t="s">
        <v>2</v>
      </c>
      <c r="F778" t="s">
        <v>75</v>
      </c>
      <c r="G778" s="4">
        <v>1280</v>
      </c>
      <c r="H778" s="4">
        <v>13544.002</v>
      </c>
      <c r="I778" s="4">
        <v>12839.897999999999</v>
      </c>
      <c r="J778" s="1">
        <v>5.4837195747193732</v>
      </c>
      <c r="K778" s="2">
        <v>2</v>
      </c>
      <c r="L778" s="1">
        <v>2</v>
      </c>
      <c r="M778" s="4">
        <v>10581.25</v>
      </c>
    </row>
    <row r="779" spans="1:13" x14ac:dyDescent="0.25">
      <c r="A779">
        <f>RANK(H779,H$13:H$798,0)</f>
        <v>767</v>
      </c>
      <c r="B779" s="2">
        <v>110547</v>
      </c>
      <c r="C779" t="s">
        <v>1328</v>
      </c>
      <c r="D779" t="s">
        <v>1329</v>
      </c>
      <c r="E779" t="s">
        <v>12</v>
      </c>
      <c r="F779" t="s">
        <v>87</v>
      </c>
      <c r="G779" s="4">
        <v>15741</v>
      </c>
      <c r="H779" s="4">
        <v>12542.519</v>
      </c>
      <c r="I779" s="4">
        <v>10393.538</v>
      </c>
      <c r="J779" s="1">
        <v>20.676125877444232</v>
      </c>
      <c r="K779" s="2">
        <v>2</v>
      </c>
      <c r="L779" s="1">
        <v>3</v>
      </c>
      <c r="M779" s="4">
        <v>796.81</v>
      </c>
    </row>
    <row r="780" spans="1:13" x14ac:dyDescent="0.25">
      <c r="A780">
        <f>RANK(H780,H$13:H$798,0)</f>
        <v>768</v>
      </c>
      <c r="B780" s="2">
        <v>221908</v>
      </c>
      <c r="C780" t="s">
        <v>1330</v>
      </c>
      <c r="D780" t="s">
        <v>1331</v>
      </c>
      <c r="E780" t="s">
        <v>57</v>
      </c>
      <c r="F780" t="s">
        <v>75</v>
      </c>
      <c r="G780" s="4">
        <v>4255</v>
      </c>
      <c r="H780" s="4">
        <v>12482.671</v>
      </c>
      <c r="I780" s="4">
        <v>10556.822</v>
      </c>
      <c r="J780" s="1">
        <v>18.242696523631828</v>
      </c>
      <c r="K780" s="2">
        <v>2</v>
      </c>
      <c r="L780" s="1">
        <v>1</v>
      </c>
      <c r="M780" s="4">
        <v>2933.65</v>
      </c>
    </row>
    <row r="781" spans="1:13" x14ac:dyDescent="0.25">
      <c r="A781">
        <f>RANK(H781,H$13:H$798,0)</f>
        <v>769</v>
      </c>
      <c r="B781" s="2">
        <v>164872</v>
      </c>
      <c r="C781" t="s">
        <v>1441</v>
      </c>
      <c r="D781" t="s">
        <v>1</v>
      </c>
      <c r="E781" t="s">
        <v>2</v>
      </c>
      <c r="F781" t="s">
        <v>3</v>
      </c>
      <c r="G781" s="4">
        <v>585</v>
      </c>
      <c r="H781" s="4">
        <v>11821.986000000001</v>
      </c>
      <c r="I781" s="4">
        <v>11840.71</v>
      </c>
      <c r="J781" s="1">
        <v>-0.15813240928963163</v>
      </c>
      <c r="K781" s="2">
        <v>2</v>
      </c>
      <c r="L781" s="1">
        <v>5</v>
      </c>
      <c r="M781" s="4">
        <v>20208.52</v>
      </c>
    </row>
    <row r="782" spans="1:13" x14ac:dyDescent="0.25">
      <c r="A782">
        <f>RANK(H782,H$13:H$798,0)</f>
        <v>770</v>
      </c>
      <c r="B782" s="2">
        <v>221643</v>
      </c>
      <c r="C782" t="s">
        <v>1332</v>
      </c>
      <c r="D782" t="s">
        <v>182</v>
      </c>
      <c r="E782" t="s">
        <v>57</v>
      </c>
      <c r="F782" t="s">
        <v>75</v>
      </c>
      <c r="G782" s="4">
        <v>6712</v>
      </c>
      <c r="H782" s="4">
        <v>11603.6396</v>
      </c>
      <c r="I782" s="4">
        <v>10601.272429999999</v>
      </c>
      <c r="J782" s="1">
        <v>9.4551590539589725</v>
      </c>
      <c r="K782" s="2">
        <v>2</v>
      </c>
      <c r="L782" s="1">
        <v>1</v>
      </c>
      <c r="M782" s="4">
        <v>1728.79</v>
      </c>
    </row>
    <row r="783" spans="1:13" x14ac:dyDescent="0.25">
      <c r="A783">
        <f>RANK(H783,H$13:H$798,0)</f>
        <v>771</v>
      </c>
      <c r="B783" s="3" t="s">
        <v>1363</v>
      </c>
      <c r="C783" t="s">
        <v>1333</v>
      </c>
      <c r="D783" t="s">
        <v>705</v>
      </c>
      <c r="E783" t="s">
        <v>201</v>
      </c>
      <c r="F783" t="s">
        <v>75</v>
      </c>
      <c r="G783" s="4">
        <v>13817</v>
      </c>
      <c r="H783" s="4">
        <v>11355.523999999999</v>
      </c>
      <c r="I783" s="4">
        <v>11263.448</v>
      </c>
      <c r="J783" s="1">
        <v>0.81747614052108297</v>
      </c>
      <c r="K783" s="2">
        <v>3</v>
      </c>
      <c r="L783" s="1">
        <v>6</v>
      </c>
      <c r="M783" s="4">
        <v>821.85</v>
      </c>
    </row>
    <row r="784" spans="1:13" x14ac:dyDescent="0.25">
      <c r="A784">
        <f>RANK(H784,H$13:H$798,0)</f>
        <v>772</v>
      </c>
      <c r="B784" s="2">
        <v>232414</v>
      </c>
      <c r="C784" t="s">
        <v>1334</v>
      </c>
      <c r="D784" t="s">
        <v>91</v>
      </c>
      <c r="E784" t="s">
        <v>49</v>
      </c>
      <c r="F784" t="s">
        <v>75</v>
      </c>
      <c r="G784" s="4">
        <v>4866</v>
      </c>
      <c r="H784" s="4">
        <v>11298.733</v>
      </c>
      <c r="I784" s="4">
        <v>10574.433000000001</v>
      </c>
      <c r="J784" s="1">
        <v>6.8495398287548772</v>
      </c>
      <c r="K784" s="2">
        <v>2</v>
      </c>
      <c r="L784" s="1">
        <v>1</v>
      </c>
      <c r="M784" s="4">
        <v>2321.98</v>
      </c>
    </row>
    <row r="785" spans="1:13" x14ac:dyDescent="0.25">
      <c r="A785">
        <f>RANK(H785,H$13:H$798,0)</f>
        <v>773</v>
      </c>
      <c r="B785" s="2">
        <v>170037</v>
      </c>
      <c r="C785" t="s">
        <v>1335</v>
      </c>
      <c r="D785" t="s">
        <v>659</v>
      </c>
      <c r="E785" t="s">
        <v>24</v>
      </c>
      <c r="F785" t="s">
        <v>3</v>
      </c>
      <c r="G785" s="4">
        <v>1743</v>
      </c>
      <c r="H785" s="4">
        <v>10434.48</v>
      </c>
      <c r="I785" s="4">
        <v>10570.311</v>
      </c>
      <c r="J785" s="1">
        <v>-1.2850236856796375</v>
      </c>
      <c r="K785" s="2">
        <v>2</v>
      </c>
      <c r="L785" s="1">
        <v>3</v>
      </c>
      <c r="M785" s="4">
        <v>5986.51</v>
      </c>
    </row>
    <row r="786" spans="1:13" x14ac:dyDescent="0.25">
      <c r="A786">
        <f>RANK(H786,H$13:H$798,0)</f>
        <v>774</v>
      </c>
      <c r="B786" s="2">
        <v>172608</v>
      </c>
      <c r="C786" t="s">
        <v>1336</v>
      </c>
      <c r="D786" t="s">
        <v>302</v>
      </c>
      <c r="E786" t="s">
        <v>24</v>
      </c>
      <c r="F786" t="s">
        <v>3</v>
      </c>
      <c r="G786" s="4">
        <v>1968</v>
      </c>
      <c r="H786" s="4">
        <v>9729.6540000000005</v>
      </c>
      <c r="I786" s="4">
        <v>9404.1820000000007</v>
      </c>
      <c r="J786" s="1">
        <v>3.4609283401788664</v>
      </c>
      <c r="K786" s="2">
        <v>2</v>
      </c>
      <c r="L786" s="1">
        <v>5</v>
      </c>
      <c r="M786" s="4">
        <v>4943.93</v>
      </c>
    </row>
    <row r="787" spans="1:13" x14ac:dyDescent="0.25">
      <c r="A787">
        <f>RANK(H787,H$13:H$798,0)</f>
        <v>775</v>
      </c>
      <c r="B787" s="2">
        <v>231536</v>
      </c>
      <c r="C787" t="s">
        <v>1337</v>
      </c>
      <c r="D787" t="s">
        <v>1338</v>
      </c>
      <c r="E787" t="s">
        <v>49</v>
      </c>
      <c r="F787" t="s">
        <v>75</v>
      </c>
      <c r="G787" s="4">
        <v>2100</v>
      </c>
      <c r="H787" s="4">
        <v>9498.84</v>
      </c>
      <c r="I787" s="4">
        <v>8437.5709999999999</v>
      </c>
      <c r="J787" s="1">
        <v>12.577897122287924</v>
      </c>
      <c r="K787" s="2">
        <v>2</v>
      </c>
      <c r="L787" s="1">
        <v>1</v>
      </c>
      <c r="M787" s="4">
        <v>4523.26</v>
      </c>
    </row>
    <row r="788" spans="1:13" x14ac:dyDescent="0.25">
      <c r="A788">
        <f>RANK(H788,H$13:H$798,0)</f>
        <v>776</v>
      </c>
      <c r="B788" s="2">
        <v>218353</v>
      </c>
      <c r="C788" t="s">
        <v>1339</v>
      </c>
      <c r="D788" t="s">
        <v>284</v>
      </c>
      <c r="E788" t="s">
        <v>285</v>
      </c>
      <c r="F788" t="s">
        <v>75</v>
      </c>
      <c r="G788" s="4">
        <v>6942</v>
      </c>
      <c r="H788" s="4">
        <v>9288.732</v>
      </c>
      <c r="I788" s="4">
        <v>8074.37</v>
      </c>
      <c r="J788" s="1">
        <v>15.039712076607836</v>
      </c>
      <c r="K788" s="2">
        <v>2</v>
      </c>
      <c r="L788" s="1">
        <v>1</v>
      </c>
      <c r="M788" s="4">
        <v>1338.05</v>
      </c>
    </row>
    <row r="789" spans="1:13" x14ac:dyDescent="0.25">
      <c r="A789">
        <f>RANK(H789,H$13:H$798,0)</f>
        <v>777</v>
      </c>
      <c r="B789" s="2">
        <v>111188</v>
      </c>
      <c r="C789" t="s">
        <v>1340</v>
      </c>
      <c r="D789" t="s">
        <v>1341</v>
      </c>
      <c r="E789" t="s">
        <v>12</v>
      </c>
      <c r="F789" t="s">
        <v>75</v>
      </c>
      <c r="G789" s="4">
        <v>1107</v>
      </c>
      <c r="H789" s="4">
        <v>9246.8449999999993</v>
      </c>
      <c r="I789" s="4">
        <v>8764.384</v>
      </c>
      <c r="J789" s="1">
        <v>5.5047907531208047</v>
      </c>
      <c r="K789" s="2">
        <v>2</v>
      </c>
      <c r="L789" s="1">
        <v>2</v>
      </c>
      <c r="M789" s="4">
        <v>8353.07</v>
      </c>
    </row>
    <row r="790" spans="1:13" x14ac:dyDescent="0.25">
      <c r="A790">
        <f>RANK(H790,H$13:H$798,0)</f>
        <v>778</v>
      </c>
      <c r="B790" s="2">
        <v>213020</v>
      </c>
      <c r="C790" t="s">
        <v>1342</v>
      </c>
      <c r="D790" t="s">
        <v>1343</v>
      </c>
      <c r="E790" t="s">
        <v>20</v>
      </c>
      <c r="F790" t="s">
        <v>7</v>
      </c>
      <c r="G790" s="4">
        <v>9546</v>
      </c>
      <c r="H790" s="4">
        <v>7615.17</v>
      </c>
      <c r="I790" s="4">
        <v>7075.9440000000004</v>
      </c>
      <c r="J790" s="1">
        <v>7.6205521129053544</v>
      </c>
      <c r="K790" s="2">
        <v>2</v>
      </c>
      <c r="L790" s="1">
        <v>4</v>
      </c>
      <c r="M790" s="4">
        <v>797.73</v>
      </c>
    </row>
    <row r="791" spans="1:13" x14ac:dyDescent="0.25">
      <c r="A791">
        <f>RANK(H791,H$13:H$798,0)</f>
        <v>779</v>
      </c>
      <c r="B791" s="2">
        <v>183974</v>
      </c>
      <c r="C791" t="s">
        <v>1344</v>
      </c>
      <c r="D791" t="s">
        <v>1345</v>
      </c>
      <c r="E791" t="s">
        <v>15</v>
      </c>
      <c r="F791" t="s">
        <v>3</v>
      </c>
      <c r="G791" s="4">
        <v>1346</v>
      </c>
      <c r="H791" s="4">
        <v>7330.3419999999996</v>
      </c>
      <c r="I791" s="4">
        <v>7077.3069999999998</v>
      </c>
      <c r="J791" s="1">
        <v>3.5753006051595593</v>
      </c>
      <c r="K791" s="2">
        <v>2</v>
      </c>
      <c r="L791" s="1">
        <v>3</v>
      </c>
      <c r="M791" s="4">
        <v>5446.02</v>
      </c>
    </row>
    <row r="792" spans="1:13" x14ac:dyDescent="0.25">
      <c r="A792">
        <f>RANK(H792,H$13:H$798,0)</f>
        <v>780</v>
      </c>
      <c r="B792" s="34">
        <v>134495</v>
      </c>
      <c r="C792" s="21" t="s">
        <v>1346</v>
      </c>
      <c r="D792" s="21" t="s">
        <v>370</v>
      </c>
      <c r="E792" s="21" t="s">
        <v>127</v>
      </c>
      <c r="F792" s="21" t="s">
        <v>75</v>
      </c>
      <c r="G792" s="35">
        <v>14810</v>
      </c>
      <c r="H792" s="35">
        <v>7219.3230000000003</v>
      </c>
      <c r="I792" s="35">
        <v>6131.9219999999996</v>
      </c>
      <c r="J792" s="36">
        <v>17.733444750275702</v>
      </c>
      <c r="K792" s="34">
        <v>2</v>
      </c>
      <c r="L792" s="36">
        <v>1</v>
      </c>
      <c r="M792" s="35">
        <v>487.46</v>
      </c>
    </row>
    <row r="793" spans="1:13" x14ac:dyDescent="0.25">
      <c r="A793">
        <f>RANK(H793,H$13:H$798,0)</f>
        <v>781</v>
      </c>
      <c r="B793" s="2">
        <v>144944</v>
      </c>
      <c r="C793" t="s">
        <v>1347</v>
      </c>
      <c r="D793" t="s">
        <v>1348</v>
      </c>
      <c r="E793" t="s">
        <v>30</v>
      </c>
      <c r="F793" t="s">
        <v>75</v>
      </c>
      <c r="G793" s="4">
        <v>9567</v>
      </c>
      <c r="H793" s="4">
        <v>6972.6049999999996</v>
      </c>
      <c r="I793" s="4">
        <v>6405.326</v>
      </c>
      <c r="J793" s="1">
        <v>8.8563642194011596</v>
      </c>
      <c r="K793" s="2">
        <v>2</v>
      </c>
      <c r="L793" s="1">
        <v>1</v>
      </c>
      <c r="M793" s="4">
        <v>728.82</v>
      </c>
    </row>
    <row r="794" spans="1:13" x14ac:dyDescent="0.25">
      <c r="A794">
        <f>RANK(H794,H$13:H$798,0)</f>
        <v>782</v>
      </c>
      <c r="B794" s="2">
        <v>174020</v>
      </c>
      <c r="C794" t="s">
        <v>1349</v>
      </c>
      <c r="D794" t="s">
        <v>859</v>
      </c>
      <c r="E794" t="s">
        <v>95</v>
      </c>
      <c r="F794" t="s">
        <v>75</v>
      </c>
      <c r="G794" s="5" t="s">
        <v>1363</v>
      </c>
      <c r="H794" s="4">
        <v>6016.7619999999997</v>
      </c>
      <c r="I794" s="4">
        <v>5650.3540000000003</v>
      </c>
      <c r="J794" s="1">
        <v>6.4846910476759403</v>
      </c>
      <c r="K794" s="2">
        <v>2</v>
      </c>
      <c r="L794" s="1">
        <v>4</v>
      </c>
      <c r="M794" s="5" t="s">
        <v>1363</v>
      </c>
    </row>
    <row r="795" spans="1:13" x14ac:dyDescent="0.25">
      <c r="A795">
        <f>RANK(H795,H$13:H$798,0)</f>
        <v>783</v>
      </c>
      <c r="B795" s="2">
        <v>193353</v>
      </c>
      <c r="C795" t="s">
        <v>1350</v>
      </c>
      <c r="D795" t="s">
        <v>1351</v>
      </c>
      <c r="E795" t="s">
        <v>33</v>
      </c>
      <c r="F795" t="s">
        <v>3</v>
      </c>
      <c r="G795" s="4">
        <v>2081</v>
      </c>
      <c r="H795" s="4">
        <v>5997.7569999999996</v>
      </c>
      <c r="I795" s="4">
        <v>5700.6459999999997</v>
      </c>
      <c r="J795" s="1">
        <v>5.2118830041367223</v>
      </c>
      <c r="K795" s="2">
        <v>2</v>
      </c>
      <c r="L795" s="1">
        <v>3</v>
      </c>
      <c r="M795" s="4">
        <v>2882.15</v>
      </c>
    </row>
    <row r="796" spans="1:13" x14ac:dyDescent="0.25">
      <c r="A796">
        <f>RANK(H796,H$13:H$798,0)</f>
        <v>784</v>
      </c>
      <c r="B796" s="2">
        <v>147800</v>
      </c>
      <c r="C796" t="s">
        <v>1352</v>
      </c>
      <c r="D796" t="s">
        <v>1353</v>
      </c>
      <c r="E796" t="s">
        <v>30</v>
      </c>
      <c r="F796" t="s">
        <v>75</v>
      </c>
      <c r="G796" s="4">
        <v>4331</v>
      </c>
      <c r="H796" s="4">
        <v>5605.1139999999996</v>
      </c>
      <c r="I796" s="4">
        <v>5484.4340000000002</v>
      </c>
      <c r="J796" s="1">
        <v>2.2004093767925617</v>
      </c>
      <c r="K796" s="2">
        <v>2</v>
      </c>
      <c r="L796" s="1">
        <v>1</v>
      </c>
      <c r="M796" s="4">
        <v>1294.18</v>
      </c>
    </row>
    <row r="797" spans="1:13" ht="15.75" thickBot="1" x14ac:dyDescent="0.3">
      <c r="A797" s="17">
        <f>RANK(H797,H$13:H$798,0)</f>
        <v>785</v>
      </c>
      <c r="B797" s="18">
        <v>232450</v>
      </c>
      <c r="C797" s="17" t="s">
        <v>1354</v>
      </c>
      <c r="D797" s="17" t="s">
        <v>1355</v>
      </c>
      <c r="E797" s="17" t="s">
        <v>49</v>
      </c>
      <c r="F797" s="17" t="s">
        <v>75</v>
      </c>
      <c r="G797" s="19">
        <v>3617</v>
      </c>
      <c r="H797" s="19">
        <v>3784.5650000000001</v>
      </c>
      <c r="I797" s="19">
        <v>3661.9340000000002</v>
      </c>
      <c r="J797" s="20">
        <v>3.3488042111081153</v>
      </c>
      <c r="K797" s="18">
        <v>2</v>
      </c>
      <c r="L797" s="20">
        <v>1</v>
      </c>
      <c r="M797" s="19">
        <v>1046.33</v>
      </c>
    </row>
    <row r="799" spans="1:13" x14ac:dyDescent="0.25">
      <c r="C799" t="s">
        <v>1368</v>
      </c>
      <c r="G799" s="4">
        <v>10470</v>
      </c>
      <c r="H799" s="38">
        <v>815363</v>
      </c>
      <c r="I799" s="38">
        <v>784190</v>
      </c>
      <c r="J799" s="39">
        <f>((H799-I799)/I799)</f>
        <v>3.9751845853683417E-2</v>
      </c>
      <c r="M799" s="38">
        <v>137674</v>
      </c>
    </row>
    <row r="800" spans="1:13" x14ac:dyDescent="0.25">
      <c r="C800" t="s">
        <v>1369</v>
      </c>
      <c r="G800" s="4">
        <v>4130</v>
      </c>
      <c r="H800" s="38">
        <v>148794</v>
      </c>
      <c r="I800" s="38">
        <v>141680</v>
      </c>
      <c r="J800" s="39">
        <f>((H800-I800)/I800)</f>
        <v>5.0211744776962171E-2</v>
      </c>
      <c r="M800" s="38">
        <v>35555</v>
      </c>
    </row>
    <row r="801" spans="1:22" ht="15.75" thickBot="1" x14ac:dyDescent="0.3">
      <c r="A801" s="15"/>
      <c r="B801" s="15"/>
      <c r="C801" s="15"/>
      <c r="D801" s="15"/>
      <c r="E801" s="15"/>
      <c r="F801" s="15"/>
      <c r="G801" s="16"/>
      <c r="H801" s="16"/>
      <c r="I801" s="16"/>
      <c r="J801" s="15"/>
      <c r="K801" s="15"/>
      <c r="L801" s="15"/>
      <c r="M801" s="15"/>
    </row>
    <row r="802" spans="1:22" ht="15.75" thickTop="1" x14ac:dyDescent="0.25"/>
    <row r="803" spans="1:22" x14ac:dyDescent="0.25">
      <c r="A803" s="21" t="s">
        <v>1386</v>
      </c>
      <c r="B803" s="21"/>
      <c r="C803" s="21"/>
      <c r="D803" s="21"/>
      <c r="E803" s="21"/>
      <c r="F803" s="21"/>
      <c r="G803" s="21"/>
      <c r="H803"/>
      <c r="I803"/>
    </row>
    <row r="804" spans="1:22" x14ac:dyDescent="0.25">
      <c r="A804" s="21" t="s">
        <v>1398</v>
      </c>
      <c r="B804" s="21"/>
      <c r="C804" s="21"/>
      <c r="D804" s="21"/>
      <c r="E804" s="21"/>
      <c r="F804" s="21"/>
      <c r="G804" s="21"/>
      <c r="H804"/>
      <c r="I804"/>
    </row>
    <row r="805" spans="1:22" x14ac:dyDescent="0.25">
      <c r="A805" s="21"/>
      <c r="B805" s="21"/>
      <c r="C805" s="21"/>
      <c r="D805" s="21"/>
      <c r="E805" s="21"/>
      <c r="F805" s="21"/>
      <c r="G805" s="21"/>
      <c r="H805"/>
      <c r="I805"/>
    </row>
    <row r="806" spans="1:22" x14ac:dyDescent="0.25">
      <c r="A806" t="s">
        <v>1378</v>
      </c>
      <c r="D806" s="4"/>
      <c r="E806" s="4"/>
      <c r="F806" s="4"/>
      <c r="G806"/>
      <c r="H806"/>
      <c r="I806"/>
    </row>
    <row r="807" spans="1:22" x14ac:dyDescent="0.25">
      <c r="D807" s="4"/>
      <c r="E807" s="4"/>
      <c r="F807" s="4"/>
      <c r="G807"/>
      <c r="H807"/>
      <c r="I807"/>
    </row>
    <row r="808" spans="1:22" x14ac:dyDescent="0.25">
      <c r="A808" s="24" t="s">
        <v>1387</v>
      </c>
      <c r="B808" s="30"/>
      <c r="C808" s="30"/>
      <c r="D808" s="30"/>
      <c r="E808" s="30"/>
      <c r="F808" s="30"/>
      <c r="G808" s="30"/>
      <c r="H808" s="30"/>
      <c r="I808" s="30"/>
      <c r="J808" s="30"/>
      <c r="K808" s="30"/>
      <c r="L808" s="30"/>
      <c r="M808" s="30"/>
      <c r="N808" s="30"/>
      <c r="O808" s="30"/>
      <c r="P808" s="30"/>
      <c r="Q808" s="30"/>
      <c r="R808" s="30"/>
      <c r="S808" s="30"/>
      <c r="T808" s="30"/>
      <c r="U808" s="30"/>
      <c r="V808" s="30"/>
    </row>
    <row r="809" spans="1:22" s="8" customFormat="1" x14ac:dyDescent="0.25">
      <c r="A809" s="7"/>
    </row>
    <row r="810" spans="1:22" s="8" customFormat="1" x14ac:dyDescent="0.25">
      <c r="A810" s="7" t="s">
        <v>1456</v>
      </c>
    </row>
    <row r="811" spans="1:22" s="8" customFormat="1" x14ac:dyDescent="0.25">
      <c r="A811" s="7"/>
    </row>
    <row r="812" spans="1:22" ht="17.25" x14ac:dyDescent="0.25">
      <c r="A812" s="7" t="s">
        <v>1393</v>
      </c>
      <c r="B812" s="8"/>
      <c r="C812" s="8"/>
      <c r="D812" s="8"/>
      <c r="E812" s="8"/>
      <c r="F812" s="8"/>
      <c r="G812" s="8"/>
      <c r="H812" s="8"/>
      <c r="I812" s="8"/>
      <c r="J812" s="8"/>
    </row>
    <row r="813" spans="1:22" x14ac:dyDescent="0.25">
      <c r="A813" s="7" t="s">
        <v>1371</v>
      </c>
      <c r="B813" s="8"/>
      <c r="C813" s="8"/>
      <c r="D813" s="8"/>
      <c r="E813" s="8"/>
      <c r="F813" s="8"/>
      <c r="G813" s="8"/>
      <c r="H813" s="8"/>
      <c r="I813" s="8"/>
      <c r="J813" s="8"/>
    </row>
    <row r="814" spans="1:22" x14ac:dyDescent="0.25">
      <c r="A814" s="7" t="s">
        <v>1372</v>
      </c>
      <c r="B814" s="8"/>
      <c r="C814" s="8"/>
      <c r="D814" s="8"/>
      <c r="E814" s="8"/>
      <c r="F814" s="8"/>
      <c r="G814" s="8"/>
      <c r="H814" s="8"/>
      <c r="I814" s="8"/>
      <c r="J814" s="8"/>
    </row>
    <row r="815" spans="1:22" x14ac:dyDescent="0.25">
      <c r="A815" s="7" t="s">
        <v>1373</v>
      </c>
      <c r="B815" s="8"/>
      <c r="C815" s="8"/>
      <c r="D815" s="8"/>
      <c r="E815" s="8"/>
      <c r="F815" s="8"/>
      <c r="G815" s="8"/>
      <c r="H815" s="8"/>
      <c r="I815" s="8"/>
      <c r="J815" s="8"/>
    </row>
    <row r="816" spans="1:22" x14ac:dyDescent="0.25">
      <c r="A816" s="7" t="s">
        <v>1374</v>
      </c>
      <c r="B816" s="8"/>
      <c r="C816" s="8"/>
      <c r="D816" s="8"/>
      <c r="E816" s="8"/>
      <c r="F816" s="8"/>
      <c r="G816" s="8"/>
      <c r="H816" s="8"/>
      <c r="I816" s="8"/>
      <c r="J816" s="8"/>
    </row>
    <row r="817" spans="1:10" x14ac:dyDescent="0.25">
      <c r="A817" s="7" t="s">
        <v>1375</v>
      </c>
      <c r="B817" s="8"/>
      <c r="C817" s="8"/>
      <c r="D817" s="8"/>
      <c r="E817" s="8"/>
      <c r="F817" s="8"/>
      <c r="G817" s="8"/>
      <c r="H817" s="8"/>
      <c r="I817" s="8"/>
      <c r="J817" s="8"/>
    </row>
    <row r="818" spans="1:10" x14ac:dyDescent="0.25">
      <c r="A818" s="22" t="s">
        <v>1376</v>
      </c>
      <c r="B818" s="23"/>
      <c r="C818" s="23"/>
      <c r="D818" s="23"/>
      <c r="E818" s="23"/>
      <c r="F818" s="23"/>
      <c r="G818" s="23"/>
      <c r="H818" s="23"/>
      <c r="I818" s="23"/>
      <c r="J818" s="23"/>
    </row>
    <row r="819" spans="1:10" s="8" customFormat="1" x14ac:dyDescent="0.25">
      <c r="A819" s="7"/>
    </row>
    <row r="820" spans="1:10" ht="17.25" x14ac:dyDescent="0.25">
      <c r="A820" s="7" t="s">
        <v>1392</v>
      </c>
      <c r="B820" s="8"/>
      <c r="C820" s="8"/>
      <c r="D820" s="8"/>
      <c r="E820" s="8"/>
      <c r="F820" s="8"/>
      <c r="G820" s="8"/>
      <c r="H820" s="8"/>
      <c r="I820" s="8"/>
      <c r="J820" s="8"/>
    </row>
    <row r="821" spans="1:10" x14ac:dyDescent="0.25">
      <c r="A821" s="7" t="s">
        <v>1370</v>
      </c>
      <c r="B821" s="8"/>
      <c r="C821" s="8"/>
      <c r="D821" s="8"/>
      <c r="E821" s="8"/>
      <c r="F821" s="8"/>
      <c r="G821" s="8"/>
      <c r="H821" s="8"/>
      <c r="I821" s="8"/>
      <c r="J821" s="8"/>
    </row>
    <row r="822" spans="1:10" x14ac:dyDescent="0.25">
      <c r="A822" s="7"/>
      <c r="B822" s="8"/>
      <c r="C822" s="8"/>
      <c r="D822" s="8"/>
      <c r="E822" s="8"/>
      <c r="F822" s="8"/>
      <c r="G822" s="8"/>
      <c r="H822" s="8"/>
      <c r="I822" s="8"/>
      <c r="J822" s="8"/>
    </row>
    <row r="823" spans="1:10" ht="17.25" x14ac:dyDescent="0.25">
      <c r="A823" s="7" t="s">
        <v>1404</v>
      </c>
      <c r="B823" s="8"/>
      <c r="C823" s="8"/>
      <c r="D823" s="8"/>
      <c r="E823" s="8"/>
      <c r="F823" s="8"/>
      <c r="G823" s="8"/>
      <c r="H823" s="8"/>
      <c r="I823" s="8"/>
      <c r="J823" s="8"/>
    </row>
    <row r="824" spans="1:10" x14ac:dyDescent="0.25">
      <c r="A824" s="7"/>
      <c r="B824" s="8"/>
      <c r="C824" s="8"/>
      <c r="D824" s="8"/>
      <c r="E824" s="8"/>
      <c r="F824" s="8"/>
      <c r="G824" s="8"/>
      <c r="H824" s="8"/>
      <c r="I824" s="8"/>
      <c r="J824" s="8"/>
    </row>
    <row r="825" spans="1:10" ht="17.25" x14ac:dyDescent="0.25">
      <c r="A825" s="7" t="s">
        <v>1385</v>
      </c>
      <c r="B825" s="8"/>
      <c r="C825" s="8"/>
      <c r="D825" s="8"/>
      <c r="E825" s="8"/>
      <c r="F825" s="8"/>
      <c r="G825" s="8"/>
      <c r="H825" s="8"/>
      <c r="I825" s="8"/>
      <c r="J825" s="8"/>
    </row>
    <row r="826" spans="1:10" x14ac:dyDescent="0.25">
      <c r="A826" s="7" t="s">
        <v>1377</v>
      </c>
      <c r="B826" s="8"/>
      <c r="C826" s="8"/>
      <c r="D826" s="8"/>
      <c r="E826" s="8"/>
      <c r="F826" s="8"/>
      <c r="G826" s="8"/>
      <c r="H826" s="8"/>
      <c r="I826" s="8"/>
      <c r="J826" s="8"/>
    </row>
    <row r="827" spans="1:10" x14ac:dyDescent="0.25">
      <c r="A827" s="7" t="s">
        <v>1381</v>
      </c>
      <c r="B827" s="8"/>
      <c r="C827" s="8"/>
      <c r="D827" s="8"/>
      <c r="E827" s="8"/>
      <c r="F827" s="8"/>
      <c r="G827" s="8"/>
      <c r="H827" s="8"/>
      <c r="I827" s="8"/>
      <c r="J827" s="8"/>
    </row>
    <row r="828" spans="1:10" x14ac:dyDescent="0.25">
      <c r="A828" s="7" t="s">
        <v>1411</v>
      </c>
      <c r="D828" s="4"/>
      <c r="E828" s="4"/>
      <c r="F828" s="4"/>
      <c r="G828"/>
      <c r="H828"/>
      <c r="I828"/>
    </row>
    <row r="829" spans="1:10" x14ac:dyDescent="0.25">
      <c r="A829" s="7"/>
      <c r="B829" s="8"/>
      <c r="C829" s="8"/>
      <c r="D829" s="8"/>
      <c r="E829" s="8"/>
      <c r="F829" s="8"/>
      <c r="G829" s="8"/>
      <c r="H829" s="8"/>
      <c r="I829" s="8"/>
      <c r="J829" s="8"/>
    </row>
    <row r="830" spans="1:10" ht="17.25" x14ac:dyDescent="0.25">
      <c r="A830" s="7" t="s">
        <v>1399</v>
      </c>
      <c r="B830" s="8"/>
      <c r="C830" s="8"/>
      <c r="D830" s="8"/>
      <c r="E830" s="8"/>
      <c r="F830" s="8"/>
      <c r="G830" s="8"/>
      <c r="H830" s="8"/>
      <c r="I830" s="8"/>
      <c r="J830" s="8"/>
    </row>
    <row r="831" spans="1:10" x14ac:dyDescent="0.25">
      <c r="A831" s="7"/>
      <c r="B831" s="8"/>
      <c r="C831" s="8"/>
      <c r="D831" s="8"/>
      <c r="E831" s="8"/>
      <c r="F831" s="8"/>
      <c r="G831" s="8"/>
      <c r="H831" s="8"/>
      <c r="I831" s="8"/>
      <c r="J831" s="8"/>
    </row>
    <row r="832" spans="1:10" x14ac:dyDescent="0.25">
      <c r="A832" s="7" t="s">
        <v>1382</v>
      </c>
      <c r="B832" s="8"/>
      <c r="C832" s="8"/>
      <c r="D832" s="8"/>
      <c r="E832" s="8"/>
      <c r="F832" s="8"/>
      <c r="G832" s="8"/>
      <c r="H832" s="8"/>
      <c r="I832" s="8"/>
      <c r="J832" s="8"/>
    </row>
    <row r="833" spans="1:20" x14ac:dyDescent="0.25">
      <c r="A833" s="7" t="s">
        <v>1400</v>
      </c>
      <c r="B833" s="8"/>
      <c r="C833" s="8"/>
      <c r="D833" s="8"/>
      <c r="E833" s="8"/>
      <c r="F833" s="8"/>
      <c r="G833" s="8"/>
      <c r="H833" s="8"/>
      <c r="I833" s="8"/>
      <c r="J833" s="8"/>
    </row>
    <row r="834" spans="1:20" x14ac:dyDescent="0.25">
      <c r="A834" s="7" t="s">
        <v>1383</v>
      </c>
      <c r="B834" s="8"/>
      <c r="C834" s="8"/>
      <c r="D834" s="8"/>
      <c r="E834" s="8"/>
      <c r="F834" s="8"/>
      <c r="G834" s="8"/>
      <c r="H834" s="8"/>
      <c r="I834" s="8"/>
      <c r="J834" s="8"/>
    </row>
    <row r="835" spans="1:20" x14ac:dyDescent="0.25">
      <c r="A835" s="7" t="s">
        <v>1401</v>
      </c>
      <c r="B835" s="8"/>
      <c r="C835" s="8"/>
      <c r="D835" s="8"/>
      <c r="E835" s="8"/>
      <c r="F835" s="8"/>
      <c r="G835" s="8"/>
      <c r="H835" s="8"/>
      <c r="I835" s="8"/>
      <c r="J835" s="8"/>
    </row>
    <row r="836" spans="1:20" x14ac:dyDescent="0.25">
      <c r="A836" s="7" t="s">
        <v>1384</v>
      </c>
      <c r="B836" s="8"/>
      <c r="C836" s="8"/>
      <c r="D836" s="8"/>
      <c r="E836" s="8"/>
      <c r="F836" s="8"/>
      <c r="G836" s="8"/>
      <c r="H836" s="8"/>
      <c r="I836" s="8"/>
      <c r="J836" s="8"/>
    </row>
    <row r="837" spans="1:20" x14ac:dyDescent="0.25">
      <c r="A837" s="7" t="s">
        <v>1402</v>
      </c>
      <c r="G837"/>
      <c r="H837"/>
      <c r="I837"/>
    </row>
    <row r="838" spans="1:20" x14ac:dyDescent="0.25">
      <c r="A838" s="7"/>
      <c r="G838"/>
      <c r="H838"/>
      <c r="I838"/>
    </row>
    <row r="839" spans="1:20" x14ac:dyDescent="0.25">
      <c r="A839" s="7" t="s">
        <v>1403</v>
      </c>
      <c r="G839"/>
      <c r="H839"/>
      <c r="I839"/>
    </row>
    <row r="840" spans="1:20" ht="17.25" x14ac:dyDescent="0.25">
      <c r="A840" s="26" t="s">
        <v>1437</v>
      </c>
      <c r="B840" s="25"/>
      <c r="C840" s="25"/>
      <c r="D840" s="25"/>
      <c r="E840" s="25"/>
      <c r="F840" s="25"/>
      <c r="G840" s="25"/>
      <c r="H840" s="25"/>
      <c r="I840" s="25"/>
      <c r="J840" s="25"/>
      <c r="K840" s="25"/>
      <c r="L840" s="25"/>
      <c r="M840" s="25"/>
      <c r="N840" s="25"/>
      <c r="O840" s="25"/>
      <c r="P840" s="25"/>
      <c r="Q840" s="25"/>
      <c r="R840" s="25"/>
      <c r="S840" s="25"/>
      <c r="T840" s="25"/>
    </row>
    <row r="841" spans="1:20" ht="17.25" x14ac:dyDescent="0.25">
      <c r="A841" s="7" t="s">
        <v>1434</v>
      </c>
      <c r="B841" s="8"/>
      <c r="C841" s="8"/>
      <c r="D841" s="8"/>
      <c r="E841" s="8"/>
      <c r="F841" s="8"/>
      <c r="G841" s="8"/>
      <c r="H841" s="8"/>
      <c r="I841" s="8"/>
    </row>
    <row r="842" spans="1:20" ht="17.25" x14ac:dyDescent="0.25">
      <c r="A842" s="7" t="s">
        <v>1447</v>
      </c>
      <c r="B842" s="8"/>
      <c r="C842" s="8"/>
      <c r="D842" s="8"/>
      <c r="E842" s="8"/>
      <c r="F842" s="8"/>
      <c r="G842" s="8"/>
      <c r="H842" s="8"/>
      <c r="I842" s="8"/>
    </row>
    <row r="843" spans="1:20" s="25" customFormat="1" ht="17.25" x14ac:dyDescent="0.25">
      <c r="A843" s="26" t="s">
        <v>1446</v>
      </c>
    </row>
    <row r="844" spans="1:20" ht="17.25" x14ac:dyDescent="0.25">
      <c r="A844" s="7" t="s">
        <v>1435</v>
      </c>
      <c r="B844" s="8"/>
      <c r="C844" s="8"/>
      <c r="D844" s="8"/>
      <c r="E844" s="8"/>
      <c r="F844" s="8"/>
      <c r="G844" s="8"/>
      <c r="H844" s="8"/>
      <c r="I844" s="8"/>
    </row>
    <row r="845" spans="1:20" ht="17.25" x14ac:dyDescent="0.25">
      <c r="A845" s="7" t="s">
        <v>1436</v>
      </c>
      <c r="B845" s="8"/>
      <c r="C845" s="8"/>
      <c r="D845" s="8"/>
      <c r="E845" s="8"/>
      <c r="F845" s="8"/>
      <c r="G845" s="8"/>
      <c r="H845" s="8"/>
      <c r="I845" s="8"/>
    </row>
    <row r="846" spans="1:20" ht="17.25" x14ac:dyDescent="0.25">
      <c r="A846" s="7" t="s">
        <v>1429</v>
      </c>
      <c r="B846" s="8"/>
      <c r="C846" s="8"/>
      <c r="D846" s="8"/>
      <c r="E846" s="8"/>
      <c r="F846" s="8"/>
      <c r="G846" s="8"/>
      <c r="H846" s="8"/>
      <c r="I846" s="8"/>
    </row>
    <row r="847" spans="1:20" ht="17.25" x14ac:dyDescent="0.25">
      <c r="A847" s="26" t="s">
        <v>1428</v>
      </c>
      <c r="B847" s="25"/>
      <c r="C847" s="25"/>
      <c r="D847" s="25"/>
      <c r="E847" s="25"/>
      <c r="F847" s="25"/>
      <c r="G847" s="25"/>
      <c r="H847" s="25"/>
      <c r="I847" s="25"/>
    </row>
    <row r="848" spans="1:20" ht="17.25" x14ac:dyDescent="0.25">
      <c r="A848" s="7" t="s">
        <v>1427</v>
      </c>
      <c r="B848" s="8"/>
      <c r="C848" s="8"/>
      <c r="D848" s="8"/>
      <c r="E848" s="8"/>
      <c r="F848" s="8"/>
      <c r="G848" s="8"/>
      <c r="H848" s="8"/>
      <c r="I848" s="8"/>
    </row>
    <row r="849" spans="1:9" ht="17.25" x14ac:dyDescent="0.25">
      <c r="A849" s="7" t="s">
        <v>1430</v>
      </c>
      <c r="B849" s="8"/>
      <c r="C849" s="8"/>
      <c r="D849" s="8"/>
      <c r="E849" s="8"/>
      <c r="F849" s="8"/>
      <c r="G849" s="8"/>
      <c r="H849" s="8"/>
      <c r="I849" s="8"/>
    </row>
    <row r="850" spans="1:9" ht="17.25" x14ac:dyDescent="0.25">
      <c r="A850" s="7" t="s">
        <v>1448</v>
      </c>
      <c r="B850" s="8"/>
      <c r="C850" s="8"/>
      <c r="D850" s="8"/>
      <c r="E850" s="8"/>
      <c r="F850" s="8"/>
      <c r="G850" s="8"/>
      <c r="H850" s="8"/>
      <c r="I850" s="8"/>
    </row>
    <row r="851" spans="1:9" ht="17.25" x14ac:dyDescent="0.25">
      <c r="A851" s="7" t="s">
        <v>1431</v>
      </c>
      <c r="B851" s="8"/>
      <c r="C851" s="8"/>
      <c r="D851" s="8"/>
      <c r="E851" s="8"/>
      <c r="F851" s="8"/>
      <c r="G851" s="8"/>
      <c r="H851" s="8"/>
      <c r="I851" s="8"/>
    </row>
    <row r="852" spans="1:9" ht="17.25" x14ac:dyDescent="0.25">
      <c r="A852" s="7" t="s">
        <v>1432</v>
      </c>
      <c r="B852" s="8"/>
      <c r="C852" s="8"/>
      <c r="D852" s="8"/>
      <c r="E852" s="8"/>
      <c r="F852" s="8"/>
      <c r="G852" s="8"/>
      <c r="H852" s="8"/>
      <c r="I852" s="8"/>
    </row>
    <row r="853" spans="1:9" ht="17.25" x14ac:dyDescent="0.25">
      <c r="A853" s="7" t="s">
        <v>1433</v>
      </c>
      <c r="B853" s="8"/>
      <c r="C853" s="8"/>
      <c r="D853" s="8"/>
      <c r="E853" s="8"/>
      <c r="F853" s="8"/>
      <c r="G853" s="8"/>
      <c r="H853" s="8"/>
      <c r="I853" s="8"/>
    </row>
    <row r="854" spans="1:9" ht="17.25" x14ac:dyDescent="0.25">
      <c r="A854" s="7" t="s">
        <v>1422</v>
      </c>
      <c r="B854" s="8"/>
      <c r="C854" s="8"/>
      <c r="D854" s="8"/>
      <c r="E854" s="8"/>
      <c r="F854" s="8"/>
      <c r="G854" s="8"/>
      <c r="H854" s="8"/>
      <c r="I854" s="8"/>
    </row>
    <row r="855" spans="1:9" ht="17.25" x14ac:dyDescent="0.25">
      <c r="A855" s="7" t="s">
        <v>1424</v>
      </c>
      <c r="B855" s="8"/>
      <c r="C855" s="8"/>
      <c r="D855" s="8"/>
      <c r="E855" s="8"/>
      <c r="F855" s="8"/>
      <c r="G855" s="8"/>
      <c r="H855" s="8"/>
      <c r="I855" s="8"/>
    </row>
    <row r="856" spans="1:9" ht="17.25" x14ac:dyDescent="0.25">
      <c r="A856" s="7" t="s">
        <v>1426</v>
      </c>
      <c r="B856" s="8"/>
      <c r="C856" s="8"/>
      <c r="D856" s="8"/>
      <c r="E856" s="7"/>
      <c r="F856" s="7"/>
      <c r="G856" s="29"/>
      <c r="H856" s="9"/>
      <c r="I856" s="9"/>
    </row>
    <row r="857" spans="1:9" x14ac:dyDescent="0.25">
      <c r="G857"/>
      <c r="H857"/>
      <c r="I857"/>
    </row>
  </sheetData>
  <sortState xmlns:xlrd2="http://schemas.microsoft.com/office/spreadsheetml/2017/richdata2" ref="A13:M797">
    <sortCondition ref="A13"/>
  </sortState>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2019 NTSE Endowment Market Valu</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Ken Redd</cp:lastModifiedBy>
  <cp:lastPrinted>2020-01-15T21:22:03Z</cp:lastPrinted>
  <dcterms:created xsi:type="dcterms:W3CDTF">2011-08-01T14:22:18Z</dcterms:created>
  <dcterms:modified xsi:type="dcterms:W3CDTF">2020-01-27T18:19:53Z</dcterms:modified>
</cp:coreProperties>
</file>